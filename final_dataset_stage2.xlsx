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202300"/>
  <mc:AlternateContent xmlns:mc="http://schemas.openxmlformats.org/markup-compatibility/2006">
    <mc:Choice Requires="x15">
      <x15ac:absPath xmlns:x15ac="http://schemas.microsoft.com/office/spreadsheetml/2010/11/ac" url="https://uzh-my.sharepoint.com/personal/joserolando_villasenoragundez_uzh_ch/Documents/Desktop/UZH/8_semester/Nax/Replication/Meta_of_meta_code/second_stage/"/>
    </mc:Choice>
  </mc:AlternateContent>
  <xr:revisionPtr revIDLastSave="142" documentId="13_ncr:1_{CD4EF319-0E99-4C14-AD63-1370D49AC95A}" xr6:coauthVersionLast="47" xr6:coauthVersionMax="47" xr10:uidLastSave="{A0B04D58-C563-428F-AE3A-C7C966C8243B}"/>
  <bookViews>
    <workbookView xWindow="-108" yWindow="-108" windowWidth="23256" windowHeight="12576" xr2:uid="{F3E89B5B-0A2C-4FEA-AFAC-1085EEFDEBF8}"/>
  </bookViews>
  <sheets>
    <sheet name="Sheet1" sheetId="1" r:id="rId1"/>
  </sheets>
  <definedNames>
    <definedName name="_xlnm._FilterDatabase" localSheetId="0" hidden="1">Sheet1!$Q$517:$Q$692</definedName>
    <definedName name="_xlnm.Extract" localSheetId="0">Sheet1!$K$517:$K$618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194" i="1" l="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193" i="1"/>
  <c r="Z1186" i="1"/>
  <c r="S1177" i="1"/>
  <c r="S1178" i="1"/>
  <c r="S1179" i="1"/>
  <c r="S1180" i="1"/>
  <c r="S1181" i="1"/>
  <c r="S1182" i="1"/>
  <c r="S1183" i="1"/>
  <c r="S1184" i="1"/>
  <c r="S1185" i="1"/>
  <c r="S1186" i="1"/>
  <c r="S1187" i="1"/>
  <c r="S1188" i="1"/>
  <c r="S1189" i="1"/>
  <c r="S1190" i="1"/>
  <c r="S1191" i="1"/>
  <c r="S1192" i="1"/>
  <c r="S1176" i="1"/>
  <c r="R1135" i="1"/>
  <c r="S1174" i="1" s="1"/>
  <c r="R1175" i="1"/>
  <c r="S1137" i="1"/>
  <c r="S1139" i="1"/>
  <c r="S1140" i="1"/>
  <c r="S1141" i="1"/>
  <c r="S1142" i="1"/>
  <c r="S1143" i="1"/>
  <c r="S1144" i="1"/>
  <c r="S1145" i="1"/>
  <c r="S1147" i="1"/>
  <c r="S1148" i="1"/>
  <c r="S1149" i="1"/>
  <c r="S1150" i="1"/>
  <c r="S1151" i="1"/>
  <c r="S1152" i="1"/>
  <c r="S1153" i="1"/>
  <c r="S1155" i="1"/>
  <c r="S1156" i="1"/>
  <c r="S1157" i="1"/>
  <c r="S1158" i="1"/>
  <c r="S1159" i="1"/>
  <c r="S1160" i="1"/>
  <c r="S1161" i="1"/>
  <c r="S1163" i="1"/>
  <c r="S1164" i="1"/>
  <c r="S1165" i="1"/>
  <c r="S1166" i="1"/>
  <c r="S1167" i="1"/>
  <c r="S1168" i="1"/>
  <c r="S1169" i="1"/>
  <c r="S1171" i="1"/>
  <c r="S1172" i="1"/>
  <c r="S1173" i="1"/>
  <c r="S1175" i="1"/>
  <c r="S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Z549" i="1"/>
  <c r="Z1175" i="1"/>
  <c r="Z1174" i="1"/>
  <c r="Z1173" i="1"/>
  <c r="Z1172" i="1"/>
  <c r="Z1171" i="1"/>
  <c r="Z1170" i="1"/>
  <c r="Z1169" i="1"/>
  <c r="Z1168" i="1"/>
  <c r="Z1167" i="1"/>
  <c r="Z1166" i="1"/>
  <c r="Z1165" i="1"/>
  <c r="Z1164" i="1"/>
  <c r="Z1163" i="1"/>
  <c r="Z1162" i="1"/>
  <c r="Z1161" i="1"/>
  <c r="Z1160" i="1"/>
  <c r="Z1159" i="1"/>
  <c r="Z1158" i="1"/>
  <c r="Z1157" i="1"/>
  <c r="Z1156" i="1"/>
  <c r="Z1155" i="1"/>
  <c r="Z1154" i="1"/>
  <c r="Z1153" i="1"/>
  <c r="Z1152" i="1"/>
  <c r="Z1151" i="1"/>
  <c r="Z1150" i="1"/>
  <c r="Z1149" i="1"/>
  <c r="Z1148" i="1"/>
  <c r="Z1147" i="1"/>
  <c r="Z1146" i="1"/>
  <c r="Z1145" i="1"/>
  <c r="Z1144" i="1"/>
  <c r="Z1143" i="1"/>
  <c r="Z1142" i="1"/>
  <c r="Z1141" i="1"/>
  <c r="Z1140" i="1"/>
  <c r="Z1139" i="1"/>
  <c r="Z1138" i="1"/>
  <c r="Z1137" i="1"/>
  <c r="Z1136" i="1"/>
  <c r="Z1135" i="1"/>
  <c r="Z1134" i="1"/>
  <c r="Z1133" i="1"/>
  <c r="Z1132" i="1"/>
  <c r="Z1131" i="1"/>
  <c r="Z1130" i="1"/>
  <c r="Z1129" i="1"/>
  <c r="Z1128" i="1"/>
  <c r="Z1127" i="1"/>
  <c r="Z1126" i="1"/>
  <c r="Z1125" i="1"/>
  <c r="Z1124" i="1"/>
  <c r="Z1123" i="1"/>
  <c r="Z1122" i="1"/>
  <c r="Z1121" i="1"/>
  <c r="Z1120" i="1"/>
  <c r="Z1119" i="1"/>
  <c r="Z1118" i="1"/>
  <c r="Z1117" i="1"/>
  <c r="Z1116" i="1"/>
  <c r="Z1115" i="1"/>
  <c r="Z1114" i="1"/>
  <c r="Z1113" i="1"/>
  <c r="Z1112" i="1"/>
  <c r="Z1111" i="1"/>
  <c r="Z1110" i="1"/>
  <c r="Z1109" i="1"/>
  <c r="Z1108" i="1"/>
  <c r="Z1107" i="1"/>
  <c r="Z1106" i="1"/>
  <c r="Z1105" i="1"/>
  <c r="Z1104" i="1"/>
  <c r="Z1103" i="1"/>
  <c r="Z1102" i="1"/>
  <c r="Z1101" i="1"/>
  <c r="Z1100" i="1"/>
  <c r="Z1099" i="1"/>
  <c r="Z1098" i="1"/>
  <c r="Z1097" i="1"/>
  <c r="Z1096" i="1"/>
  <c r="Z1095" i="1"/>
  <c r="Z1094" i="1"/>
  <c r="Z1093" i="1"/>
  <c r="Z1092" i="1"/>
  <c r="Z1091" i="1"/>
  <c r="Z1090" i="1"/>
  <c r="Z1089" i="1"/>
  <c r="Z1088" i="1"/>
  <c r="Z1087" i="1"/>
  <c r="Z1086" i="1"/>
  <c r="Z1085" i="1"/>
  <c r="Z1084" i="1"/>
  <c r="Z1083" i="1"/>
  <c r="Z1082" i="1"/>
  <c r="Z1081" i="1"/>
  <c r="Z1080" i="1"/>
  <c r="Z1079" i="1"/>
  <c r="Z1078" i="1"/>
  <c r="Z1077" i="1"/>
  <c r="Z1076" i="1"/>
  <c r="Z1075" i="1"/>
  <c r="Z1074" i="1"/>
  <c r="Z1073" i="1"/>
  <c r="Z1072" i="1"/>
  <c r="Z1071" i="1"/>
  <c r="Z1070" i="1"/>
  <c r="Z1069" i="1"/>
  <c r="Z1068" i="1"/>
  <c r="Z1067" i="1"/>
  <c r="Z1066" i="1"/>
  <c r="Z1065" i="1"/>
  <c r="Z1064" i="1"/>
  <c r="Z1063" i="1"/>
  <c r="Z1062" i="1"/>
  <c r="Z1061" i="1"/>
  <c r="Z1060" i="1"/>
  <c r="Z1059" i="1"/>
  <c r="Z1058" i="1"/>
  <c r="Z1057" i="1"/>
  <c r="Z1056" i="1"/>
  <c r="Z1055" i="1"/>
  <c r="Z1054" i="1"/>
  <c r="Z1053" i="1"/>
  <c r="Z1052" i="1"/>
  <c r="Z1051" i="1"/>
  <c r="Z1050" i="1"/>
  <c r="Z1049" i="1"/>
  <c r="Z1048" i="1"/>
  <c r="Z1047" i="1"/>
  <c r="Z1046" i="1"/>
  <c r="Z1045" i="1"/>
  <c r="Z1044" i="1"/>
  <c r="Z1043" i="1"/>
  <c r="Z1042" i="1"/>
  <c r="Z1041" i="1"/>
  <c r="Z1040" i="1"/>
  <c r="Z1039" i="1"/>
  <c r="Z1038" i="1"/>
  <c r="Z1037" i="1"/>
  <c r="Z1036" i="1"/>
  <c r="Z1035" i="1"/>
  <c r="Z1034" i="1"/>
  <c r="Z1033" i="1"/>
  <c r="Z1032" i="1"/>
  <c r="Z1031" i="1"/>
  <c r="Z1030" i="1"/>
  <c r="Z1029" i="1"/>
  <c r="Z1028" i="1"/>
  <c r="Z1027" i="1"/>
  <c r="Z1026" i="1"/>
  <c r="Z1025" i="1"/>
  <c r="Z1024" i="1"/>
  <c r="Z1023" i="1"/>
  <c r="Z1022" i="1"/>
  <c r="Z1021" i="1"/>
  <c r="Z1020" i="1"/>
  <c r="Z1019" i="1"/>
  <c r="Z1018" i="1"/>
  <c r="Z1017" i="1"/>
  <c r="Z1016" i="1"/>
  <c r="Z1015" i="1"/>
  <c r="Z1014" i="1"/>
  <c r="Z1013" i="1"/>
  <c r="Z1012" i="1"/>
  <c r="Z1011" i="1"/>
  <c r="Z1010" i="1"/>
  <c r="Z1009" i="1"/>
  <c r="Z1008" i="1"/>
  <c r="Z1007" i="1"/>
  <c r="Z1006" i="1"/>
  <c r="Z1005" i="1"/>
  <c r="Z1004" i="1"/>
  <c r="Z1003" i="1"/>
  <c r="Z1002" i="1"/>
  <c r="Z1001" i="1"/>
  <c r="Z1000" i="1"/>
  <c r="Z999" i="1"/>
  <c r="Z998" i="1"/>
  <c r="Z997" i="1"/>
  <c r="Z996" i="1"/>
  <c r="Z995" i="1"/>
  <c r="Z994" i="1"/>
  <c r="Z993" i="1"/>
  <c r="Z992" i="1"/>
  <c r="Z991" i="1"/>
  <c r="Z990" i="1"/>
  <c r="Z989" i="1"/>
  <c r="Z988" i="1"/>
  <c r="Z987" i="1"/>
  <c r="Z986" i="1"/>
  <c r="Z985" i="1"/>
  <c r="Z984" i="1"/>
  <c r="Z983" i="1"/>
  <c r="Z982" i="1"/>
  <c r="Z981" i="1"/>
  <c r="Z980" i="1"/>
  <c r="Z979" i="1"/>
  <c r="Z978" i="1"/>
  <c r="Z977" i="1"/>
  <c r="Z976" i="1"/>
  <c r="Z975" i="1"/>
  <c r="Z974" i="1"/>
  <c r="Z973" i="1"/>
  <c r="Z972" i="1"/>
  <c r="Z971" i="1"/>
  <c r="Z970" i="1"/>
  <c r="Z969" i="1"/>
  <c r="Z968" i="1"/>
  <c r="Z967" i="1"/>
  <c r="Z966" i="1"/>
  <c r="Z965" i="1"/>
  <c r="Z964" i="1"/>
  <c r="Z963" i="1"/>
  <c r="Z962" i="1"/>
  <c r="Z961" i="1"/>
  <c r="Z960" i="1"/>
  <c r="Z959" i="1"/>
  <c r="Z958" i="1"/>
  <c r="Z957" i="1"/>
  <c r="Z956" i="1"/>
  <c r="Z955" i="1"/>
  <c r="Z954" i="1"/>
  <c r="Z953" i="1"/>
  <c r="Z952" i="1"/>
  <c r="Z951" i="1"/>
  <c r="Z950" i="1"/>
  <c r="Z949" i="1"/>
  <c r="Z948" i="1"/>
  <c r="Z947" i="1"/>
  <c r="Z946" i="1"/>
  <c r="Z945" i="1"/>
  <c r="Z944" i="1"/>
  <c r="Z943" i="1"/>
  <c r="Z942" i="1"/>
  <c r="Z941" i="1"/>
  <c r="Z940" i="1"/>
  <c r="Z939" i="1"/>
  <c r="Z938" i="1"/>
  <c r="Z937" i="1"/>
  <c r="Z936" i="1"/>
  <c r="Z935" i="1"/>
  <c r="Z934" i="1"/>
  <c r="Z933" i="1"/>
  <c r="Z932" i="1"/>
  <c r="Z931" i="1"/>
  <c r="Z930" i="1"/>
  <c r="Z929" i="1"/>
  <c r="Z928" i="1"/>
  <c r="Z927" i="1"/>
  <c r="Z926" i="1"/>
  <c r="Z925" i="1"/>
  <c r="Z924" i="1"/>
  <c r="Z923" i="1"/>
  <c r="Z922" i="1"/>
  <c r="Z921" i="1"/>
  <c r="Z920" i="1"/>
  <c r="Z919" i="1"/>
  <c r="Z918" i="1"/>
  <c r="Z917" i="1"/>
  <c r="Z916" i="1"/>
  <c r="Z915" i="1"/>
  <c r="Z914" i="1"/>
  <c r="Z913" i="1"/>
  <c r="Z912" i="1"/>
  <c r="Z911" i="1"/>
  <c r="Z910" i="1"/>
  <c r="Z909" i="1"/>
  <c r="Z908" i="1"/>
  <c r="Z907" i="1"/>
  <c r="Z906" i="1"/>
  <c r="Z905" i="1"/>
  <c r="Z904" i="1"/>
  <c r="Z903" i="1"/>
  <c r="Z902" i="1"/>
  <c r="Z901" i="1"/>
  <c r="Z900" i="1"/>
  <c r="Z899" i="1"/>
  <c r="Z898" i="1"/>
  <c r="Z897" i="1"/>
  <c r="Z896" i="1"/>
  <c r="Z895" i="1"/>
  <c r="Z894" i="1"/>
  <c r="Z893" i="1"/>
  <c r="Z892" i="1"/>
  <c r="Z891" i="1"/>
  <c r="Z890" i="1"/>
  <c r="Z889" i="1"/>
  <c r="Z888" i="1"/>
  <c r="Z887" i="1"/>
  <c r="Z886" i="1"/>
  <c r="Z885" i="1"/>
  <c r="Z884" i="1"/>
  <c r="Z883" i="1"/>
  <c r="Z882" i="1"/>
  <c r="Z881" i="1"/>
  <c r="Z880" i="1"/>
  <c r="Z879" i="1"/>
  <c r="Z878" i="1"/>
  <c r="Z877" i="1"/>
  <c r="Z876" i="1"/>
  <c r="Z875" i="1"/>
  <c r="Z874" i="1"/>
  <c r="Z873" i="1"/>
  <c r="Z872" i="1"/>
  <c r="Z871" i="1"/>
  <c r="Z870" i="1"/>
  <c r="Z869" i="1"/>
  <c r="Z868" i="1"/>
  <c r="Z867" i="1"/>
  <c r="Z866" i="1"/>
  <c r="Z865" i="1"/>
  <c r="Z864" i="1"/>
  <c r="Z863" i="1"/>
  <c r="Z862" i="1"/>
  <c r="Z861" i="1"/>
  <c r="Z860" i="1"/>
  <c r="Z859" i="1"/>
  <c r="Z858" i="1"/>
  <c r="Z857" i="1"/>
  <c r="Z856" i="1"/>
  <c r="Z855" i="1"/>
  <c r="Z854" i="1"/>
  <c r="Z853" i="1"/>
  <c r="Z852" i="1"/>
  <c r="Z851" i="1"/>
  <c r="Z850" i="1"/>
  <c r="Z849" i="1"/>
  <c r="Z848" i="1"/>
  <c r="Z847" i="1"/>
  <c r="Z846" i="1"/>
  <c r="Z845" i="1"/>
  <c r="Z844" i="1"/>
  <c r="Z843" i="1"/>
  <c r="Z842" i="1"/>
  <c r="Z841" i="1"/>
  <c r="Z840" i="1"/>
  <c r="Z839" i="1"/>
  <c r="Z838" i="1"/>
  <c r="Z837" i="1"/>
  <c r="Z836" i="1"/>
  <c r="Z835" i="1"/>
  <c r="Z834" i="1"/>
  <c r="Z833" i="1"/>
  <c r="Z832" i="1"/>
  <c r="Z831" i="1"/>
  <c r="Z830" i="1"/>
  <c r="Z829" i="1"/>
  <c r="Z828" i="1"/>
  <c r="Z827" i="1"/>
  <c r="Z826" i="1"/>
  <c r="Z825" i="1"/>
  <c r="Z824" i="1"/>
  <c r="Z823" i="1"/>
  <c r="Z822" i="1"/>
  <c r="Z821" i="1"/>
  <c r="Z820" i="1"/>
  <c r="Z819" i="1"/>
  <c r="Z818" i="1"/>
  <c r="Z817" i="1"/>
  <c r="Z816" i="1"/>
  <c r="Z815" i="1"/>
  <c r="Z814" i="1"/>
  <c r="Z813" i="1"/>
  <c r="Z812" i="1"/>
  <c r="Z811" i="1"/>
  <c r="Z810" i="1"/>
  <c r="Z809" i="1"/>
  <c r="Z808" i="1"/>
  <c r="Z807" i="1"/>
  <c r="Z806" i="1"/>
  <c r="Z805" i="1"/>
  <c r="Z804" i="1"/>
  <c r="Z803" i="1"/>
  <c r="Z802" i="1"/>
  <c r="Z801" i="1"/>
  <c r="Z800" i="1"/>
  <c r="Z799" i="1"/>
  <c r="Z798" i="1"/>
  <c r="Z797" i="1"/>
  <c r="Z796" i="1"/>
  <c r="Z795" i="1"/>
  <c r="Z794" i="1"/>
  <c r="Z793" i="1"/>
  <c r="Z792" i="1"/>
  <c r="Z791" i="1"/>
  <c r="Z790" i="1"/>
  <c r="Z789" i="1"/>
  <c r="Z788" i="1"/>
  <c r="Z787" i="1"/>
  <c r="Z786" i="1"/>
  <c r="Z785" i="1"/>
  <c r="Z784" i="1"/>
  <c r="Z783" i="1"/>
  <c r="Z782" i="1"/>
  <c r="Z781" i="1"/>
  <c r="Z780" i="1"/>
  <c r="Z779" i="1"/>
  <c r="Z778" i="1"/>
  <c r="Z777" i="1"/>
  <c r="Z776" i="1"/>
  <c r="Z775" i="1"/>
  <c r="Z774" i="1"/>
  <c r="Z773" i="1"/>
  <c r="Z772" i="1"/>
  <c r="Z771" i="1"/>
  <c r="Z770" i="1"/>
  <c r="Z769" i="1"/>
  <c r="Z768" i="1"/>
  <c r="Z767" i="1"/>
  <c r="Z766" i="1"/>
  <c r="Z765" i="1"/>
  <c r="Z764" i="1"/>
  <c r="Z763" i="1"/>
  <c r="Z762" i="1"/>
  <c r="Z761" i="1"/>
  <c r="Z760" i="1"/>
  <c r="Z759" i="1"/>
  <c r="Z758" i="1"/>
  <c r="Z757" i="1"/>
  <c r="Z756" i="1"/>
  <c r="Z755" i="1"/>
  <c r="Z754" i="1"/>
  <c r="Z753" i="1"/>
  <c r="Z752" i="1"/>
  <c r="Z751" i="1"/>
  <c r="Z750" i="1"/>
  <c r="Z749" i="1"/>
  <c r="Z748" i="1"/>
  <c r="Z747" i="1"/>
  <c r="Z746" i="1"/>
  <c r="Z745" i="1"/>
  <c r="Z744" i="1"/>
  <c r="Z743" i="1"/>
  <c r="Z742" i="1"/>
  <c r="Z741" i="1"/>
  <c r="Z740" i="1"/>
  <c r="Z739" i="1"/>
  <c r="Z738" i="1"/>
  <c r="Z737" i="1"/>
  <c r="Z736" i="1"/>
  <c r="Z735" i="1"/>
  <c r="Z734" i="1"/>
  <c r="Z733" i="1"/>
  <c r="Z732" i="1"/>
  <c r="Z731" i="1"/>
  <c r="Z730" i="1"/>
  <c r="Z729" i="1"/>
  <c r="Z728" i="1"/>
  <c r="Z727" i="1"/>
  <c r="Z726" i="1"/>
  <c r="Z725" i="1"/>
  <c r="Z724" i="1"/>
  <c r="Z723" i="1"/>
  <c r="Z722" i="1"/>
  <c r="Z721" i="1"/>
  <c r="Z720" i="1"/>
  <c r="Z719" i="1"/>
  <c r="Z718" i="1"/>
  <c r="Z717" i="1"/>
  <c r="Z716" i="1"/>
  <c r="Z715" i="1"/>
  <c r="Z714" i="1"/>
  <c r="Z713" i="1"/>
  <c r="Z712" i="1"/>
  <c r="Z711" i="1"/>
  <c r="Z710" i="1"/>
  <c r="Z709" i="1"/>
  <c r="Z708" i="1"/>
  <c r="Z707" i="1"/>
  <c r="Z706" i="1"/>
  <c r="Z705" i="1"/>
  <c r="Z704" i="1"/>
  <c r="Z703" i="1"/>
  <c r="Z702" i="1"/>
  <c r="Z701" i="1"/>
  <c r="Z700" i="1"/>
  <c r="Z699" i="1"/>
  <c r="Z698" i="1"/>
  <c r="Z697" i="1"/>
  <c r="Z696" i="1"/>
  <c r="Z695" i="1"/>
  <c r="Z694" i="1"/>
  <c r="Z693" i="1"/>
  <c r="Z692" i="1"/>
  <c r="Z691" i="1"/>
  <c r="Z690" i="1"/>
  <c r="Z689" i="1"/>
  <c r="Z688" i="1"/>
  <c r="Z687" i="1"/>
  <c r="Z686" i="1"/>
  <c r="Z685" i="1"/>
  <c r="Z684" i="1"/>
  <c r="Z683" i="1"/>
  <c r="Z682" i="1"/>
  <c r="Z681" i="1"/>
  <c r="Z680" i="1"/>
  <c r="Z679" i="1"/>
  <c r="Z678" i="1"/>
  <c r="Z677" i="1"/>
  <c r="Z676" i="1"/>
  <c r="Z675" i="1"/>
  <c r="Z674" i="1"/>
  <c r="Z673" i="1"/>
  <c r="Z672" i="1"/>
  <c r="Z671" i="1"/>
  <c r="Z670" i="1"/>
  <c r="Z669" i="1"/>
  <c r="Z668" i="1"/>
  <c r="Z667" i="1"/>
  <c r="Z666" i="1"/>
  <c r="Z665" i="1"/>
  <c r="Z664" i="1"/>
  <c r="Z663" i="1"/>
  <c r="Z662" i="1"/>
  <c r="Z661" i="1"/>
  <c r="Z660" i="1"/>
  <c r="Z659" i="1"/>
  <c r="Z658" i="1"/>
  <c r="Z657" i="1"/>
  <c r="Z656" i="1"/>
  <c r="Z655" i="1"/>
  <c r="Z654" i="1"/>
  <c r="Z653" i="1"/>
  <c r="Z652" i="1"/>
  <c r="Z651" i="1"/>
  <c r="Z650" i="1"/>
  <c r="Z649" i="1"/>
  <c r="Z648" i="1"/>
  <c r="Z647" i="1"/>
  <c r="Z646" i="1"/>
  <c r="Z645" i="1"/>
  <c r="Z644" i="1"/>
  <c r="Z643" i="1"/>
  <c r="Z642" i="1"/>
  <c r="Z641" i="1"/>
  <c r="Z640" i="1"/>
  <c r="Z639" i="1"/>
  <c r="Z638" i="1"/>
  <c r="Z637" i="1"/>
  <c r="Z636" i="1"/>
  <c r="Z635" i="1"/>
  <c r="Z634" i="1"/>
  <c r="Z633" i="1"/>
  <c r="Z632" i="1"/>
  <c r="Z631" i="1"/>
  <c r="Z630" i="1"/>
  <c r="Z629" i="1"/>
  <c r="Z628" i="1"/>
  <c r="Z627" i="1"/>
  <c r="Z626" i="1"/>
  <c r="Z625" i="1"/>
  <c r="Z624" i="1"/>
  <c r="Z623" i="1"/>
  <c r="Z622" i="1"/>
  <c r="Z621" i="1"/>
  <c r="Z620" i="1"/>
  <c r="Z619" i="1"/>
  <c r="Z618" i="1"/>
  <c r="Z617" i="1"/>
  <c r="Z616" i="1"/>
  <c r="Z615" i="1"/>
  <c r="Z614" i="1"/>
  <c r="Z613" i="1"/>
  <c r="Z612" i="1"/>
  <c r="Z611" i="1"/>
  <c r="Z610" i="1"/>
  <c r="Z609" i="1"/>
  <c r="Z608" i="1"/>
  <c r="Z607" i="1"/>
  <c r="Z606" i="1"/>
  <c r="Z605" i="1"/>
  <c r="Z604" i="1"/>
  <c r="Z603" i="1"/>
  <c r="Z602" i="1"/>
  <c r="Z601" i="1"/>
  <c r="Z600" i="1"/>
  <c r="Z599" i="1"/>
  <c r="Z598" i="1"/>
  <c r="Z597" i="1"/>
  <c r="Z596" i="1"/>
  <c r="Z595" i="1"/>
  <c r="Z594" i="1"/>
  <c r="Z593" i="1"/>
  <c r="Z592" i="1"/>
  <c r="Z591" i="1"/>
  <c r="Z590" i="1"/>
  <c r="Z589" i="1"/>
  <c r="Z588" i="1"/>
  <c r="Z587" i="1"/>
  <c r="Z586" i="1"/>
  <c r="Z585" i="1"/>
  <c r="Z584" i="1"/>
  <c r="Z583" i="1"/>
  <c r="Z582" i="1"/>
  <c r="Z581" i="1"/>
  <c r="Z580" i="1"/>
  <c r="Z579" i="1"/>
  <c r="Z578" i="1"/>
  <c r="Z577" i="1"/>
  <c r="Z576" i="1"/>
  <c r="Z575" i="1"/>
  <c r="Z574" i="1"/>
  <c r="Z573" i="1"/>
  <c r="Z572" i="1"/>
  <c r="Z571" i="1"/>
  <c r="Z570" i="1"/>
  <c r="Z569" i="1"/>
  <c r="Z568" i="1"/>
  <c r="Z567" i="1"/>
  <c r="Z566" i="1"/>
  <c r="Z565" i="1"/>
  <c r="Z564" i="1"/>
  <c r="Z563" i="1"/>
  <c r="Z562" i="1"/>
  <c r="Z561" i="1"/>
  <c r="Z560" i="1"/>
  <c r="Z559" i="1"/>
  <c r="Z558" i="1"/>
  <c r="Z557" i="1"/>
  <c r="Z556" i="1"/>
  <c r="Z555" i="1"/>
  <c r="Z554" i="1"/>
  <c r="Z553" i="1"/>
  <c r="Z552" i="1"/>
  <c r="Z551" i="1"/>
  <c r="Z550" i="1"/>
  <c r="Z548" i="1"/>
  <c r="Z547" i="1"/>
  <c r="Z546" i="1"/>
  <c r="Z545" i="1"/>
  <c r="Z544" i="1"/>
  <c r="Z543" i="1"/>
  <c r="Z542" i="1"/>
  <c r="Z541" i="1"/>
  <c r="Z540" i="1"/>
  <c r="Z539" i="1"/>
  <c r="Z538" i="1"/>
  <c r="Z537" i="1"/>
  <c r="Z536" i="1"/>
  <c r="Z535" i="1"/>
  <c r="Z534" i="1"/>
  <c r="Z533" i="1"/>
  <c r="Z532" i="1"/>
  <c r="Z531" i="1"/>
  <c r="Z530" i="1"/>
  <c r="Z529" i="1"/>
  <c r="Z528" i="1"/>
  <c r="Z527" i="1"/>
  <c r="Z526" i="1"/>
  <c r="Z525" i="1"/>
  <c r="Z524" i="1"/>
  <c r="Z523" i="1"/>
  <c r="Z522" i="1"/>
  <c r="Z521" i="1"/>
  <c r="Z520" i="1"/>
  <c r="Z519" i="1"/>
  <c r="Z518" i="1"/>
  <c r="Z517" i="1"/>
  <c r="Z516" i="1"/>
  <c r="Z515" i="1"/>
  <c r="Z514" i="1"/>
  <c r="Z513" i="1"/>
  <c r="Z512" i="1"/>
  <c r="Z511" i="1"/>
  <c r="Z510" i="1"/>
  <c r="Z509" i="1"/>
  <c r="Z508" i="1"/>
  <c r="Z507" i="1"/>
  <c r="Z506" i="1"/>
  <c r="Z505" i="1"/>
  <c r="Z504" i="1"/>
  <c r="Z503" i="1"/>
  <c r="Z502" i="1"/>
  <c r="Z501" i="1"/>
  <c r="Z500" i="1"/>
  <c r="Z499" i="1"/>
  <c r="Z498" i="1"/>
  <c r="Z497" i="1"/>
  <c r="Z496" i="1"/>
  <c r="Z495" i="1"/>
  <c r="Z494" i="1"/>
  <c r="Z493" i="1"/>
  <c r="Z492" i="1"/>
  <c r="Z491" i="1"/>
  <c r="Z490" i="1"/>
  <c r="Z489" i="1"/>
  <c r="Z488" i="1"/>
  <c r="Z487" i="1"/>
  <c r="Z486" i="1"/>
  <c r="Z485" i="1"/>
  <c r="Z484" i="1"/>
  <c r="Z483" i="1"/>
  <c r="Z482" i="1"/>
  <c r="Z481" i="1"/>
  <c r="Z480" i="1"/>
  <c r="Z479" i="1"/>
  <c r="Z478" i="1"/>
  <c r="Z477" i="1"/>
  <c r="Z476" i="1"/>
  <c r="Z475" i="1"/>
  <c r="Z474" i="1"/>
  <c r="Z473" i="1"/>
  <c r="Z472" i="1"/>
  <c r="Z471" i="1"/>
  <c r="Z470" i="1"/>
  <c r="Z469" i="1"/>
  <c r="Z468" i="1"/>
  <c r="Z467" i="1"/>
  <c r="Z466" i="1"/>
  <c r="Z465" i="1"/>
  <c r="Z464" i="1"/>
  <c r="Z463" i="1"/>
  <c r="Z462" i="1"/>
  <c r="Z461" i="1"/>
  <c r="Z460" i="1"/>
  <c r="Z459" i="1"/>
  <c r="Z458" i="1"/>
  <c r="Z457" i="1"/>
  <c r="Z456" i="1"/>
  <c r="Z455" i="1"/>
  <c r="Z454" i="1"/>
  <c r="Z453" i="1"/>
  <c r="Z452" i="1"/>
  <c r="Z451" i="1"/>
  <c r="Z450" i="1"/>
  <c r="Z449" i="1"/>
  <c r="Z448" i="1"/>
  <c r="Z447" i="1"/>
  <c r="Z446" i="1"/>
  <c r="Z445" i="1"/>
  <c r="Z444" i="1"/>
  <c r="Z443" i="1"/>
  <c r="Z442" i="1"/>
  <c r="Z441" i="1"/>
  <c r="Z440" i="1"/>
  <c r="Z439" i="1"/>
  <c r="Z438" i="1"/>
  <c r="Z437" i="1"/>
  <c r="Z436" i="1"/>
  <c r="Z435" i="1"/>
  <c r="Z434" i="1"/>
  <c r="Z433" i="1"/>
  <c r="Z432" i="1"/>
  <c r="Z431" i="1"/>
  <c r="Z430" i="1"/>
  <c r="Z429" i="1"/>
  <c r="Z428" i="1"/>
  <c r="Z427" i="1"/>
  <c r="Z426" i="1"/>
  <c r="Z425" i="1"/>
  <c r="Z424" i="1"/>
  <c r="Z423" i="1"/>
  <c r="Z422" i="1"/>
  <c r="Z421" i="1"/>
  <c r="Z420" i="1"/>
  <c r="Z419" i="1"/>
  <c r="Z418" i="1"/>
  <c r="Z417" i="1"/>
  <c r="Z416" i="1"/>
  <c r="Z415" i="1"/>
  <c r="Z414" i="1"/>
  <c r="Z413" i="1"/>
  <c r="Z412" i="1"/>
  <c r="Z411" i="1"/>
  <c r="Z410" i="1"/>
  <c r="Z409" i="1"/>
  <c r="Z408" i="1"/>
  <c r="Z407" i="1"/>
  <c r="Z406" i="1"/>
  <c r="Z405" i="1"/>
  <c r="Z404" i="1"/>
  <c r="Z403" i="1"/>
  <c r="Z402" i="1"/>
  <c r="Z401" i="1"/>
  <c r="Z400" i="1"/>
  <c r="Z399" i="1"/>
  <c r="Z398" i="1"/>
  <c r="Z397" i="1"/>
  <c r="Z396" i="1"/>
  <c r="Z395" i="1"/>
  <c r="Z394" i="1"/>
  <c r="Z393" i="1"/>
  <c r="Z392" i="1"/>
  <c r="Z391" i="1"/>
  <c r="Z390" i="1"/>
  <c r="Z389" i="1"/>
  <c r="Z388" i="1"/>
  <c r="Z387" i="1"/>
  <c r="Z386" i="1"/>
  <c r="Z385" i="1"/>
  <c r="Z384" i="1"/>
  <c r="Z383" i="1"/>
  <c r="Z382" i="1"/>
  <c r="Z381" i="1"/>
  <c r="Z380" i="1"/>
  <c r="Z379" i="1"/>
  <c r="Z378" i="1"/>
  <c r="Z377" i="1"/>
  <c r="Z376" i="1"/>
  <c r="Z375" i="1"/>
  <c r="Z374" i="1"/>
  <c r="Z373" i="1"/>
  <c r="Z372" i="1"/>
  <c r="Z371" i="1"/>
  <c r="Z370" i="1"/>
  <c r="Z369" i="1"/>
  <c r="Z368" i="1"/>
  <c r="Z367" i="1"/>
  <c r="Z366" i="1"/>
  <c r="Z365" i="1"/>
  <c r="Z364" i="1"/>
  <c r="Z363" i="1"/>
  <c r="Z362" i="1"/>
  <c r="Z361" i="1"/>
  <c r="Z360" i="1"/>
  <c r="Z359" i="1"/>
  <c r="Z358" i="1"/>
  <c r="Z357" i="1"/>
  <c r="Z356" i="1"/>
  <c r="Z355" i="1"/>
  <c r="Z354" i="1"/>
  <c r="Z353" i="1"/>
  <c r="Z352" i="1"/>
  <c r="Z351" i="1"/>
  <c r="Z350" i="1"/>
  <c r="Z349" i="1"/>
  <c r="Z348" i="1"/>
  <c r="Z347" i="1"/>
  <c r="Z346" i="1"/>
  <c r="Z345" i="1"/>
  <c r="Z344" i="1"/>
  <c r="Z343" i="1"/>
  <c r="Z342" i="1"/>
  <c r="Z341" i="1"/>
  <c r="Z340" i="1"/>
  <c r="Z339" i="1"/>
  <c r="Z338" i="1"/>
  <c r="Z337" i="1"/>
  <c r="Z336" i="1"/>
  <c r="Z335" i="1"/>
  <c r="Z334" i="1"/>
  <c r="Z333" i="1"/>
  <c r="Z332" i="1"/>
  <c r="Z331" i="1"/>
  <c r="Z330" i="1"/>
  <c r="Z329" i="1"/>
  <c r="Z328" i="1"/>
  <c r="Z327" i="1"/>
  <c r="Z326" i="1"/>
  <c r="Z325" i="1"/>
  <c r="Z324" i="1"/>
  <c r="Z323" i="1"/>
  <c r="Z322" i="1"/>
  <c r="Z321" i="1"/>
  <c r="Z320" i="1"/>
  <c r="Z319" i="1"/>
  <c r="Z318" i="1"/>
  <c r="Z317" i="1"/>
  <c r="Z316" i="1"/>
  <c r="Z315" i="1"/>
  <c r="Z314" i="1"/>
  <c r="Z313" i="1"/>
  <c r="Z312" i="1"/>
  <c r="Z311" i="1"/>
  <c r="Z310" i="1"/>
  <c r="Z309" i="1"/>
  <c r="Z308" i="1"/>
  <c r="Z307" i="1"/>
  <c r="Z306" i="1"/>
  <c r="Z305" i="1"/>
  <c r="Z304" i="1"/>
  <c r="Z303" i="1"/>
  <c r="Z302" i="1"/>
  <c r="Z301" i="1"/>
  <c r="Z300" i="1"/>
  <c r="Z299" i="1"/>
  <c r="Z298" i="1"/>
  <c r="Z297" i="1"/>
  <c r="Z296" i="1"/>
  <c r="Z295" i="1"/>
  <c r="Z294" i="1"/>
  <c r="Z293" i="1"/>
  <c r="Z292" i="1"/>
  <c r="Z290" i="1"/>
  <c r="Z289" i="1"/>
  <c r="Z288" i="1"/>
  <c r="Z287" i="1"/>
  <c r="Z286" i="1"/>
  <c r="Z285" i="1"/>
  <c r="Z284" i="1"/>
  <c r="Z283" i="1"/>
  <c r="Z282" i="1"/>
  <c r="Z281" i="1"/>
  <c r="Z280" i="1"/>
  <c r="Z279" i="1"/>
  <c r="Z278" i="1"/>
  <c r="Z277" i="1"/>
  <c r="Z276" i="1"/>
  <c r="Z275" i="1"/>
  <c r="Z274" i="1"/>
  <c r="Z273" i="1"/>
  <c r="Z272" i="1"/>
  <c r="Z271" i="1"/>
  <c r="Z270" i="1"/>
  <c r="Z269" i="1"/>
  <c r="Z268" i="1"/>
  <c r="Z267" i="1"/>
  <c r="Z266" i="1"/>
  <c r="Z265" i="1"/>
  <c r="Z264" i="1"/>
  <c r="Z263" i="1"/>
  <c r="Z262" i="1"/>
  <c r="Z261" i="1"/>
  <c r="Z260" i="1"/>
  <c r="Z259" i="1"/>
  <c r="Z258" i="1"/>
  <c r="Z257" i="1"/>
  <c r="Z256" i="1"/>
  <c r="Z255" i="1"/>
  <c r="Z254" i="1"/>
  <c r="Z253" i="1"/>
  <c r="Z252" i="1"/>
  <c r="Z251" i="1"/>
  <c r="Z250" i="1"/>
  <c r="Z249" i="1"/>
  <c r="Z248" i="1"/>
  <c r="Z247" i="1"/>
  <c r="Z246" i="1"/>
  <c r="Z245" i="1"/>
  <c r="Z244" i="1"/>
  <c r="Z243" i="1"/>
  <c r="Z242" i="1"/>
  <c r="Z241" i="1"/>
  <c r="Z240" i="1"/>
  <c r="Z239" i="1"/>
  <c r="Z238" i="1"/>
  <c r="Z237" i="1"/>
  <c r="Z236" i="1"/>
  <c r="Z235" i="1"/>
  <c r="Z234" i="1"/>
  <c r="Z233" i="1"/>
  <c r="Z232" i="1"/>
  <c r="Z231" i="1"/>
  <c r="Z230" i="1"/>
  <c r="Z229" i="1"/>
  <c r="Z228" i="1"/>
  <c r="Z227" i="1"/>
  <c r="Z226" i="1"/>
  <c r="Z225" i="1"/>
  <c r="Z224" i="1"/>
  <c r="Z223" i="1"/>
  <c r="Z222" i="1"/>
  <c r="Z221" i="1"/>
  <c r="Z220" i="1"/>
  <c r="Z219" i="1"/>
  <c r="Z218" i="1"/>
  <c r="Z217" i="1"/>
  <c r="Z216" i="1"/>
  <c r="Z215" i="1"/>
  <c r="Z214" i="1"/>
  <c r="Z213" i="1"/>
  <c r="Z212" i="1"/>
  <c r="Z211" i="1"/>
  <c r="Z210" i="1"/>
  <c r="Z209" i="1"/>
  <c r="Z208" i="1"/>
  <c r="Z207" i="1"/>
  <c r="Z206" i="1"/>
  <c r="Z205" i="1"/>
  <c r="Z204" i="1"/>
  <c r="Z203" i="1"/>
  <c r="Z202" i="1"/>
  <c r="Z201" i="1"/>
  <c r="Z200" i="1"/>
  <c r="Z199" i="1"/>
  <c r="Z198" i="1"/>
  <c r="Z197" i="1"/>
  <c r="Z196" i="1"/>
  <c r="Z195" i="1"/>
  <c r="Z194" i="1"/>
  <c r="Z193" i="1"/>
  <c r="Z192" i="1"/>
  <c r="Z191" i="1"/>
  <c r="Z190" i="1"/>
  <c r="Z189" i="1"/>
  <c r="Z188" i="1"/>
  <c r="Z187" i="1"/>
  <c r="Z186" i="1"/>
  <c r="Z185" i="1"/>
  <c r="Z184" i="1"/>
  <c r="Z183" i="1"/>
  <c r="Z182" i="1"/>
  <c r="Z181" i="1"/>
  <c r="Z180" i="1"/>
  <c r="Z179" i="1"/>
  <c r="Z178" i="1"/>
  <c r="Z177" i="1"/>
  <c r="Z176" i="1"/>
  <c r="Z175" i="1"/>
  <c r="Z174" i="1"/>
  <c r="Z173" i="1"/>
  <c r="Z172" i="1"/>
  <c r="Z171" i="1"/>
  <c r="Z170" i="1"/>
  <c r="Z169" i="1"/>
  <c r="Z168" i="1"/>
  <c r="Z167" i="1"/>
  <c r="Z166" i="1"/>
  <c r="Z165" i="1"/>
  <c r="Z164" i="1"/>
  <c r="Z163" i="1"/>
  <c r="Z162" i="1"/>
  <c r="Z161" i="1"/>
  <c r="Z160" i="1"/>
  <c r="Z159" i="1"/>
  <c r="Z158" i="1"/>
  <c r="Z157" i="1"/>
  <c r="Z156" i="1"/>
  <c r="Z155" i="1"/>
  <c r="Z154" i="1"/>
  <c r="Z153" i="1"/>
  <c r="Z152" i="1"/>
  <c r="Z151" i="1"/>
  <c r="Z150" i="1"/>
  <c r="Z149" i="1"/>
  <c r="Z148" i="1"/>
  <c r="Z147" i="1"/>
  <c r="Z146" i="1"/>
  <c r="Z145" i="1"/>
  <c r="Z144" i="1"/>
  <c r="Z143" i="1"/>
  <c r="Z142" i="1"/>
  <c r="Z141" i="1"/>
  <c r="Z140" i="1"/>
  <c r="Z139" i="1"/>
  <c r="Z138" i="1"/>
  <c r="Z137" i="1"/>
  <c r="Z136" i="1"/>
  <c r="Z135" i="1"/>
  <c r="Z134" i="1"/>
  <c r="Z133" i="1"/>
  <c r="Z132" i="1"/>
  <c r="Z131" i="1"/>
  <c r="Z130" i="1"/>
  <c r="Z129" i="1"/>
  <c r="Z128" i="1"/>
  <c r="Z127" i="1"/>
  <c r="Z126" i="1"/>
  <c r="Z125" i="1"/>
  <c r="Z124" i="1"/>
  <c r="Z123" i="1"/>
  <c r="Z122" i="1"/>
  <c r="Z121" i="1"/>
  <c r="Z120" i="1"/>
  <c r="Z119" i="1"/>
  <c r="Z118" i="1"/>
  <c r="Z117" i="1"/>
  <c r="Z116" i="1"/>
  <c r="Z115" i="1"/>
  <c r="Z114" i="1"/>
  <c r="Z113" i="1"/>
  <c r="Z112" i="1"/>
  <c r="Z111" i="1"/>
  <c r="Z110" i="1"/>
  <c r="Z109" i="1"/>
  <c r="Z108" i="1"/>
  <c r="Z107" i="1"/>
  <c r="Z106" i="1"/>
  <c r="Z105" i="1"/>
  <c r="Z104" i="1"/>
  <c r="Z103" i="1"/>
  <c r="Z102" i="1"/>
  <c r="Z101" i="1"/>
  <c r="Z100" i="1"/>
  <c r="Z99" i="1"/>
  <c r="Z98" i="1"/>
  <c r="Z97" i="1"/>
  <c r="Z96" i="1"/>
  <c r="Z95" i="1"/>
  <c r="Z94" i="1"/>
  <c r="Z93" i="1"/>
  <c r="Z92" i="1"/>
  <c r="Z91" i="1"/>
  <c r="Z90" i="1"/>
  <c r="Z89" i="1"/>
  <c r="Z88" i="1"/>
  <c r="Z87" i="1"/>
  <c r="Z86" i="1"/>
  <c r="Z85" i="1"/>
  <c r="Z84" i="1"/>
  <c r="Z83" i="1"/>
  <c r="Z82" i="1"/>
  <c r="Z81" i="1"/>
  <c r="Z80" i="1"/>
  <c r="Z79" i="1"/>
  <c r="Z78" i="1"/>
  <c r="Z77" i="1"/>
  <c r="Z76" i="1"/>
  <c r="Z75" i="1"/>
  <c r="Z74" i="1"/>
  <c r="Z73" i="1"/>
  <c r="Z72" i="1"/>
  <c r="Z71" i="1"/>
  <c r="Z70" i="1"/>
  <c r="Z69" i="1"/>
  <c r="Z68" i="1"/>
  <c r="Z67" i="1"/>
  <c r="Z66" i="1"/>
  <c r="Z65" i="1"/>
  <c r="Z64" i="1"/>
  <c r="Z63" i="1"/>
  <c r="Z62" i="1"/>
  <c r="Z61" i="1"/>
  <c r="Z60" i="1"/>
  <c r="Z59" i="1"/>
  <c r="Z58" i="1"/>
  <c r="Z57" i="1"/>
  <c r="Z56" i="1"/>
  <c r="Z55" i="1"/>
  <c r="Z54" i="1"/>
  <c r="Z53" i="1"/>
  <c r="Z52" i="1"/>
  <c r="Z51" i="1"/>
  <c r="Z50" i="1"/>
  <c r="Z49" i="1"/>
  <c r="Z48" i="1"/>
  <c r="Z47" i="1"/>
  <c r="Z46" i="1"/>
  <c r="Z45" i="1"/>
  <c r="Z44" i="1"/>
  <c r="Z43" i="1"/>
  <c r="Z42" i="1"/>
  <c r="Z41" i="1"/>
  <c r="Z40" i="1"/>
  <c r="Z39" i="1"/>
  <c r="Z38" i="1"/>
  <c r="Z37" i="1"/>
  <c r="Z36" i="1"/>
  <c r="Z35"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Z3" i="1"/>
  <c r="Z2" i="1"/>
  <c r="G10"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Z1192" i="1" s="1"/>
  <c r="Y1191" i="1"/>
  <c r="Y1192" i="1"/>
  <c r="Y1135"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N1253" i="1"/>
  <c r="N1258" i="1"/>
  <c r="N1282"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193" i="1"/>
  <c r="M1193" i="1"/>
  <c r="O1193" i="1"/>
  <c r="N1199" i="1" s="1"/>
  <c r="G3" i="1"/>
  <c r="G4" i="1"/>
  <c r="G5" i="1"/>
  <c r="G6" i="1"/>
  <c r="G7" i="1"/>
  <c r="G8" i="1"/>
  <c r="G9"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2"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193" i="1"/>
  <c r="D1187" i="1"/>
  <c r="O1175" i="1"/>
  <c r="H1176" i="1"/>
  <c r="H1177" i="1"/>
  <c r="H1178" i="1"/>
  <c r="H1179" i="1"/>
  <c r="H1180" i="1"/>
  <c r="H1181" i="1"/>
  <c r="H1182" i="1"/>
  <c r="H1183" i="1"/>
  <c r="H1184" i="1"/>
  <c r="H1185" i="1"/>
  <c r="H1186" i="1"/>
  <c r="H1187" i="1"/>
  <c r="H1188" i="1"/>
  <c r="H1189" i="1"/>
  <c r="H1190" i="1"/>
  <c r="H1191" i="1"/>
  <c r="H1192" i="1"/>
  <c r="M1176" i="1"/>
  <c r="M1180" i="1"/>
  <c r="M1177" i="1"/>
  <c r="M1178" i="1"/>
  <c r="M1179" i="1"/>
  <c r="M1181" i="1"/>
  <c r="M1182" i="1"/>
  <c r="M1183" i="1"/>
  <c r="M1184" i="1"/>
  <c r="M1185" i="1"/>
  <c r="M1186" i="1"/>
  <c r="M1187" i="1"/>
  <c r="M1188" i="1"/>
  <c r="M1189" i="1"/>
  <c r="M1190" i="1"/>
  <c r="M1191" i="1"/>
  <c r="M1192" i="1"/>
  <c r="O1177" i="1"/>
  <c r="O1178" i="1"/>
  <c r="O1179" i="1"/>
  <c r="O1180" i="1"/>
  <c r="O1181" i="1"/>
  <c r="O1182" i="1"/>
  <c r="O1183" i="1"/>
  <c r="O1184" i="1"/>
  <c r="O1185" i="1"/>
  <c r="O1186" i="1"/>
  <c r="O1187" i="1"/>
  <c r="O1188" i="1"/>
  <c r="O1189" i="1"/>
  <c r="O1190" i="1"/>
  <c r="O1191" i="1"/>
  <c r="O1192" i="1"/>
  <c r="O1176"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35" i="1"/>
  <c r="M1134" i="1"/>
  <c r="M1135" i="1"/>
  <c r="O1134" i="1"/>
  <c r="H1134" i="1"/>
  <c r="Z1177" i="1" l="1"/>
  <c r="Z1185" i="1"/>
  <c r="Z1178" i="1"/>
  <c r="Z1180" i="1"/>
  <c r="Z1188" i="1"/>
  <c r="Z1179" i="1"/>
  <c r="Z1181" i="1"/>
  <c r="Z1189" i="1"/>
  <c r="Z1182" i="1"/>
  <c r="Z1190" i="1"/>
  <c r="Z1183" i="1"/>
  <c r="Z1191" i="1"/>
  <c r="Z1187" i="1"/>
  <c r="Z1176" i="1"/>
  <c r="Z1184" i="1"/>
  <c r="S1170" i="1"/>
  <c r="S1162" i="1"/>
  <c r="S1154" i="1"/>
  <c r="S1146" i="1"/>
  <c r="S1138" i="1"/>
  <c r="S1136" i="1"/>
  <c r="N1226" i="1"/>
  <c r="N1221" i="1"/>
  <c r="N1290" i="1"/>
  <c r="N1285" i="1"/>
  <c r="N1250" i="1"/>
  <c r="N1218" i="1"/>
  <c r="N1277" i="1"/>
  <c r="N1245" i="1"/>
  <c r="N1213" i="1"/>
  <c r="N1274" i="1"/>
  <c r="N1242" i="1"/>
  <c r="N1210" i="1"/>
  <c r="N1269" i="1"/>
  <c r="N1237" i="1"/>
  <c r="N1205" i="1"/>
  <c r="N1266" i="1"/>
  <c r="N1234" i="1"/>
  <c r="N1202" i="1"/>
  <c r="N1193" i="1"/>
  <c r="N1261" i="1"/>
  <c r="N1229" i="1"/>
  <c r="N1286" i="1"/>
  <c r="N1278" i="1"/>
  <c r="N1270" i="1"/>
  <c r="N1262" i="1"/>
  <c r="N1254" i="1"/>
  <c r="N1246" i="1"/>
  <c r="N1238" i="1"/>
  <c r="N1230" i="1"/>
  <c r="N1222" i="1"/>
  <c r="N1214" i="1"/>
  <c r="N1206" i="1"/>
  <c r="N1198" i="1"/>
  <c r="N1197" i="1"/>
  <c r="N1292" i="1"/>
  <c r="N1284" i="1"/>
  <c r="N1276" i="1"/>
  <c r="N1268" i="1"/>
  <c r="N1260" i="1"/>
  <c r="N1252" i="1"/>
  <c r="N1244" i="1"/>
  <c r="N1236" i="1"/>
  <c r="N1228" i="1"/>
  <c r="N1220" i="1"/>
  <c r="N1212" i="1"/>
  <c r="N1204" i="1"/>
  <c r="N1196" i="1"/>
  <c r="N1291" i="1"/>
  <c r="N1283" i="1"/>
  <c r="N1275" i="1"/>
  <c r="N1267" i="1"/>
  <c r="N1259" i="1"/>
  <c r="N1251" i="1"/>
  <c r="N1243" i="1"/>
  <c r="N1235" i="1"/>
  <c r="N1227" i="1"/>
  <c r="N1219" i="1"/>
  <c r="N1211" i="1"/>
  <c r="N1203" i="1"/>
  <c r="N1195" i="1"/>
  <c r="N1194" i="1"/>
  <c r="N1289" i="1"/>
  <c r="N1281" i="1"/>
  <c r="N1273" i="1"/>
  <c r="N1265" i="1"/>
  <c r="N1257" i="1"/>
  <c r="N1249" i="1"/>
  <c r="N1241" i="1"/>
  <c r="N1233" i="1"/>
  <c r="N1225" i="1"/>
  <c r="N1217" i="1"/>
  <c r="N1209" i="1"/>
  <c r="N1201" i="1"/>
  <c r="N1288" i="1"/>
  <c r="N1280" i="1"/>
  <c r="N1272" i="1"/>
  <c r="N1264" i="1"/>
  <c r="N1256" i="1"/>
  <c r="N1248" i="1"/>
  <c r="N1240" i="1"/>
  <c r="N1232" i="1"/>
  <c r="N1224" i="1"/>
  <c r="N1216" i="1"/>
  <c r="N1208" i="1"/>
  <c r="N1200" i="1"/>
  <c r="N1287" i="1"/>
  <c r="N1279" i="1"/>
  <c r="N1271" i="1"/>
  <c r="N1263" i="1"/>
  <c r="N1255" i="1"/>
  <c r="N1247" i="1"/>
  <c r="N1239" i="1"/>
  <c r="N1231" i="1"/>
  <c r="N1223" i="1"/>
  <c r="N1215" i="1"/>
  <c r="N1207" i="1"/>
  <c r="J1176" i="1"/>
  <c r="N1176" i="1" s="1"/>
  <c r="J1177" i="1"/>
  <c r="N1177" i="1" s="1"/>
  <c r="J1178" i="1"/>
  <c r="N1178" i="1" s="1"/>
  <c r="J1179" i="1"/>
  <c r="N1179" i="1" s="1"/>
  <c r="J1180" i="1"/>
  <c r="N1180" i="1" s="1"/>
  <c r="J1181" i="1"/>
  <c r="N1181" i="1" s="1"/>
  <c r="J1182" i="1"/>
  <c r="N1182" i="1" s="1"/>
  <c r="J1183" i="1"/>
  <c r="N1183" i="1" s="1"/>
  <c r="J1184" i="1"/>
  <c r="N1184" i="1" s="1"/>
  <c r="J1185" i="1"/>
  <c r="N1185" i="1" s="1"/>
  <c r="J1186" i="1"/>
  <c r="N1186" i="1" s="1"/>
  <c r="J1187" i="1"/>
  <c r="N1187" i="1" s="1"/>
  <c r="J1188" i="1"/>
  <c r="N1188" i="1" s="1"/>
  <c r="J1189" i="1"/>
  <c r="N1189" i="1" s="1"/>
  <c r="J1190" i="1"/>
  <c r="N1190" i="1" s="1"/>
  <c r="J1191" i="1"/>
  <c r="N1191" i="1" s="1"/>
  <c r="J1192" i="1"/>
  <c r="N1192" i="1" s="1"/>
  <c r="D1177" i="1"/>
  <c r="D1178" i="1"/>
  <c r="D1179" i="1"/>
  <c r="D1180" i="1"/>
  <c r="D1181" i="1"/>
  <c r="D1182" i="1"/>
  <c r="D1183" i="1"/>
  <c r="D1184" i="1"/>
  <c r="D1185" i="1"/>
  <c r="D1186" i="1"/>
  <c r="D1188" i="1"/>
  <c r="D1189" i="1"/>
  <c r="D1190" i="1"/>
  <c r="D1191" i="1"/>
  <c r="D1192" i="1"/>
  <c r="D1176"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35" i="1"/>
  <c r="N1137" i="1" s="1"/>
  <c r="J1134" i="1"/>
  <c r="S1067" i="1"/>
  <c r="AI1052" i="1"/>
  <c r="AI1053" i="1"/>
  <c r="AI1054" i="1"/>
  <c r="AI1055" i="1"/>
  <c r="AI1056" i="1"/>
  <c r="AI1057" i="1"/>
  <c r="AI1058" i="1"/>
  <c r="AI1059" i="1"/>
  <c r="AI1060" i="1"/>
  <c r="AI1061" i="1"/>
  <c r="AI1062" i="1"/>
  <c r="AI1063" i="1"/>
  <c r="AI1064" i="1"/>
  <c r="AI1065" i="1"/>
  <c r="AI1066" i="1"/>
  <c r="E268" i="1"/>
  <c r="E269" i="1"/>
  <c r="E270" i="1"/>
  <c r="E271" i="1"/>
  <c r="E272" i="1"/>
  <c r="E273" i="1"/>
  <c r="E274" i="1"/>
  <c r="E275" i="1"/>
  <c r="E276" i="1"/>
  <c r="E277" i="1"/>
  <c r="E278" i="1"/>
  <c r="E279" i="1"/>
  <c r="E280" i="1"/>
  <c r="E281" i="1"/>
  <c r="E282" i="1"/>
  <c r="E283" i="1"/>
  <c r="E284" i="1"/>
  <c r="E285" i="1"/>
  <c r="E286" i="1"/>
  <c r="E287" i="1"/>
  <c r="E288" i="1"/>
  <c r="E289" i="1"/>
  <c r="E290" i="1"/>
  <c r="E291" i="1"/>
  <c r="E267" i="1"/>
  <c r="D268" i="1"/>
  <c r="D269" i="1"/>
  <c r="D270" i="1"/>
  <c r="D271" i="1"/>
  <c r="D272" i="1"/>
  <c r="D273" i="1"/>
  <c r="D274" i="1"/>
  <c r="D275" i="1"/>
  <c r="D276" i="1"/>
  <c r="D277" i="1"/>
  <c r="D278" i="1"/>
  <c r="D279" i="1"/>
  <c r="D280" i="1"/>
  <c r="D281" i="1"/>
  <c r="D282" i="1"/>
  <c r="D283" i="1"/>
  <c r="D284" i="1"/>
  <c r="D285" i="1"/>
  <c r="D286" i="1"/>
  <c r="D287" i="1"/>
  <c r="D288" i="1"/>
  <c r="D289" i="1"/>
  <c r="D290" i="1"/>
  <c r="D267" i="1"/>
  <c r="D148" i="1"/>
  <c r="E100" i="1"/>
  <c r="E101" i="1"/>
  <c r="E102" i="1"/>
  <c r="E103" i="1"/>
  <c r="E104" i="1"/>
  <c r="E105" i="1"/>
  <c r="E106" i="1"/>
  <c r="E107" i="1"/>
  <c r="E108" i="1"/>
  <c r="E109" i="1"/>
  <c r="E110" i="1"/>
  <c r="E111" i="1"/>
  <c r="E112" i="1"/>
  <c r="E113" i="1"/>
  <c r="E114" i="1"/>
  <c r="E115" i="1"/>
  <c r="E116" i="1"/>
  <c r="E99" i="1"/>
  <c r="D100" i="1"/>
  <c r="D101" i="1"/>
  <c r="D102" i="1"/>
  <c r="D103" i="1"/>
  <c r="D104" i="1"/>
  <c r="D105" i="1"/>
  <c r="D106" i="1"/>
  <c r="D107" i="1"/>
  <c r="D108" i="1"/>
  <c r="D109" i="1"/>
  <c r="D110" i="1"/>
  <c r="D111" i="1"/>
  <c r="D112" i="1"/>
  <c r="D113" i="1"/>
  <c r="D114" i="1"/>
  <c r="D115" i="1"/>
  <c r="D116" i="1"/>
  <c r="D99" i="1"/>
  <c r="AI1051" i="1"/>
  <c r="E1052" i="1"/>
  <c r="E1053" i="1"/>
  <c r="E1054" i="1"/>
  <c r="E1055" i="1"/>
  <c r="E1056" i="1"/>
  <c r="E1057" i="1"/>
  <c r="E1058" i="1"/>
  <c r="E1059" i="1"/>
  <c r="E1060" i="1"/>
  <c r="E1061" i="1"/>
  <c r="E1062" i="1"/>
  <c r="E1063" i="1"/>
  <c r="E1064" i="1"/>
  <c r="E1065" i="1"/>
  <c r="E1066" i="1"/>
  <c r="E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51" i="1"/>
  <c r="N1142" i="1" l="1"/>
  <c r="N1175" i="1"/>
  <c r="N1138" i="1"/>
  <c r="N1163" i="1"/>
  <c r="N1148" i="1"/>
  <c r="N1174" i="1"/>
  <c r="N1165" i="1"/>
  <c r="N1151" i="1"/>
  <c r="N1135" i="1"/>
  <c r="N1161" i="1"/>
  <c r="N1139" i="1"/>
  <c r="N1173" i="1"/>
  <c r="N1159" i="1"/>
  <c r="N1169" i="1"/>
  <c r="N1147" i="1"/>
  <c r="N1140" i="1"/>
  <c r="N1160" i="1"/>
  <c r="N1167" i="1"/>
  <c r="N1155" i="1"/>
  <c r="N1156" i="1"/>
  <c r="N1150" i="1"/>
  <c r="N1136" i="1"/>
  <c r="N1146" i="1"/>
  <c r="N1171" i="1"/>
  <c r="N1172" i="1"/>
  <c r="N1149" i="1"/>
  <c r="N1166" i="1"/>
  <c r="N1152" i="1"/>
  <c r="N1145" i="1"/>
  <c r="N1162" i="1"/>
  <c r="N1164" i="1"/>
  <c r="N1141" i="1"/>
  <c r="N1158" i="1"/>
  <c r="N1144" i="1"/>
  <c r="N1154" i="1"/>
  <c r="N1157" i="1"/>
  <c r="N1143" i="1"/>
  <c r="N1168" i="1"/>
  <c r="N1153" i="1"/>
  <c r="N1170" i="1"/>
  <c r="AI1126" i="1"/>
  <c r="AI1127" i="1"/>
  <c r="AI1128" i="1"/>
  <c r="AI1129" i="1"/>
  <c r="AI1130" i="1"/>
  <c r="AI1131" i="1"/>
  <c r="AI1132" i="1"/>
  <c r="AI1133" i="1"/>
  <c r="AI1134" i="1"/>
  <c r="AI1125" i="1"/>
  <c r="M1126" i="1"/>
  <c r="M1127" i="1"/>
  <c r="M1128" i="1"/>
  <c r="M1129" i="1"/>
  <c r="M1130" i="1"/>
  <c r="M1131" i="1"/>
  <c r="M1132" i="1"/>
  <c r="M1133" i="1"/>
  <c r="M1125" i="1"/>
  <c r="M1121" i="1"/>
  <c r="M1122" i="1"/>
  <c r="M1123" i="1"/>
  <c r="M1124" i="1"/>
  <c r="M1120" i="1"/>
  <c r="M1111" i="1"/>
  <c r="M1112" i="1"/>
  <c r="M1113" i="1"/>
  <c r="M1114" i="1"/>
  <c r="M1115" i="1"/>
  <c r="M1116" i="1"/>
  <c r="M1117" i="1"/>
  <c r="M1118" i="1"/>
  <c r="M1119" i="1"/>
  <c r="M1110"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077" i="1"/>
  <c r="M1068" i="1"/>
  <c r="M1069" i="1"/>
  <c r="M1070" i="1"/>
  <c r="M1071" i="1"/>
  <c r="M1072" i="1"/>
  <c r="M1073" i="1"/>
  <c r="M1074" i="1"/>
  <c r="M1075" i="1"/>
  <c r="M1076" i="1"/>
  <c r="M1067" i="1"/>
  <c r="M1052" i="1"/>
  <c r="M1053" i="1"/>
  <c r="M1054" i="1"/>
  <c r="M1055" i="1"/>
  <c r="M1056" i="1"/>
  <c r="M1057" i="1"/>
  <c r="M1058" i="1"/>
  <c r="M1059" i="1"/>
  <c r="M1060" i="1"/>
  <c r="M1061" i="1"/>
  <c r="M1062" i="1"/>
  <c r="M1063" i="1"/>
  <c r="M1064" i="1"/>
  <c r="M1065" i="1"/>
  <c r="M1066" i="1"/>
  <c r="M10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951" i="1"/>
  <c r="M927" i="1"/>
  <c r="M928" i="1"/>
  <c r="M929" i="1"/>
  <c r="M930" i="1"/>
  <c r="M931" i="1"/>
  <c r="M932" i="1"/>
  <c r="M933" i="1"/>
  <c r="M934" i="1"/>
  <c r="M935" i="1"/>
  <c r="M936" i="1"/>
  <c r="M937" i="1"/>
  <c r="M938" i="1"/>
  <c r="M939" i="1"/>
  <c r="M940" i="1"/>
  <c r="M941" i="1"/>
  <c r="M942" i="1"/>
  <c r="M943" i="1"/>
  <c r="M944" i="1"/>
  <c r="M945" i="1"/>
  <c r="M946" i="1"/>
  <c r="M947" i="1"/>
  <c r="M948" i="1"/>
  <c r="M949" i="1"/>
  <c r="M950" i="1"/>
  <c r="M926" i="1"/>
  <c r="M910" i="1"/>
  <c r="M911" i="1"/>
  <c r="M912" i="1"/>
  <c r="M913" i="1"/>
  <c r="M914" i="1"/>
  <c r="M915" i="1"/>
  <c r="M916" i="1"/>
  <c r="M917" i="1"/>
  <c r="M918" i="1"/>
  <c r="M919" i="1"/>
  <c r="M920" i="1"/>
  <c r="M921" i="1"/>
  <c r="M922" i="1"/>
  <c r="M923" i="1"/>
  <c r="M924" i="1"/>
  <c r="M925" i="1"/>
  <c r="M909"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15"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737"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693"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517" i="1"/>
  <c r="M503" i="1"/>
  <c r="M504" i="1"/>
  <c r="M505" i="1"/>
  <c r="M506" i="1"/>
  <c r="M507" i="1"/>
  <c r="M508" i="1"/>
  <c r="M509" i="1"/>
  <c r="M510" i="1"/>
  <c r="M511" i="1"/>
  <c r="M512" i="1"/>
  <c r="M513" i="1"/>
  <c r="M514" i="1"/>
  <c r="M515" i="1"/>
  <c r="M516" i="1"/>
  <c r="M502" i="1"/>
  <c r="M490" i="1"/>
  <c r="M491" i="1"/>
  <c r="M492" i="1"/>
  <c r="M493" i="1"/>
  <c r="M494" i="1"/>
  <c r="M495" i="1"/>
  <c r="M496" i="1"/>
  <c r="M497" i="1"/>
  <c r="M498" i="1"/>
  <c r="M499" i="1"/>
  <c r="M500" i="1"/>
  <c r="M501" i="1"/>
  <c r="M489" i="1"/>
  <c r="M268" i="1"/>
  <c r="M269" i="1"/>
  <c r="M270" i="1"/>
  <c r="M271" i="1"/>
  <c r="M272" i="1"/>
  <c r="M273" i="1"/>
  <c r="M274" i="1"/>
  <c r="M275" i="1"/>
  <c r="M276" i="1"/>
  <c r="M277" i="1"/>
  <c r="M278" i="1"/>
  <c r="M279" i="1"/>
  <c r="M280" i="1"/>
  <c r="M281" i="1"/>
  <c r="M282" i="1"/>
  <c r="M283" i="1"/>
  <c r="M284" i="1"/>
  <c r="M285" i="1"/>
  <c r="M286" i="1"/>
  <c r="M287" i="1"/>
  <c r="M288" i="1"/>
  <c r="M289" i="1"/>
  <c r="M290" i="1"/>
  <c r="M291" i="1"/>
  <c r="M267" i="1"/>
  <c r="M257" i="1"/>
  <c r="M258" i="1"/>
  <c r="M259" i="1"/>
  <c r="M260" i="1"/>
  <c r="M261" i="1"/>
  <c r="M262" i="1"/>
  <c r="M263" i="1"/>
  <c r="M264" i="1"/>
  <c r="M265" i="1"/>
  <c r="M266" i="1"/>
  <c r="M256" i="1"/>
  <c r="H256"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0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163" i="1"/>
  <c r="M149" i="1"/>
  <c r="M150" i="1"/>
  <c r="M151" i="1"/>
  <c r="M152" i="1"/>
  <c r="M153" i="1"/>
  <c r="M154" i="1"/>
  <c r="M155" i="1"/>
  <c r="M156" i="1"/>
  <c r="M157" i="1"/>
  <c r="M158" i="1"/>
  <c r="M159" i="1"/>
  <c r="M160" i="1"/>
  <c r="M161" i="1"/>
  <c r="M162" i="1"/>
  <c r="M148" i="1"/>
  <c r="M139" i="1"/>
  <c r="M140" i="1"/>
  <c r="M141" i="1"/>
  <c r="M142" i="1"/>
  <c r="M143" i="1"/>
  <c r="M144" i="1"/>
  <c r="M145" i="1"/>
  <c r="M146" i="1"/>
  <c r="M147" i="1"/>
  <c r="M138" i="1"/>
  <c r="M118" i="1"/>
  <c r="M119" i="1"/>
  <c r="M120" i="1"/>
  <c r="M121" i="1"/>
  <c r="M122" i="1"/>
  <c r="M123" i="1"/>
  <c r="M124" i="1"/>
  <c r="M125" i="1"/>
  <c r="M126" i="1"/>
  <c r="M127" i="1"/>
  <c r="M128" i="1"/>
  <c r="M129" i="1"/>
  <c r="M130" i="1"/>
  <c r="M131" i="1"/>
  <c r="M132" i="1"/>
  <c r="M133" i="1"/>
  <c r="M134" i="1"/>
  <c r="M135" i="1"/>
  <c r="M136" i="1"/>
  <c r="M137" i="1"/>
  <c r="M117" i="1"/>
  <c r="M100" i="1"/>
  <c r="M101" i="1"/>
  <c r="M102" i="1"/>
  <c r="M103" i="1"/>
  <c r="M104" i="1"/>
  <c r="M105" i="1"/>
  <c r="M106" i="1"/>
  <c r="M107" i="1"/>
  <c r="M108" i="1"/>
  <c r="M109" i="1"/>
  <c r="M110" i="1"/>
  <c r="M111" i="1"/>
  <c r="M112" i="1"/>
  <c r="M113" i="1"/>
  <c r="M114" i="1"/>
  <c r="M115" i="1"/>
  <c r="M116" i="1"/>
  <c r="M99"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2" i="1"/>
  <c r="O622" i="1"/>
  <c r="O519" i="1"/>
  <c r="AF1077" i="1"/>
  <c r="AF1078" i="1"/>
  <c r="AF1079" i="1"/>
  <c r="AF1080" i="1"/>
  <c r="AF1081" i="1"/>
  <c r="AF1082" i="1"/>
  <c r="AF1083" i="1"/>
  <c r="AF1084" i="1"/>
  <c r="AF1085" i="1"/>
  <c r="AF1086" i="1"/>
  <c r="AF1087" i="1"/>
  <c r="AF1088" i="1"/>
  <c r="AF1089" i="1"/>
  <c r="AF1090" i="1"/>
  <c r="AF1091" i="1"/>
  <c r="AF1092" i="1"/>
  <c r="AF1093" i="1"/>
  <c r="AF1094" i="1"/>
  <c r="AF1095" i="1"/>
  <c r="AF1096" i="1"/>
  <c r="AF1097" i="1"/>
  <c r="AF1098" i="1"/>
  <c r="AF1099" i="1"/>
  <c r="AF1100" i="1"/>
  <c r="AF1101" i="1"/>
  <c r="AF1102" i="1"/>
  <c r="AF1103" i="1"/>
  <c r="AF1104" i="1"/>
  <c r="AF1105" i="1"/>
  <c r="AF1106" i="1"/>
  <c r="AF1107" i="1"/>
  <c r="AF1108" i="1"/>
  <c r="AF1109" i="1"/>
  <c r="AI1078" i="1"/>
  <c r="AI1079" i="1"/>
  <c r="AI1080" i="1"/>
  <c r="AI1081" i="1"/>
  <c r="AI1082" i="1"/>
  <c r="AI1083" i="1"/>
  <c r="AI1084" i="1"/>
  <c r="AI1085" i="1"/>
  <c r="AI1086" i="1"/>
  <c r="AI1087" i="1"/>
  <c r="AI1088" i="1"/>
  <c r="AI1089" i="1"/>
  <c r="AI1090" i="1"/>
  <c r="AI1091" i="1"/>
  <c r="AI1092" i="1"/>
  <c r="AI1093" i="1"/>
  <c r="AI1094" i="1"/>
  <c r="AI1095" i="1"/>
  <c r="AI1096" i="1"/>
  <c r="AI1097" i="1"/>
  <c r="AI1098" i="1"/>
  <c r="AI1099" i="1"/>
  <c r="AI1100" i="1"/>
  <c r="AI1101" i="1"/>
  <c r="AI1102" i="1"/>
  <c r="AI1103" i="1"/>
  <c r="AI1104" i="1"/>
  <c r="AI1105" i="1"/>
  <c r="AI1106" i="1"/>
  <c r="AI1107" i="1"/>
  <c r="AI1108" i="1"/>
  <c r="AI1109" i="1"/>
  <c r="AI1077" i="1"/>
  <c r="AF1120" i="1"/>
  <c r="AF1121" i="1"/>
  <c r="AF1122" i="1"/>
  <c r="AF1123" i="1"/>
  <c r="AF1124" i="1"/>
  <c r="AF1111" i="1"/>
  <c r="AF1112" i="1"/>
  <c r="AF1113" i="1"/>
  <c r="AF1114" i="1"/>
  <c r="AF1115" i="1"/>
  <c r="AF1116" i="1"/>
  <c r="AF1117" i="1"/>
  <c r="AF1118" i="1"/>
  <c r="AF1119"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693" i="1"/>
  <c r="AI694" i="1"/>
  <c r="AI695" i="1"/>
  <c r="AI696" i="1"/>
  <c r="AI697" i="1"/>
  <c r="AI698" i="1"/>
  <c r="AI699" i="1"/>
  <c r="AI700" i="1"/>
  <c r="AI701" i="1"/>
  <c r="AI702" i="1"/>
  <c r="AI703" i="1"/>
  <c r="AI704" i="1"/>
  <c r="AI705" i="1"/>
  <c r="AI706" i="1"/>
  <c r="AI707" i="1"/>
  <c r="AI708" i="1"/>
  <c r="AI709" i="1"/>
  <c r="AI710" i="1"/>
  <c r="AI711" i="1"/>
  <c r="AI712" i="1"/>
  <c r="AI713" i="1"/>
  <c r="AI714" i="1"/>
  <c r="AI715" i="1"/>
  <c r="AI716" i="1"/>
  <c r="AI717" i="1"/>
  <c r="AI718" i="1"/>
  <c r="AI719" i="1"/>
  <c r="AI720" i="1"/>
  <c r="AI721" i="1"/>
  <c r="AI722" i="1"/>
  <c r="AI723" i="1"/>
  <c r="AI724" i="1"/>
  <c r="AI725" i="1"/>
  <c r="AI726" i="1"/>
  <c r="AI727" i="1"/>
  <c r="AI728" i="1"/>
  <c r="AI729" i="1"/>
  <c r="AI730" i="1"/>
  <c r="AI731" i="1"/>
  <c r="AI732" i="1"/>
  <c r="AI733" i="1"/>
  <c r="AI734" i="1"/>
  <c r="AI735" i="1"/>
  <c r="AI736" i="1"/>
  <c r="AI693" i="1"/>
  <c r="AF694" i="1"/>
  <c r="AF695" i="1"/>
  <c r="AF696" i="1"/>
  <c r="AF697" i="1"/>
  <c r="AF698" i="1"/>
  <c r="AF699" i="1"/>
  <c r="AF700" i="1"/>
  <c r="AF701" i="1"/>
  <c r="AF702" i="1"/>
  <c r="AF703" i="1"/>
  <c r="AF704" i="1"/>
  <c r="AF705" i="1"/>
  <c r="AF706" i="1"/>
  <c r="AF707" i="1"/>
  <c r="AF708" i="1"/>
  <c r="AF709" i="1"/>
  <c r="AF710" i="1"/>
  <c r="AF711" i="1"/>
  <c r="AF712" i="1"/>
  <c r="AF713" i="1"/>
  <c r="AF714" i="1"/>
  <c r="AF715" i="1"/>
  <c r="AF716" i="1"/>
  <c r="AF717" i="1"/>
  <c r="AF718" i="1"/>
  <c r="AF719" i="1"/>
  <c r="AF720" i="1"/>
  <c r="AF721" i="1"/>
  <c r="AF722" i="1"/>
  <c r="AF723" i="1"/>
  <c r="AF724" i="1"/>
  <c r="AF725" i="1"/>
  <c r="AF726" i="1"/>
  <c r="AF727" i="1"/>
  <c r="AF728" i="1"/>
  <c r="AF729" i="1"/>
  <c r="AF730" i="1"/>
  <c r="AF731" i="1"/>
  <c r="AF732" i="1"/>
  <c r="AF733" i="1"/>
  <c r="AF734" i="1"/>
  <c r="AF735" i="1"/>
  <c r="AF736"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693" i="1"/>
  <c r="H69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15" i="1"/>
  <c r="AI1047" i="1"/>
  <c r="AJ1068" i="1"/>
  <c r="AJ1069" i="1"/>
  <c r="AJ1070" i="1"/>
  <c r="AJ1071" i="1"/>
  <c r="AJ1072" i="1"/>
  <c r="AJ1073" i="1"/>
  <c r="AJ1074" i="1"/>
  <c r="AJ1075" i="1"/>
  <c r="AJ1076" i="1"/>
  <c r="AJ1067" i="1"/>
  <c r="AI1068" i="1"/>
  <c r="AI1069" i="1"/>
  <c r="AI1070" i="1"/>
  <c r="AI1071" i="1"/>
  <c r="AI1072" i="1"/>
  <c r="AI1073" i="1"/>
  <c r="AI1074" i="1"/>
  <c r="AI1075" i="1"/>
  <c r="AI1076" i="1"/>
  <c r="AI1067" i="1"/>
  <c r="AI1121" i="1"/>
  <c r="AI1122" i="1"/>
  <c r="AI1123" i="1"/>
  <c r="AI1124" i="1"/>
  <c r="AI1120" i="1"/>
  <c r="W1121" i="1"/>
  <c r="W1122" i="1"/>
  <c r="W1123" i="1"/>
  <c r="W1124" i="1"/>
  <c r="W1120" i="1"/>
  <c r="S1121" i="1"/>
  <c r="S1122" i="1"/>
  <c r="S1123" i="1"/>
  <c r="S1124" i="1"/>
  <c r="S1120" i="1"/>
  <c r="O1121" i="1"/>
  <c r="O1122" i="1"/>
  <c r="O1123" i="1"/>
  <c r="O1124" i="1"/>
  <c r="O1120" i="1"/>
  <c r="N1120" i="1" s="1"/>
  <c r="H1121" i="1"/>
  <c r="H1122" i="1"/>
  <c r="H1123" i="1"/>
  <c r="H1124" i="1"/>
  <c r="H1125" i="1"/>
  <c r="H1126" i="1"/>
  <c r="H1127" i="1"/>
  <c r="H1128" i="1"/>
  <c r="H1129" i="1"/>
  <c r="H1130" i="1"/>
  <c r="H1131" i="1"/>
  <c r="H1132" i="1"/>
  <c r="H1133" i="1"/>
  <c r="H1120" i="1"/>
  <c r="K1124" i="1"/>
  <c r="K1123" i="1"/>
  <c r="K1122" i="1"/>
  <c r="K1121" i="1"/>
  <c r="J1126" i="1"/>
  <c r="J1127" i="1"/>
  <c r="J1128" i="1"/>
  <c r="J1129" i="1"/>
  <c r="J1130" i="1"/>
  <c r="J1131" i="1"/>
  <c r="J1132" i="1"/>
  <c r="J1133" i="1"/>
  <c r="J1125" i="1"/>
  <c r="O910" i="1"/>
  <c r="O911" i="1"/>
  <c r="O912" i="1"/>
  <c r="O913" i="1"/>
  <c r="O914" i="1"/>
  <c r="O915" i="1"/>
  <c r="O916" i="1"/>
  <c r="O917" i="1"/>
  <c r="O918" i="1"/>
  <c r="O919" i="1"/>
  <c r="O920" i="1"/>
  <c r="O921" i="1"/>
  <c r="O922" i="1"/>
  <c r="O923" i="1"/>
  <c r="O924" i="1"/>
  <c r="O925" i="1"/>
  <c r="O909" i="1"/>
  <c r="H910" i="1"/>
  <c r="H911" i="1"/>
  <c r="H912" i="1"/>
  <c r="H913" i="1"/>
  <c r="H914" i="1"/>
  <c r="H915" i="1"/>
  <c r="H916" i="1"/>
  <c r="H917" i="1"/>
  <c r="H918" i="1"/>
  <c r="H919" i="1"/>
  <c r="H920" i="1"/>
  <c r="H921" i="1"/>
  <c r="H922" i="1"/>
  <c r="H923" i="1"/>
  <c r="H924" i="1"/>
  <c r="H925" i="1"/>
  <c r="H909" i="1"/>
  <c r="J910" i="1"/>
  <c r="J911" i="1"/>
  <c r="J912" i="1"/>
  <c r="J913" i="1"/>
  <c r="J914" i="1"/>
  <c r="J915" i="1"/>
  <c r="J916" i="1"/>
  <c r="J917" i="1"/>
  <c r="J918" i="1"/>
  <c r="J919" i="1"/>
  <c r="J920" i="1"/>
  <c r="J921" i="1"/>
  <c r="J922" i="1"/>
  <c r="J923" i="1"/>
  <c r="J924" i="1"/>
  <c r="J925" i="1"/>
  <c r="J909" i="1"/>
  <c r="AF909" i="1"/>
  <c r="AF910" i="1"/>
  <c r="AF911" i="1"/>
  <c r="AF912" i="1"/>
  <c r="AF913" i="1"/>
  <c r="AF914" i="1"/>
  <c r="AF915" i="1"/>
  <c r="AF916" i="1"/>
  <c r="AF917" i="1"/>
  <c r="AF918" i="1"/>
  <c r="AF919" i="1"/>
  <c r="AF920" i="1"/>
  <c r="AF921" i="1"/>
  <c r="AF922" i="1"/>
  <c r="AF923" i="1"/>
  <c r="AF924" i="1"/>
  <c r="AF925" i="1"/>
  <c r="AI910" i="1"/>
  <c r="AI911" i="1"/>
  <c r="AI912" i="1"/>
  <c r="AI913" i="1"/>
  <c r="AI914" i="1"/>
  <c r="AI915" i="1"/>
  <c r="AI916" i="1"/>
  <c r="AI917" i="1"/>
  <c r="AI918" i="1"/>
  <c r="AI919" i="1"/>
  <c r="AI920" i="1"/>
  <c r="AI921" i="1"/>
  <c r="AI922" i="1"/>
  <c r="AI923" i="1"/>
  <c r="AI924" i="1"/>
  <c r="AI925" i="1"/>
  <c r="AI909" i="1"/>
  <c r="W919" i="1"/>
  <c r="W920" i="1"/>
  <c r="W921" i="1"/>
  <c r="W922" i="1"/>
  <c r="W923" i="1"/>
  <c r="W924" i="1"/>
  <c r="W925" i="1"/>
  <c r="W910" i="1"/>
  <c r="W911" i="1"/>
  <c r="W912" i="1"/>
  <c r="W913" i="1"/>
  <c r="W914" i="1"/>
  <c r="W915" i="1"/>
  <c r="W916" i="1"/>
  <c r="W917" i="1"/>
  <c r="W918" i="1"/>
  <c r="W909" i="1"/>
  <c r="S910" i="1"/>
  <c r="S911" i="1"/>
  <c r="S912" i="1"/>
  <c r="S913" i="1"/>
  <c r="S914" i="1"/>
  <c r="S915" i="1"/>
  <c r="S916" i="1"/>
  <c r="S917" i="1"/>
  <c r="S918" i="1"/>
  <c r="S919" i="1"/>
  <c r="S920" i="1"/>
  <c r="S921" i="1"/>
  <c r="S922" i="1"/>
  <c r="S923" i="1"/>
  <c r="S924" i="1"/>
  <c r="S925" i="1"/>
  <c r="S909" i="1"/>
  <c r="E910" i="1"/>
  <c r="E911" i="1"/>
  <c r="E912" i="1"/>
  <c r="E913" i="1"/>
  <c r="E914" i="1"/>
  <c r="E915" i="1"/>
  <c r="E916" i="1"/>
  <c r="E917" i="1"/>
  <c r="E918" i="1"/>
  <c r="E919" i="1"/>
  <c r="E920" i="1"/>
  <c r="E921" i="1"/>
  <c r="E922" i="1"/>
  <c r="E923" i="1"/>
  <c r="E924" i="1"/>
  <c r="E925" i="1"/>
  <c r="E909" i="1"/>
  <c r="O927" i="1"/>
  <c r="O928" i="1"/>
  <c r="O929" i="1"/>
  <c r="O930" i="1"/>
  <c r="O931" i="1"/>
  <c r="O932" i="1"/>
  <c r="O933" i="1"/>
  <c r="O934" i="1"/>
  <c r="O935" i="1"/>
  <c r="O936" i="1"/>
  <c r="O937" i="1"/>
  <c r="O938" i="1"/>
  <c r="O939" i="1"/>
  <c r="O940" i="1"/>
  <c r="O941" i="1"/>
  <c r="O942" i="1"/>
  <c r="O943" i="1"/>
  <c r="O944" i="1"/>
  <c r="O945" i="1"/>
  <c r="O946" i="1"/>
  <c r="O947" i="1"/>
  <c r="O948" i="1"/>
  <c r="O949" i="1"/>
  <c r="O950" i="1"/>
  <c r="O926" i="1"/>
  <c r="H927" i="1"/>
  <c r="H928" i="1"/>
  <c r="H929" i="1"/>
  <c r="H930" i="1"/>
  <c r="H931" i="1"/>
  <c r="H932" i="1"/>
  <c r="H933" i="1"/>
  <c r="H934" i="1"/>
  <c r="H935" i="1"/>
  <c r="H936" i="1"/>
  <c r="H937" i="1"/>
  <c r="H938" i="1"/>
  <c r="H939" i="1"/>
  <c r="H940" i="1"/>
  <c r="H941" i="1"/>
  <c r="H942" i="1"/>
  <c r="H943" i="1"/>
  <c r="H944" i="1"/>
  <c r="H945" i="1"/>
  <c r="H946" i="1"/>
  <c r="H947" i="1"/>
  <c r="H948" i="1"/>
  <c r="H949" i="1"/>
  <c r="H950" i="1"/>
  <c r="H926"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077" i="1"/>
  <c r="O1126" i="1"/>
  <c r="O1127" i="1"/>
  <c r="O1128" i="1"/>
  <c r="O1129" i="1"/>
  <c r="O1130" i="1"/>
  <c r="O1131" i="1"/>
  <c r="O1132" i="1"/>
  <c r="O1133" i="1"/>
  <c r="O1125" i="1"/>
  <c r="AI1111" i="1"/>
  <c r="AI1112" i="1"/>
  <c r="AI1113" i="1"/>
  <c r="AI1114" i="1"/>
  <c r="AI1115" i="1"/>
  <c r="AI1116" i="1"/>
  <c r="AI1117" i="1"/>
  <c r="AI1118" i="1"/>
  <c r="AI1119" i="1"/>
  <c r="AI1110" i="1"/>
  <c r="AF1125" i="1"/>
  <c r="AF1126" i="1"/>
  <c r="AF1127" i="1"/>
  <c r="AF1128" i="1"/>
  <c r="AF1129" i="1"/>
  <c r="AF1130" i="1"/>
  <c r="AF1131" i="1"/>
  <c r="AF1132" i="1"/>
  <c r="AF1133" i="1"/>
  <c r="AF1134"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077" i="1"/>
  <c r="N1121" i="1" l="1"/>
  <c r="N1124" i="1"/>
  <c r="N1123" i="1"/>
  <c r="N1122" i="1"/>
  <c r="N1125" i="1"/>
  <c r="N1084" i="1"/>
  <c r="N917" i="1"/>
  <c r="N924" i="1"/>
  <c r="N916" i="1"/>
  <c r="N1082" i="1"/>
  <c r="N923" i="1"/>
  <c r="N915" i="1"/>
  <c r="N922" i="1"/>
  <c r="N914" i="1"/>
  <c r="N921" i="1"/>
  <c r="N913" i="1"/>
  <c r="N920" i="1"/>
  <c r="N912" i="1"/>
  <c r="N919" i="1"/>
  <c r="N911" i="1"/>
  <c r="N909" i="1"/>
  <c r="N918" i="1"/>
  <c r="N910" i="1"/>
  <c r="N925" i="1"/>
  <c r="N1108" i="1"/>
  <c r="N1105" i="1"/>
  <c r="N1081" i="1"/>
  <c r="N1100" i="1"/>
  <c r="N1097" i="1"/>
  <c r="N1092" i="1"/>
  <c r="N1089" i="1"/>
  <c r="N1104" i="1"/>
  <c r="N1096" i="1"/>
  <c r="N1088" i="1"/>
  <c r="N1080" i="1"/>
  <c r="N1103" i="1"/>
  <c r="N1095" i="1"/>
  <c r="N1087" i="1"/>
  <c r="N1079" i="1"/>
  <c r="N1077" i="1"/>
  <c r="N1102" i="1"/>
  <c r="N1094" i="1"/>
  <c r="N1086" i="1"/>
  <c r="N1078" i="1"/>
  <c r="N1126" i="1"/>
  <c r="N1109" i="1"/>
  <c r="N1101" i="1"/>
  <c r="N1093" i="1"/>
  <c r="N1085" i="1"/>
  <c r="N1132" i="1"/>
  <c r="N1107" i="1"/>
  <c r="N1099" i="1"/>
  <c r="N1091" i="1"/>
  <c r="N1083" i="1"/>
  <c r="N1131" i="1"/>
  <c r="N1106" i="1"/>
  <c r="N1098" i="1"/>
  <c r="N1090" i="1"/>
  <c r="N1133" i="1"/>
  <c r="N1128" i="1"/>
  <c r="N1127" i="1"/>
  <c r="N1134" i="1"/>
  <c r="N1130" i="1"/>
  <c r="N1129" i="1"/>
  <c r="D1125" i="1"/>
  <c r="D1126" i="1"/>
  <c r="D1127" i="1"/>
  <c r="D1128" i="1"/>
  <c r="D1129" i="1"/>
  <c r="D1130" i="1"/>
  <c r="D1131" i="1"/>
  <c r="D1132" i="1"/>
  <c r="D1133" i="1"/>
  <c r="D1134" i="1"/>
  <c r="E1126" i="1"/>
  <c r="E1127" i="1"/>
  <c r="E1128" i="1"/>
  <c r="E1129" i="1"/>
  <c r="E1130" i="1"/>
  <c r="E1131" i="1"/>
  <c r="E1132" i="1"/>
  <c r="E1133" i="1"/>
  <c r="E1134" i="1"/>
  <c r="E1125" i="1"/>
  <c r="D1119" i="1"/>
  <c r="D1118" i="1"/>
  <c r="D1117" i="1"/>
  <c r="D1116" i="1"/>
  <c r="D1115" i="1"/>
  <c r="D1114" i="1"/>
  <c r="D1113" i="1"/>
  <c r="D1112" i="1"/>
  <c r="D1111" i="1"/>
  <c r="D1110" i="1"/>
  <c r="D501" i="1"/>
  <c r="D500" i="1"/>
  <c r="D499" i="1"/>
  <c r="D498" i="1"/>
  <c r="D497" i="1"/>
  <c r="D496" i="1"/>
  <c r="D495" i="1"/>
  <c r="D494" i="1"/>
  <c r="D493" i="1"/>
  <c r="D492" i="1"/>
  <c r="D491" i="1"/>
  <c r="D490" i="1"/>
  <c r="D489" i="1"/>
  <c r="E257" i="1" l="1"/>
  <c r="E258" i="1"/>
  <c r="E259" i="1"/>
  <c r="E260" i="1"/>
  <c r="E261" i="1"/>
  <c r="E262" i="1"/>
  <c r="E263" i="1"/>
  <c r="E264" i="1"/>
  <c r="E265" i="1"/>
  <c r="E266" i="1"/>
  <c r="E256" i="1"/>
  <c r="AJ257" i="1"/>
  <c r="AJ258" i="1"/>
  <c r="AJ259" i="1"/>
  <c r="AJ260" i="1"/>
  <c r="AJ261" i="1"/>
  <c r="AJ262" i="1"/>
  <c r="AJ263" i="1"/>
  <c r="AJ264" i="1"/>
  <c r="AJ265" i="1"/>
  <c r="AJ266" i="1"/>
  <c r="AJ256" i="1"/>
  <c r="E149" i="1"/>
  <c r="E150" i="1"/>
  <c r="E151" i="1"/>
  <c r="E152" i="1"/>
  <c r="E153" i="1"/>
  <c r="E154" i="1"/>
  <c r="E155" i="1"/>
  <c r="E156" i="1"/>
  <c r="E157" i="1"/>
  <c r="E158" i="1"/>
  <c r="E159" i="1"/>
  <c r="E160" i="1"/>
  <c r="E161" i="1"/>
  <c r="E162" i="1"/>
  <c r="E148"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693" i="1"/>
  <c r="H694"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693"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517" i="1"/>
  <c r="AJ149" i="1"/>
  <c r="AJ150" i="1"/>
  <c r="AJ151" i="1"/>
  <c r="AJ152" i="1"/>
  <c r="AJ153" i="1"/>
  <c r="AJ154" i="1"/>
  <c r="AJ155" i="1"/>
  <c r="AJ156" i="1"/>
  <c r="AJ157" i="1"/>
  <c r="AJ158" i="1"/>
  <c r="AJ159" i="1"/>
  <c r="AJ160" i="1"/>
  <c r="AJ161" i="1"/>
  <c r="AJ162" i="1"/>
  <c r="AI149" i="1"/>
  <c r="AI150" i="1"/>
  <c r="AI151" i="1"/>
  <c r="AI152" i="1"/>
  <c r="AI153" i="1"/>
  <c r="AI154" i="1"/>
  <c r="AI155" i="1"/>
  <c r="AI156" i="1"/>
  <c r="AI157" i="1"/>
  <c r="AI158" i="1"/>
  <c r="AI159" i="1"/>
  <c r="AI160" i="1"/>
  <c r="AI161" i="1"/>
  <c r="AI162" i="1"/>
  <c r="AJ148" i="1"/>
  <c r="AI148" i="1"/>
  <c r="W149" i="1"/>
  <c r="W150" i="1"/>
  <c r="W151" i="1"/>
  <c r="W152" i="1"/>
  <c r="W153" i="1"/>
  <c r="W154" i="1"/>
  <c r="W155" i="1"/>
  <c r="W156" i="1"/>
  <c r="W157" i="1"/>
  <c r="W158" i="1"/>
  <c r="W159" i="1"/>
  <c r="W160" i="1"/>
  <c r="W161" i="1"/>
  <c r="W162" i="1"/>
  <c r="W148" i="1"/>
  <c r="S149" i="1"/>
  <c r="S150" i="1"/>
  <c r="S151" i="1"/>
  <c r="S152" i="1"/>
  <c r="S153" i="1"/>
  <c r="S154" i="1"/>
  <c r="S155" i="1"/>
  <c r="S156" i="1"/>
  <c r="S157" i="1"/>
  <c r="S158" i="1"/>
  <c r="S159" i="1"/>
  <c r="S160" i="1"/>
  <c r="S161" i="1"/>
  <c r="S162" i="1"/>
  <c r="S148" i="1"/>
  <c r="W139" i="1"/>
  <c r="W140" i="1"/>
  <c r="W141" i="1"/>
  <c r="W142" i="1"/>
  <c r="W143" i="1"/>
  <c r="W144" i="1"/>
  <c r="W145" i="1"/>
  <c r="W146" i="1"/>
  <c r="W147" i="1"/>
  <c r="W138" i="1"/>
  <c r="K1120" i="1"/>
  <c r="O1111" i="1"/>
  <c r="O1112" i="1"/>
  <c r="O1113" i="1"/>
  <c r="O1114" i="1"/>
  <c r="O1115" i="1"/>
  <c r="O1116" i="1"/>
  <c r="O1117" i="1"/>
  <c r="O1118" i="1"/>
  <c r="O1119" i="1"/>
  <c r="O1110" i="1"/>
  <c r="N1111" i="1" s="1"/>
  <c r="K1111" i="1"/>
  <c r="K1112" i="1"/>
  <c r="K1113" i="1"/>
  <c r="K1114" i="1"/>
  <c r="K1115" i="1"/>
  <c r="K1116" i="1"/>
  <c r="K1117" i="1"/>
  <c r="K1118" i="1"/>
  <c r="K1119" i="1"/>
  <c r="W1111" i="1"/>
  <c r="W1112" i="1"/>
  <c r="W1113" i="1"/>
  <c r="W1114" i="1"/>
  <c r="W1115" i="1"/>
  <c r="W1116" i="1"/>
  <c r="W1117" i="1"/>
  <c r="W1118" i="1"/>
  <c r="W1119" i="1"/>
  <c r="W1110" i="1"/>
  <c r="S1111" i="1"/>
  <c r="S1112" i="1"/>
  <c r="S1113" i="1"/>
  <c r="S1114" i="1"/>
  <c r="S1115" i="1"/>
  <c r="S1116" i="1"/>
  <c r="S1117" i="1"/>
  <c r="S1118" i="1"/>
  <c r="S1119" i="1"/>
  <c r="S1110"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077" i="1"/>
  <c r="H1111" i="1"/>
  <c r="H1112" i="1"/>
  <c r="H1113" i="1"/>
  <c r="H1114" i="1"/>
  <c r="H1115" i="1"/>
  <c r="H1116" i="1"/>
  <c r="H1117" i="1"/>
  <c r="H1118" i="1"/>
  <c r="H1119" i="1"/>
  <c r="H1110" i="1"/>
  <c r="AF1110" i="1"/>
  <c r="K1110" i="1"/>
  <c r="J1068" i="1"/>
  <c r="J1069" i="1"/>
  <c r="J1070" i="1"/>
  <c r="J1071" i="1"/>
  <c r="J1072" i="1"/>
  <c r="J1073" i="1"/>
  <c r="J1074" i="1"/>
  <c r="J1075" i="1"/>
  <c r="J1076" i="1"/>
  <c r="J106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077" i="1"/>
  <c r="O1068" i="1"/>
  <c r="O1069" i="1"/>
  <c r="O1070" i="1"/>
  <c r="O1071" i="1"/>
  <c r="O1072" i="1"/>
  <c r="O1073" i="1"/>
  <c r="O1074" i="1"/>
  <c r="O1075" i="1"/>
  <c r="O1076" i="1"/>
  <c r="O1067" i="1"/>
  <c r="W1068" i="1"/>
  <c r="W1069" i="1"/>
  <c r="W1070" i="1"/>
  <c r="W1071" i="1"/>
  <c r="W1072" i="1"/>
  <c r="W1073" i="1"/>
  <c r="W1074" i="1"/>
  <c r="W1075" i="1"/>
  <c r="W1076" i="1"/>
  <c r="W1067" i="1"/>
  <c r="S1068" i="1"/>
  <c r="S1069" i="1"/>
  <c r="S1070" i="1"/>
  <c r="S1071" i="1"/>
  <c r="S1072" i="1"/>
  <c r="S1073" i="1"/>
  <c r="S1074" i="1"/>
  <c r="S1075" i="1"/>
  <c r="S1076" i="1"/>
  <c r="AF1068" i="1"/>
  <c r="AF1069" i="1"/>
  <c r="AF1070" i="1"/>
  <c r="AF1071" i="1"/>
  <c r="AF1072" i="1"/>
  <c r="AF1073" i="1"/>
  <c r="AF1074" i="1"/>
  <c r="AF1075" i="1"/>
  <c r="AF1076" i="1"/>
  <c r="AF1067" i="1"/>
  <c r="AF1051" i="1"/>
  <c r="AF1052" i="1"/>
  <c r="AF1053" i="1"/>
  <c r="AF1054" i="1"/>
  <c r="AF1055" i="1"/>
  <c r="AF1056" i="1"/>
  <c r="AF1057" i="1"/>
  <c r="AF1058" i="1"/>
  <c r="AF1059" i="1"/>
  <c r="AF1060" i="1"/>
  <c r="AF1061" i="1"/>
  <c r="AF1062" i="1"/>
  <c r="AF1063" i="1"/>
  <c r="AF1064" i="1"/>
  <c r="AF1065" i="1"/>
  <c r="AF1066" i="1"/>
  <c r="O1052" i="1"/>
  <c r="O1053" i="1"/>
  <c r="O1054" i="1"/>
  <c r="O1055" i="1"/>
  <c r="O1056" i="1"/>
  <c r="O1057" i="1"/>
  <c r="O1058" i="1"/>
  <c r="O1059" i="1"/>
  <c r="O1060" i="1"/>
  <c r="O1061" i="1"/>
  <c r="O1062" i="1"/>
  <c r="O1063" i="1"/>
  <c r="O1064" i="1"/>
  <c r="O1065" i="1"/>
  <c r="O1066" i="1"/>
  <c r="O1051" i="1"/>
  <c r="J1052" i="1"/>
  <c r="J1053" i="1"/>
  <c r="J1054" i="1"/>
  <c r="J1055" i="1"/>
  <c r="J1056" i="1"/>
  <c r="J1057" i="1"/>
  <c r="J1058" i="1"/>
  <c r="J1059" i="1"/>
  <c r="J1060" i="1"/>
  <c r="J1061" i="1"/>
  <c r="J1062" i="1"/>
  <c r="J1063" i="1"/>
  <c r="J1064" i="1"/>
  <c r="J1065" i="1"/>
  <c r="J1066" i="1"/>
  <c r="J10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951" i="1"/>
  <c r="AI952" i="1"/>
  <c r="AI953" i="1"/>
  <c r="AI954" i="1"/>
  <c r="AI955" i="1"/>
  <c r="AI956" i="1"/>
  <c r="AI957" i="1"/>
  <c r="AI958" i="1"/>
  <c r="AI959" i="1"/>
  <c r="AI960" i="1"/>
  <c r="AI961" i="1"/>
  <c r="AI962" i="1"/>
  <c r="AI963" i="1"/>
  <c r="AI964" i="1"/>
  <c r="AI965" i="1"/>
  <c r="AI966" i="1"/>
  <c r="AI967" i="1"/>
  <c r="AI968" i="1"/>
  <c r="AI969" i="1"/>
  <c r="AI970" i="1"/>
  <c r="AI971" i="1"/>
  <c r="AI972" i="1"/>
  <c r="AI973" i="1"/>
  <c r="AI974" i="1"/>
  <c r="AI975" i="1"/>
  <c r="AI976" i="1"/>
  <c r="AI977" i="1"/>
  <c r="AI978" i="1"/>
  <c r="AI979" i="1"/>
  <c r="AI980" i="1"/>
  <c r="AI981" i="1"/>
  <c r="AI982" i="1"/>
  <c r="AI983" i="1"/>
  <c r="AI984" i="1"/>
  <c r="AI985" i="1"/>
  <c r="AI986" i="1"/>
  <c r="AI987" i="1"/>
  <c r="AI988" i="1"/>
  <c r="AI989" i="1"/>
  <c r="AI990" i="1"/>
  <c r="AI991" i="1"/>
  <c r="AI992" i="1"/>
  <c r="AI993" i="1"/>
  <c r="AI994" i="1"/>
  <c r="AI995" i="1"/>
  <c r="AI996" i="1"/>
  <c r="AI997" i="1"/>
  <c r="AI998" i="1"/>
  <c r="AI999" i="1"/>
  <c r="AI1000" i="1"/>
  <c r="AI1001" i="1"/>
  <c r="AI1002" i="1"/>
  <c r="AI1003" i="1"/>
  <c r="AI1004" i="1"/>
  <c r="AI1005" i="1"/>
  <c r="AI1006" i="1"/>
  <c r="AI1007" i="1"/>
  <c r="AI1008" i="1"/>
  <c r="AI1009" i="1"/>
  <c r="AI1010" i="1"/>
  <c r="AI1011" i="1"/>
  <c r="AI1012" i="1"/>
  <c r="AI1013" i="1"/>
  <c r="AI1014" i="1"/>
  <c r="AI1015" i="1"/>
  <c r="AI1016" i="1"/>
  <c r="AI1017" i="1"/>
  <c r="AI1018" i="1"/>
  <c r="AI1019" i="1"/>
  <c r="AI1020" i="1"/>
  <c r="AI1021" i="1"/>
  <c r="AI1022" i="1"/>
  <c r="AI1023" i="1"/>
  <c r="AI1024" i="1"/>
  <c r="AI1025" i="1"/>
  <c r="AI1026" i="1"/>
  <c r="AI1027" i="1"/>
  <c r="AI1028" i="1"/>
  <c r="AI1029" i="1"/>
  <c r="AI1030" i="1"/>
  <c r="AI1031" i="1"/>
  <c r="AI1032" i="1"/>
  <c r="AI1033" i="1"/>
  <c r="AI1034" i="1"/>
  <c r="AI1035" i="1"/>
  <c r="AI1036" i="1"/>
  <c r="AI1037" i="1"/>
  <c r="AI1038" i="1"/>
  <c r="AI1039" i="1"/>
  <c r="AI1040" i="1"/>
  <c r="AI1041" i="1"/>
  <c r="AI1042" i="1"/>
  <c r="AI1043" i="1"/>
  <c r="AI1044" i="1"/>
  <c r="AI1045" i="1"/>
  <c r="AI1046" i="1"/>
  <c r="AI1048" i="1"/>
  <c r="AI1049" i="1"/>
  <c r="AI1050" i="1"/>
  <c r="AI951" i="1"/>
  <c r="AF952" i="1"/>
  <c r="AF953" i="1"/>
  <c r="AF954" i="1"/>
  <c r="AF955" i="1"/>
  <c r="AF956" i="1"/>
  <c r="AF957" i="1"/>
  <c r="AF958" i="1"/>
  <c r="AF959" i="1"/>
  <c r="AF960" i="1"/>
  <c r="AF961" i="1"/>
  <c r="AF962" i="1"/>
  <c r="AF963" i="1"/>
  <c r="AF964" i="1"/>
  <c r="AF965" i="1"/>
  <c r="AF966" i="1"/>
  <c r="AF967" i="1"/>
  <c r="AF968" i="1"/>
  <c r="AF969" i="1"/>
  <c r="AF970" i="1"/>
  <c r="AF971" i="1"/>
  <c r="AF972" i="1"/>
  <c r="AF973" i="1"/>
  <c r="AF974" i="1"/>
  <c r="AF975" i="1"/>
  <c r="AF976" i="1"/>
  <c r="AF977" i="1"/>
  <c r="AF978" i="1"/>
  <c r="AF979" i="1"/>
  <c r="AF980" i="1"/>
  <c r="AF981" i="1"/>
  <c r="AF982" i="1"/>
  <c r="AF983" i="1"/>
  <c r="AF984" i="1"/>
  <c r="AF985" i="1"/>
  <c r="AF986" i="1"/>
  <c r="AF987" i="1"/>
  <c r="AF988" i="1"/>
  <c r="AF989" i="1"/>
  <c r="AF990" i="1"/>
  <c r="AF991" i="1"/>
  <c r="AF992" i="1"/>
  <c r="AF993" i="1"/>
  <c r="AF994" i="1"/>
  <c r="AF995" i="1"/>
  <c r="AF996" i="1"/>
  <c r="AF997" i="1"/>
  <c r="AF998" i="1"/>
  <c r="AF999" i="1"/>
  <c r="AF1000" i="1"/>
  <c r="AF1001" i="1"/>
  <c r="AF1002" i="1"/>
  <c r="AF1003" i="1"/>
  <c r="AF1004" i="1"/>
  <c r="AF1005" i="1"/>
  <c r="AF1006" i="1"/>
  <c r="AF1007" i="1"/>
  <c r="AF1008" i="1"/>
  <c r="AF1009" i="1"/>
  <c r="AF1010" i="1"/>
  <c r="AF1011" i="1"/>
  <c r="AF1012" i="1"/>
  <c r="AF1013" i="1"/>
  <c r="AF1014" i="1"/>
  <c r="AF1015" i="1"/>
  <c r="AF1016" i="1"/>
  <c r="AF1017" i="1"/>
  <c r="AF1018" i="1"/>
  <c r="AF1019" i="1"/>
  <c r="AF1020" i="1"/>
  <c r="AF1021" i="1"/>
  <c r="AF1022" i="1"/>
  <c r="AF1023" i="1"/>
  <c r="AF1024" i="1"/>
  <c r="AF1025" i="1"/>
  <c r="AF1026" i="1"/>
  <c r="AF1027" i="1"/>
  <c r="AF1028" i="1"/>
  <c r="AF1029" i="1"/>
  <c r="AF1030" i="1"/>
  <c r="AF1031" i="1"/>
  <c r="AF1032" i="1"/>
  <c r="AF1033" i="1"/>
  <c r="AF1034" i="1"/>
  <c r="AF1035" i="1"/>
  <c r="AF1036" i="1"/>
  <c r="AF1037" i="1"/>
  <c r="AF1038" i="1"/>
  <c r="AF1039" i="1"/>
  <c r="AF1040" i="1"/>
  <c r="AF1041" i="1"/>
  <c r="AF1042" i="1"/>
  <c r="AF1043" i="1"/>
  <c r="AF1044" i="1"/>
  <c r="AF1045" i="1"/>
  <c r="AF1046" i="1"/>
  <c r="AF1047" i="1"/>
  <c r="AF1048" i="1"/>
  <c r="AF1049" i="1"/>
  <c r="AF1050"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951" i="1"/>
  <c r="J951"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26" i="1"/>
  <c r="AI927" i="1"/>
  <c r="AI928" i="1"/>
  <c r="AI929" i="1"/>
  <c r="AI930" i="1"/>
  <c r="AI931" i="1"/>
  <c r="AI932" i="1"/>
  <c r="AI933" i="1"/>
  <c r="AI934" i="1"/>
  <c r="AI935" i="1"/>
  <c r="AI936" i="1"/>
  <c r="AI937" i="1"/>
  <c r="AI938" i="1"/>
  <c r="AI939" i="1"/>
  <c r="AI940" i="1"/>
  <c r="AI941" i="1"/>
  <c r="AI942" i="1"/>
  <c r="AI943" i="1"/>
  <c r="AI944" i="1"/>
  <c r="AI945" i="1"/>
  <c r="AI946" i="1"/>
  <c r="AI947" i="1"/>
  <c r="AI948" i="1"/>
  <c r="AI949" i="1"/>
  <c r="AI950" i="1"/>
  <c r="AI926" i="1"/>
  <c r="W927" i="1"/>
  <c r="W928" i="1"/>
  <c r="W929" i="1"/>
  <c r="W930" i="1"/>
  <c r="W931" i="1"/>
  <c r="W932" i="1"/>
  <c r="W933" i="1"/>
  <c r="W934" i="1"/>
  <c r="W935" i="1"/>
  <c r="W936" i="1"/>
  <c r="W937" i="1"/>
  <c r="W938" i="1"/>
  <c r="W939" i="1"/>
  <c r="W940" i="1"/>
  <c r="W941" i="1"/>
  <c r="W942" i="1"/>
  <c r="W943" i="1"/>
  <c r="W944" i="1"/>
  <c r="W945" i="1"/>
  <c r="W946" i="1"/>
  <c r="W947" i="1"/>
  <c r="W948" i="1"/>
  <c r="W949" i="1"/>
  <c r="W950" i="1"/>
  <c r="W926" i="1"/>
  <c r="S927" i="1"/>
  <c r="S928" i="1"/>
  <c r="S929" i="1"/>
  <c r="S930" i="1"/>
  <c r="S931" i="1"/>
  <c r="S932" i="1"/>
  <c r="S933" i="1"/>
  <c r="S934" i="1"/>
  <c r="S935" i="1"/>
  <c r="S936" i="1"/>
  <c r="S937" i="1"/>
  <c r="S938" i="1"/>
  <c r="S939" i="1"/>
  <c r="S940" i="1"/>
  <c r="S941" i="1"/>
  <c r="S942" i="1"/>
  <c r="S943" i="1"/>
  <c r="S944" i="1"/>
  <c r="S945" i="1"/>
  <c r="S946" i="1"/>
  <c r="S947" i="1"/>
  <c r="S948" i="1"/>
  <c r="S949" i="1"/>
  <c r="S950" i="1"/>
  <c r="S926" i="1"/>
  <c r="AF927" i="1"/>
  <c r="AF928" i="1"/>
  <c r="AF929" i="1"/>
  <c r="AF930" i="1"/>
  <c r="AF931" i="1"/>
  <c r="AF932" i="1"/>
  <c r="AF933" i="1"/>
  <c r="AF934" i="1"/>
  <c r="AF935" i="1"/>
  <c r="AF936" i="1"/>
  <c r="AF937" i="1"/>
  <c r="AF938" i="1"/>
  <c r="AF939" i="1"/>
  <c r="AF940" i="1"/>
  <c r="AF941" i="1"/>
  <c r="AF942" i="1"/>
  <c r="AF943" i="1"/>
  <c r="AF944" i="1"/>
  <c r="AF945" i="1"/>
  <c r="AF946" i="1"/>
  <c r="AF947" i="1"/>
  <c r="AF948" i="1"/>
  <c r="AF949" i="1"/>
  <c r="AF950" i="1"/>
  <c r="J927" i="1"/>
  <c r="J928" i="1"/>
  <c r="J929" i="1"/>
  <c r="J930" i="1"/>
  <c r="J931" i="1"/>
  <c r="J932" i="1"/>
  <c r="J933" i="1"/>
  <c r="J934" i="1"/>
  <c r="J935" i="1"/>
  <c r="J936" i="1"/>
  <c r="J937" i="1"/>
  <c r="J938" i="1"/>
  <c r="J939" i="1"/>
  <c r="J940" i="1"/>
  <c r="J941" i="1"/>
  <c r="J942" i="1"/>
  <c r="J943" i="1"/>
  <c r="J944" i="1"/>
  <c r="J945" i="1"/>
  <c r="J946" i="1"/>
  <c r="J947" i="1"/>
  <c r="J948" i="1"/>
  <c r="J949" i="1"/>
  <c r="J950" i="1"/>
  <c r="J926" i="1"/>
  <c r="D927" i="1"/>
  <c r="D928" i="1"/>
  <c r="D929" i="1"/>
  <c r="D930" i="1"/>
  <c r="D931" i="1"/>
  <c r="D932" i="1"/>
  <c r="D933" i="1"/>
  <c r="D934" i="1"/>
  <c r="D935" i="1"/>
  <c r="D936" i="1"/>
  <c r="D937" i="1"/>
  <c r="D938" i="1"/>
  <c r="D939" i="1"/>
  <c r="D940" i="1"/>
  <c r="D941" i="1"/>
  <c r="D942" i="1"/>
  <c r="D943" i="1"/>
  <c r="D944" i="1"/>
  <c r="D945" i="1"/>
  <c r="D946" i="1"/>
  <c r="D947" i="1"/>
  <c r="D948" i="1"/>
  <c r="D949" i="1"/>
  <c r="D950"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843" i="1"/>
  <c r="AI844" i="1"/>
  <c r="AI845" i="1"/>
  <c r="AI846" i="1"/>
  <c r="AI847" i="1"/>
  <c r="AI848" i="1"/>
  <c r="AI849" i="1"/>
  <c r="AI850" i="1"/>
  <c r="AI851" i="1"/>
  <c r="AI852" i="1"/>
  <c r="AI853" i="1"/>
  <c r="AI854" i="1"/>
  <c r="AI855" i="1"/>
  <c r="AI856" i="1"/>
  <c r="AI857" i="1"/>
  <c r="AI858" i="1"/>
  <c r="AI859" i="1"/>
  <c r="AI860" i="1"/>
  <c r="AI861" i="1"/>
  <c r="AI862" i="1"/>
  <c r="AI863" i="1"/>
  <c r="AI864" i="1"/>
  <c r="AI865" i="1"/>
  <c r="AI866" i="1"/>
  <c r="AI867" i="1"/>
  <c r="AI868" i="1"/>
  <c r="AI869" i="1"/>
  <c r="AI870" i="1"/>
  <c r="AI871" i="1"/>
  <c r="AI872" i="1"/>
  <c r="AI873" i="1"/>
  <c r="AI874" i="1"/>
  <c r="AI875" i="1"/>
  <c r="AI876" i="1"/>
  <c r="AI877" i="1"/>
  <c r="AI878" i="1"/>
  <c r="AI879" i="1"/>
  <c r="AI880" i="1"/>
  <c r="AI881" i="1"/>
  <c r="AI882" i="1"/>
  <c r="AI883" i="1"/>
  <c r="AI884" i="1"/>
  <c r="AI885" i="1"/>
  <c r="AI886" i="1"/>
  <c r="AI887" i="1"/>
  <c r="AI888" i="1"/>
  <c r="AI889" i="1"/>
  <c r="AI890" i="1"/>
  <c r="AI891" i="1"/>
  <c r="AI892" i="1"/>
  <c r="AI893" i="1"/>
  <c r="AI894" i="1"/>
  <c r="AI895" i="1"/>
  <c r="AI896" i="1"/>
  <c r="AI897" i="1"/>
  <c r="AI898" i="1"/>
  <c r="AI899" i="1"/>
  <c r="AI900" i="1"/>
  <c r="AI901" i="1"/>
  <c r="AI902" i="1"/>
  <c r="AI903" i="1"/>
  <c r="AI904" i="1"/>
  <c r="AI905" i="1"/>
  <c r="AI906" i="1"/>
  <c r="AI907" i="1"/>
  <c r="AI908" i="1"/>
  <c r="AI843" i="1"/>
  <c r="AF844" i="1"/>
  <c r="AF845" i="1"/>
  <c r="AF846" i="1"/>
  <c r="AF847" i="1"/>
  <c r="AF848" i="1"/>
  <c r="AF849" i="1"/>
  <c r="AF850" i="1"/>
  <c r="AF851" i="1"/>
  <c r="AF852" i="1"/>
  <c r="AF853" i="1"/>
  <c r="AF854" i="1"/>
  <c r="AF855" i="1"/>
  <c r="AF856" i="1"/>
  <c r="AF857" i="1"/>
  <c r="AF858" i="1"/>
  <c r="AF859" i="1"/>
  <c r="AF860" i="1"/>
  <c r="AF861" i="1"/>
  <c r="AF862" i="1"/>
  <c r="AF863" i="1"/>
  <c r="AF864" i="1"/>
  <c r="AF865" i="1"/>
  <c r="AF866" i="1"/>
  <c r="AF867" i="1"/>
  <c r="AF868" i="1"/>
  <c r="AF869" i="1"/>
  <c r="AF870" i="1"/>
  <c r="AF871" i="1"/>
  <c r="AF872" i="1"/>
  <c r="AF873" i="1"/>
  <c r="AF874" i="1"/>
  <c r="AF875" i="1"/>
  <c r="AF876" i="1"/>
  <c r="AF877" i="1"/>
  <c r="AF878" i="1"/>
  <c r="AF879" i="1"/>
  <c r="AF880" i="1"/>
  <c r="AF881" i="1"/>
  <c r="AF882" i="1"/>
  <c r="AF883" i="1"/>
  <c r="AF884" i="1"/>
  <c r="AF885" i="1"/>
  <c r="AF886" i="1"/>
  <c r="AF887" i="1"/>
  <c r="AF888" i="1"/>
  <c r="AF889" i="1"/>
  <c r="AF890" i="1"/>
  <c r="AF891" i="1"/>
  <c r="AF892" i="1"/>
  <c r="AF893" i="1"/>
  <c r="AF894" i="1"/>
  <c r="AF895" i="1"/>
  <c r="AF896" i="1"/>
  <c r="AF897" i="1"/>
  <c r="AF898" i="1"/>
  <c r="AF899" i="1"/>
  <c r="AF900" i="1"/>
  <c r="AF901" i="1"/>
  <c r="AF902" i="1"/>
  <c r="AF903" i="1"/>
  <c r="AF904" i="1"/>
  <c r="AF905" i="1"/>
  <c r="AF906" i="1"/>
  <c r="AF907" i="1"/>
  <c r="AF908"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843"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15" i="1"/>
  <c r="AF816" i="1"/>
  <c r="AF817" i="1"/>
  <c r="AF818" i="1"/>
  <c r="AF819" i="1"/>
  <c r="AF820" i="1"/>
  <c r="AF821" i="1"/>
  <c r="AF822" i="1"/>
  <c r="AF823" i="1"/>
  <c r="AF824" i="1"/>
  <c r="AF825" i="1"/>
  <c r="AF826" i="1"/>
  <c r="AF827" i="1"/>
  <c r="AF828" i="1"/>
  <c r="AF829" i="1"/>
  <c r="AF830" i="1"/>
  <c r="AF831" i="1"/>
  <c r="AF832" i="1"/>
  <c r="AF833" i="1"/>
  <c r="AF834" i="1"/>
  <c r="AF835" i="1"/>
  <c r="AF836" i="1"/>
  <c r="AF837" i="1"/>
  <c r="AF838" i="1"/>
  <c r="AF839" i="1"/>
  <c r="AF840" i="1"/>
  <c r="AF841" i="1"/>
  <c r="AF842" i="1"/>
  <c r="AF815" i="1"/>
  <c r="H840" i="1"/>
  <c r="H841" i="1"/>
  <c r="H842"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15"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AI816" i="1"/>
  <c r="AI817" i="1"/>
  <c r="AI818" i="1"/>
  <c r="AI819" i="1"/>
  <c r="AI820" i="1"/>
  <c r="AI821" i="1"/>
  <c r="AI822" i="1"/>
  <c r="AI823" i="1"/>
  <c r="AI824" i="1"/>
  <c r="AI825" i="1"/>
  <c r="AI826" i="1"/>
  <c r="AI827" i="1"/>
  <c r="AI828" i="1"/>
  <c r="AI829" i="1"/>
  <c r="AI830" i="1"/>
  <c r="AI831" i="1"/>
  <c r="AI832" i="1"/>
  <c r="AI833" i="1"/>
  <c r="AI834" i="1"/>
  <c r="AI835" i="1"/>
  <c r="AI836" i="1"/>
  <c r="AI837" i="1"/>
  <c r="AI838" i="1"/>
  <c r="AI839" i="1"/>
  <c r="AI840" i="1"/>
  <c r="AI841" i="1"/>
  <c r="AI842" i="1"/>
  <c r="AI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737" i="1"/>
  <c r="H505"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AF738" i="1"/>
  <c r="AF739" i="1"/>
  <c r="AF740" i="1"/>
  <c r="AF741" i="1"/>
  <c r="AF742" i="1"/>
  <c r="AF743" i="1"/>
  <c r="AF744" i="1"/>
  <c r="AF745" i="1"/>
  <c r="AF746" i="1"/>
  <c r="AF747" i="1"/>
  <c r="AF748" i="1"/>
  <c r="AF749" i="1"/>
  <c r="AF750" i="1"/>
  <c r="AF751" i="1"/>
  <c r="AF752" i="1"/>
  <c r="AF753" i="1"/>
  <c r="AF754" i="1"/>
  <c r="AF755" i="1"/>
  <c r="AF756" i="1"/>
  <c r="AF757" i="1"/>
  <c r="AF758" i="1"/>
  <c r="AF759" i="1"/>
  <c r="AF760" i="1"/>
  <c r="AF761" i="1"/>
  <c r="AF762" i="1"/>
  <c r="AF763" i="1"/>
  <c r="AF764" i="1"/>
  <c r="AF765" i="1"/>
  <c r="AF766" i="1"/>
  <c r="AF767" i="1"/>
  <c r="AF768" i="1"/>
  <c r="AF769" i="1"/>
  <c r="AF770" i="1"/>
  <c r="AF771" i="1"/>
  <c r="AF772" i="1"/>
  <c r="AF773" i="1"/>
  <c r="AF774" i="1"/>
  <c r="AF775" i="1"/>
  <c r="AF776" i="1"/>
  <c r="AF777" i="1"/>
  <c r="AF778" i="1"/>
  <c r="AF779" i="1"/>
  <c r="AF780" i="1"/>
  <c r="AF781" i="1"/>
  <c r="AF782" i="1"/>
  <c r="AF783" i="1"/>
  <c r="AF784" i="1"/>
  <c r="AF785" i="1"/>
  <c r="AF786" i="1"/>
  <c r="AF787" i="1"/>
  <c r="AF788" i="1"/>
  <c r="AF789" i="1"/>
  <c r="AF790" i="1"/>
  <c r="AF791" i="1"/>
  <c r="AF792" i="1"/>
  <c r="AF793" i="1"/>
  <c r="AF794" i="1"/>
  <c r="AF795" i="1"/>
  <c r="AF796" i="1"/>
  <c r="AF797" i="1"/>
  <c r="AF798" i="1"/>
  <c r="AF799" i="1"/>
  <c r="AF800" i="1"/>
  <c r="AF801" i="1"/>
  <c r="AF802" i="1"/>
  <c r="AF803" i="1"/>
  <c r="AF804" i="1"/>
  <c r="AF805" i="1"/>
  <c r="AF806" i="1"/>
  <c r="AF807" i="1"/>
  <c r="AF808" i="1"/>
  <c r="AF809" i="1"/>
  <c r="AF810" i="1"/>
  <c r="AF811" i="1"/>
  <c r="AF812" i="1"/>
  <c r="AF813" i="1"/>
  <c r="AF814" i="1"/>
  <c r="N930" i="1" l="1"/>
  <c r="N938" i="1"/>
  <c r="N946" i="1"/>
  <c r="N943" i="1"/>
  <c r="N926" i="1"/>
  <c r="N935" i="1"/>
  <c r="N927" i="1"/>
  <c r="N944" i="1"/>
  <c r="N942" i="1"/>
  <c r="N929" i="1"/>
  <c r="N928" i="1"/>
  <c r="N949" i="1"/>
  <c r="N948" i="1"/>
  <c r="N947" i="1"/>
  <c r="N945" i="1"/>
  <c r="N936" i="1"/>
  <c r="N933" i="1"/>
  <c r="N931" i="1"/>
  <c r="N934" i="1"/>
  <c r="N950" i="1"/>
  <c r="N941" i="1"/>
  <c r="N940" i="1"/>
  <c r="N939" i="1"/>
  <c r="N937" i="1"/>
  <c r="N932" i="1"/>
  <c r="N1067" i="1"/>
  <c r="N1118" i="1"/>
  <c r="N1117" i="1"/>
  <c r="N1116" i="1"/>
  <c r="N1115" i="1"/>
  <c r="N1114" i="1"/>
  <c r="N1113" i="1"/>
  <c r="N1110" i="1"/>
  <c r="N1112" i="1"/>
  <c r="N1119" i="1"/>
  <c r="N1076" i="1"/>
  <c r="N1074" i="1"/>
  <c r="N1073" i="1"/>
  <c r="N1072" i="1"/>
  <c r="N1071" i="1"/>
  <c r="N1070" i="1"/>
  <c r="N1069" i="1"/>
  <c r="N1068" i="1"/>
  <c r="N1075" i="1"/>
  <c r="N1057" i="1"/>
  <c r="N957" i="1"/>
  <c r="N1044" i="1"/>
  <c r="N1036" i="1"/>
  <c r="N1028" i="1"/>
  <c r="N1020" i="1"/>
  <c r="N1012" i="1"/>
  <c r="N1004" i="1"/>
  <c r="N996" i="1"/>
  <c r="N988" i="1"/>
  <c r="N980" i="1"/>
  <c r="N972" i="1"/>
  <c r="N964" i="1"/>
  <c r="N956" i="1"/>
  <c r="N1064" i="1"/>
  <c r="N1056" i="1"/>
  <c r="N951" i="1"/>
  <c r="N1043" i="1"/>
  <c r="N1035" i="1"/>
  <c r="N1027" i="1"/>
  <c r="N1019" i="1"/>
  <c r="N1011" i="1"/>
  <c r="N1003" i="1"/>
  <c r="N995" i="1"/>
  <c r="N987" i="1"/>
  <c r="N979" i="1"/>
  <c r="N971" i="1"/>
  <c r="N963" i="1"/>
  <c r="N955" i="1"/>
  <c r="N1063" i="1"/>
  <c r="N1055" i="1"/>
  <c r="N1050" i="1"/>
  <c r="N1042" i="1"/>
  <c r="N1034" i="1"/>
  <c r="N1026" i="1"/>
  <c r="N1018" i="1"/>
  <c r="N1010" i="1"/>
  <c r="N1002" i="1"/>
  <c r="N994" i="1"/>
  <c r="N986" i="1"/>
  <c r="N978" i="1"/>
  <c r="N970" i="1"/>
  <c r="N962" i="1"/>
  <c r="N954" i="1"/>
  <c r="N1062" i="1"/>
  <c r="N1054" i="1"/>
  <c r="N1049" i="1"/>
  <c r="N1041" i="1"/>
  <c r="N1033" i="1"/>
  <c r="N1025" i="1"/>
  <c r="N1017" i="1"/>
  <c r="N1009" i="1"/>
  <c r="N1001" i="1"/>
  <c r="N993" i="1"/>
  <c r="N985" i="1"/>
  <c r="N977" i="1"/>
  <c r="N969" i="1"/>
  <c r="N961" i="1"/>
  <c r="N953" i="1"/>
  <c r="N1061" i="1"/>
  <c r="N1053" i="1"/>
  <c r="N1048" i="1"/>
  <c r="N1040" i="1"/>
  <c r="N1032" i="1"/>
  <c r="N1024" i="1"/>
  <c r="N1016" i="1"/>
  <c r="N1008" i="1"/>
  <c r="N1000" i="1"/>
  <c r="N992" i="1"/>
  <c r="N984" i="1"/>
  <c r="N976" i="1"/>
  <c r="N968" i="1"/>
  <c r="N960" i="1"/>
  <c r="N952" i="1"/>
  <c r="N1060" i="1"/>
  <c r="N1052" i="1"/>
  <c r="N1047" i="1"/>
  <c r="N1039" i="1"/>
  <c r="N1031" i="1"/>
  <c r="N1023" i="1"/>
  <c r="N1015" i="1"/>
  <c r="N1007" i="1"/>
  <c r="N999" i="1"/>
  <c r="N991" i="1"/>
  <c r="N983" i="1"/>
  <c r="N975" i="1"/>
  <c r="N967" i="1"/>
  <c r="N959" i="1"/>
  <c r="N1051" i="1"/>
  <c r="N1059" i="1"/>
  <c r="N1046" i="1"/>
  <c r="N1038" i="1"/>
  <c r="N1030" i="1"/>
  <c r="N1022" i="1"/>
  <c r="N1014" i="1"/>
  <c r="N1006" i="1"/>
  <c r="N998" i="1"/>
  <c r="N990" i="1"/>
  <c r="N982" i="1"/>
  <c r="N974" i="1"/>
  <c r="N966" i="1"/>
  <c r="N958" i="1"/>
  <c r="N1066" i="1"/>
  <c r="N1058" i="1"/>
  <c r="N1045" i="1"/>
  <c r="N1037" i="1"/>
  <c r="N1029" i="1"/>
  <c r="N1021" i="1"/>
  <c r="N1013" i="1"/>
  <c r="N1005" i="1"/>
  <c r="N997" i="1"/>
  <c r="N989" i="1"/>
  <c r="N981" i="1"/>
  <c r="N973" i="1"/>
  <c r="N965" i="1"/>
  <c r="N1065" i="1"/>
  <c r="N822" i="1"/>
  <c r="N837" i="1"/>
  <c r="N829" i="1"/>
  <c r="N821" i="1"/>
  <c r="N836" i="1"/>
  <c r="N828" i="1"/>
  <c r="N820" i="1"/>
  <c r="N815" i="1"/>
  <c r="N835" i="1"/>
  <c r="N827" i="1"/>
  <c r="N819" i="1"/>
  <c r="N842" i="1"/>
  <c r="N834" i="1"/>
  <c r="N826" i="1"/>
  <c r="N818" i="1"/>
  <c r="N841" i="1"/>
  <c r="N833" i="1"/>
  <c r="N825" i="1"/>
  <c r="N817" i="1"/>
  <c r="N840" i="1"/>
  <c r="N832" i="1"/>
  <c r="N824" i="1"/>
  <c r="N816" i="1"/>
  <c r="N839" i="1"/>
  <c r="N831" i="1"/>
  <c r="N823" i="1"/>
  <c r="N838" i="1"/>
  <c r="N830" i="1"/>
  <c r="W737" i="1"/>
  <c r="J737" i="1"/>
  <c r="N766" i="1" l="1"/>
  <c r="N798" i="1"/>
  <c r="N774" i="1"/>
  <c r="N790" i="1"/>
  <c r="N750" i="1"/>
  <c r="N806" i="1"/>
  <c r="N782" i="1"/>
  <c r="N758" i="1"/>
  <c r="N814" i="1"/>
  <c r="N738" i="1"/>
  <c r="N785" i="1"/>
  <c r="N780" i="1"/>
  <c r="N752" i="1"/>
  <c r="N791" i="1"/>
  <c r="N741" i="1"/>
  <c r="N803" i="1"/>
  <c r="N739" i="1"/>
  <c r="N778" i="1"/>
  <c r="N753" i="1"/>
  <c r="N746" i="1"/>
  <c r="N776" i="1"/>
  <c r="N751" i="1"/>
  <c r="N799" i="1"/>
  <c r="N805" i="1"/>
  <c r="N777" i="1"/>
  <c r="N808" i="1"/>
  <c r="N744" i="1"/>
  <c r="N783" i="1"/>
  <c r="N740" i="1"/>
  <c r="N795" i="1"/>
  <c r="N773" i="1"/>
  <c r="N770" i="1"/>
  <c r="N772" i="1"/>
  <c r="N810" i="1"/>
  <c r="N745" i="1"/>
  <c r="N796" i="1"/>
  <c r="N794" i="1"/>
  <c r="N742" i="1"/>
  <c r="N789" i="1"/>
  <c r="N769" i="1"/>
  <c r="N800" i="1"/>
  <c r="N797" i="1"/>
  <c r="N775" i="1"/>
  <c r="N813" i="1"/>
  <c r="N787" i="1"/>
  <c r="N788" i="1"/>
  <c r="N762" i="1"/>
  <c r="N759" i="1"/>
  <c r="N809" i="1"/>
  <c r="N802" i="1"/>
  <c r="N804" i="1"/>
  <c r="N786" i="1"/>
  <c r="N757" i="1"/>
  <c r="N761" i="1"/>
  <c r="N792" i="1"/>
  <c r="N749" i="1"/>
  <c r="N767" i="1"/>
  <c r="N781" i="1"/>
  <c r="N779" i="1"/>
  <c r="N756" i="1"/>
  <c r="N754" i="1"/>
  <c r="N812" i="1"/>
  <c r="N737" i="1"/>
  <c r="N793" i="1"/>
  <c r="N747" i="1"/>
  <c r="N764" i="1"/>
  <c r="N784" i="1"/>
  <c r="N771" i="1"/>
  <c r="N763" i="1"/>
  <c r="N760" i="1"/>
  <c r="N801" i="1"/>
  <c r="N765" i="1"/>
  <c r="N768" i="1"/>
  <c r="N807" i="1"/>
  <c r="N743" i="1"/>
  <c r="N748" i="1"/>
  <c r="N755" i="1"/>
  <c r="N811" i="1"/>
  <c r="R709" i="1" a="1"/>
  <c r="R709" i="1" s="1"/>
  <c r="R708" i="1" a="1"/>
  <c r="R708" i="1" s="1"/>
  <c r="R724" i="1" a="1"/>
  <c r="R724" i="1" s="1"/>
  <c r="R703" i="1" a="1"/>
  <c r="R703" i="1" s="1"/>
  <c r="R696" i="1" a="1"/>
  <c r="R696" i="1" s="1"/>
  <c r="R716" i="1" a="1"/>
  <c r="R716" i="1" s="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693"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517" i="1"/>
  <c r="AI518" i="1"/>
  <c r="AI519" i="1"/>
  <c r="AI520" i="1"/>
  <c r="AI521" i="1"/>
  <c r="AI522" i="1"/>
  <c r="AI523" i="1"/>
  <c r="AI524" i="1"/>
  <c r="AI525" i="1"/>
  <c r="AI526" i="1"/>
  <c r="AI527" i="1"/>
  <c r="AI528" i="1"/>
  <c r="AI529" i="1"/>
  <c r="AI530" i="1"/>
  <c r="AI531" i="1"/>
  <c r="AI532" i="1"/>
  <c r="AI533" i="1"/>
  <c r="AI534" i="1"/>
  <c r="AI535" i="1"/>
  <c r="AI536" i="1"/>
  <c r="AI537" i="1"/>
  <c r="AI538" i="1"/>
  <c r="AI539" i="1"/>
  <c r="AI540" i="1"/>
  <c r="AI541" i="1"/>
  <c r="AI542" i="1"/>
  <c r="AI543" i="1"/>
  <c r="AI544" i="1"/>
  <c r="AI545" i="1"/>
  <c r="AI546" i="1"/>
  <c r="AI547" i="1"/>
  <c r="AI548" i="1"/>
  <c r="AI549" i="1"/>
  <c r="AI550" i="1"/>
  <c r="AI551" i="1"/>
  <c r="AI552" i="1"/>
  <c r="AI553" i="1"/>
  <c r="AI554" i="1"/>
  <c r="AI555" i="1"/>
  <c r="AI556" i="1"/>
  <c r="AI557" i="1"/>
  <c r="AI558" i="1"/>
  <c r="AI559" i="1"/>
  <c r="AI560" i="1"/>
  <c r="AI561" i="1"/>
  <c r="AI562" i="1"/>
  <c r="AI563" i="1"/>
  <c r="AI564" i="1"/>
  <c r="AI565" i="1"/>
  <c r="AI566" i="1"/>
  <c r="AI567" i="1"/>
  <c r="AI568" i="1"/>
  <c r="AI569" i="1"/>
  <c r="AI570" i="1"/>
  <c r="AI571" i="1"/>
  <c r="AI572" i="1"/>
  <c r="AI573" i="1"/>
  <c r="AI574" i="1"/>
  <c r="AI575" i="1"/>
  <c r="AI576" i="1"/>
  <c r="AI577" i="1"/>
  <c r="AI578" i="1"/>
  <c r="AI579" i="1"/>
  <c r="AI580" i="1"/>
  <c r="AI581" i="1"/>
  <c r="AI582" i="1"/>
  <c r="AI583" i="1"/>
  <c r="AI584" i="1"/>
  <c r="AI585" i="1"/>
  <c r="AI586" i="1"/>
  <c r="AI587" i="1"/>
  <c r="AI588" i="1"/>
  <c r="AI589" i="1"/>
  <c r="AI590" i="1"/>
  <c r="AI591" i="1"/>
  <c r="AI592" i="1"/>
  <c r="AI593" i="1"/>
  <c r="AI594" i="1"/>
  <c r="AI595" i="1"/>
  <c r="AI596" i="1"/>
  <c r="AI597" i="1"/>
  <c r="AI598" i="1"/>
  <c r="AI599" i="1"/>
  <c r="AI600" i="1"/>
  <c r="AI601" i="1"/>
  <c r="AI602" i="1"/>
  <c r="AI603" i="1"/>
  <c r="AI604" i="1"/>
  <c r="AI605" i="1"/>
  <c r="AI606" i="1"/>
  <c r="AI607" i="1"/>
  <c r="AI608" i="1"/>
  <c r="AI609" i="1"/>
  <c r="AI610" i="1"/>
  <c r="AI611" i="1"/>
  <c r="AI612" i="1"/>
  <c r="AI613" i="1"/>
  <c r="AI614" i="1"/>
  <c r="AI615" i="1"/>
  <c r="AI616" i="1"/>
  <c r="AI617" i="1"/>
  <c r="AI618" i="1"/>
  <c r="AI619" i="1"/>
  <c r="AI620" i="1"/>
  <c r="AI621" i="1"/>
  <c r="AI622" i="1"/>
  <c r="AI623" i="1"/>
  <c r="AI624" i="1"/>
  <c r="AI625" i="1"/>
  <c r="AI626" i="1"/>
  <c r="AI627" i="1"/>
  <c r="AI628" i="1"/>
  <c r="AI629" i="1"/>
  <c r="AI630" i="1"/>
  <c r="AI631" i="1"/>
  <c r="AI632" i="1"/>
  <c r="AI633" i="1"/>
  <c r="AI634" i="1"/>
  <c r="AI635" i="1"/>
  <c r="AI636" i="1"/>
  <c r="AI637" i="1"/>
  <c r="AI638" i="1"/>
  <c r="AI639" i="1"/>
  <c r="AI640" i="1"/>
  <c r="AI641" i="1"/>
  <c r="AI642" i="1"/>
  <c r="AI643" i="1"/>
  <c r="AI644" i="1"/>
  <c r="AI645" i="1"/>
  <c r="AI646" i="1"/>
  <c r="AI647" i="1"/>
  <c r="AI648" i="1"/>
  <c r="AI649" i="1"/>
  <c r="AI650" i="1"/>
  <c r="AI651" i="1"/>
  <c r="AI652" i="1"/>
  <c r="AI653" i="1"/>
  <c r="AI654" i="1"/>
  <c r="AI655" i="1"/>
  <c r="AI656" i="1"/>
  <c r="AI657" i="1"/>
  <c r="AI658" i="1"/>
  <c r="AI659" i="1"/>
  <c r="AI660" i="1"/>
  <c r="AI661" i="1"/>
  <c r="AI662" i="1"/>
  <c r="AI663" i="1"/>
  <c r="AI664" i="1"/>
  <c r="AI665" i="1"/>
  <c r="AI666" i="1"/>
  <c r="AI667" i="1"/>
  <c r="AI668" i="1"/>
  <c r="AI669" i="1"/>
  <c r="AI670" i="1"/>
  <c r="AI671" i="1"/>
  <c r="AI672" i="1"/>
  <c r="AI673" i="1"/>
  <c r="AI674" i="1"/>
  <c r="AI675" i="1"/>
  <c r="AI676" i="1"/>
  <c r="AI677" i="1"/>
  <c r="AI678" i="1"/>
  <c r="AI679" i="1"/>
  <c r="AI680" i="1"/>
  <c r="AI681" i="1"/>
  <c r="AI682" i="1"/>
  <c r="AI683" i="1"/>
  <c r="AI684" i="1"/>
  <c r="AI685" i="1"/>
  <c r="AI686" i="1"/>
  <c r="AI687" i="1"/>
  <c r="AI688" i="1"/>
  <c r="AI689" i="1"/>
  <c r="AI690" i="1"/>
  <c r="AI691" i="1"/>
  <c r="AI692" i="1"/>
  <c r="AI517" i="1"/>
  <c r="O518"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R2" i="1" a="1"/>
  <c r="R2" i="1" s="1"/>
  <c r="AF518" i="1"/>
  <c r="AF519" i="1"/>
  <c r="AF520" i="1"/>
  <c r="AF521" i="1"/>
  <c r="AF522" i="1"/>
  <c r="AF523" i="1"/>
  <c r="AF524" i="1"/>
  <c r="AF525" i="1"/>
  <c r="AF526" i="1"/>
  <c r="AF527" i="1"/>
  <c r="AF528" i="1"/>
  <c r="AF529" i="1"/>
  <c r="AF530" i="1"/>
  <c r="AF531" i="1"/>
  <c r="AF532" i="1"/>
  <c r="AF533" i="1"/>
  <c r="AF534" i="1"/>
  <c r="AF535" i="1"/>
  <c r="AF536" i="1"/>
  <c r="AF537" i="1"/>
  <c r="AF538" i="1"/>
  <c r="AF539" i="1"/>
  <c r="AF540" i="1"/>
  <c r="AF541" i="1"/>
  <c r="AF542" i="1"/>
  <c r="AF543" i="1"/>
  <c r="AF544" i="1"/>
  <c r="AF545" i="1"/>
  <c r="AF546" i="1"/>
  <c r="AF547" i="1"/>
  <c r="AF548" i="1"/>
  <c r="AF549" i="1"/>
  <c r="AF550" i="1"/>
  <c r="AF551" i="1"/>
  <c r="AF552" i="1"/>
  <c r="AF553" i="1"/>
  <c r="AF554" i="1"/>
  <c r="AF555" i="1"/>
  <c r="AF556" i="1"/>
  <c r="AF557" i="1"/>
  <c r="AF558" i="1"/>
  <c r="AF559" i="1"/>
  <c r="AF560" i="1"/>
  <c r="AF561" i="1"/>
  <c r="AF562" i="1"/>
  <c r="AF563" i="1"/>
  <c r="AF564" i="1"/>
  <c r="AF565" i="1"/>
  <c r="AF566" i="1"/>
  <c r="AF567" i="1"/>
  <c r="AF568" i="1"/>
  <c r="AF569" i="1"/>
  <c r="AF570" i="1"/>
  <c r="AF571" i="1"/>
  <c r="AF572" i="1"/>
  <c r="AF573" i="1"/>
  <c r="AF574" i="1"/>
  <c r="AF575" i="1"/>
  <c r="AF576" i="1"/>
  <c r="AF577" i="1"/>
  <c r="AF578" i="1"/>
  <c r="AF579" i="1"/>
  <c r="AF580" i="1"/>
  <c r="AF581" i="1"/>
  <c r="AF582" i="1"/>
  <c r="AF583" i="1"/>
  <c r="AF584" i="1"/>
  <c r="AF585" i="1"/>
  <c r="AF586" i="1"/>
  <c r="AF587" i="1"/>
  <c r="AF588" i="1"/>
  <c r="AF589" i="1"/>
  <c r="AF590" i="1"/>
  <c r="AF591" i="1"/>
  <c r="AF592" i="1"/>
  <c r="AF593" i="1"/>
  <c r="AF594" i="1"/>
  <c r="AF595" i="1"/>
  <c r="AF596" i="1"/>
  <c r="AF597" i="1"/>
  <c r="AF598" i="1"/>
  <c r="AF599" i="1"/>
  <c r="AF600" i="1"/>
  <c r="AF601" i="1"/>
  <c r="AF602" i="1"/>
  <c r="AF603" i="1"/>
  <c r="AF604" i="1"/>
  <c r="AF605" i="1"/>
  <c r="AF606" i="1"/>
  <c r="AF607" i="1"/>
  <c r="AF608" i="1"/>
  <c r="AF609" i="1"/>
  <c r="AF610" i="1"/>
  <c r="AF611" i="1"/>
  <c r="AF612" i="1"/>
  <c r="AF613" i="1"/>
  <c r="AF614" i="1"/>
  <c r="AF615" i="1"/>
  <c r="AF616" i="1"/>
  <c r="AF617" i="1"/>
  <c r="AF618" i="1"/>
  <c r="AF619" i="1"/>
  <c r="AF620" i="1"/>
  <c r="AF621" i="1"/>
  <c r="AF622" i="1"/>
  <c r="AF623" i="1"/>
  <c r="AF624" i="1"/>
  <c r="AF625" i="1"/>
  <c r="AF626" i="1"/>
  <c r="AF627" i="1"/>
  <c r="AF628" i="1"/>
  <c r="AF629" i="1"/>
  <c r="AF630" i="1"/>
  <c r="AF631" i="1"/>
  <c r="AF632" i="1"/>
  <c r="AF633" i="1"/>
  <c r="AF634" i="1"/>
  <c r="AF635" i="1"/>
  <c r="AF636" i="1"/>
  <c r="AF637" i="1"/>
  <c r="AF638" i="1"/>
  <c r="AF639" i="1"/>
  <c r="AF640" i="1"/>
  <c r="AF641" i="1"/>
  <c r="AF642" i="1"/>
  <c r="AF643" i="1"/>
  <c r="AF644" i="1"/>
  <c r="AF645" i="1"/>
  <c r="AF646" i="1"/>
  <c r="AF647" i="1"/>
  <c r="AF648" i="1"/>
  <c r="AF649" i="1"/>
  <c r="AF650" i="1"/>
  <c r="AF651" i="1"/>
  <c r="AF652" i="1"/>
  <c r="AF653" i="1"/>
  <c r="AF654" i="1"/>
  <c r="AF655" i="1"/>
  <c r="AF656" i="1"/>
  <c r="AF657" i="1"/>
  <c r="AF658" i="1"/>
  <c r="AF659" i="1"/>
  <c r="AF660" i="1"/>
  <c r="AF661" i="1"/>
  <c r="AF662" i="1"/>
  <c r="AF663" i="1"/>
  <c r="AF664" i="1"/>
  <c r="AF665" i="1"/>
  <c r="AF666" i="1"/>
  <c r="AF667" i="1"/>
  <c r="AF668" i="1"/>
  <c r="AF669" i="1"/>
  <c r="AF670" i="1"/>
  <c r="AF671" i="1"/>
  <c r="AF672" i="1"/>
  <c r="AF673" i="1"/>
  <c r="AF674" i="1"/>
  <c r="AF675" i="1"/>
  <c r="AF676" i="1"/>
  <c r="AF677" i="1"/>
  <c r="AF678" i="1"/>
  <c r="AF679" i="1"/>
  <c r="AF680" i="1"/>
  <c r="AF681" i="1"/>
  <c r="AF682" i="1"/>
  <c r="AF683" i="1"/>
  <c r="AF684" i="1"/>
  <c r="AF685" i="1"/>
  <c r="AF686" i="1"/>
  <c r="AF687" i="1"/>
  <c r="AF688" i="1"/>
  <c r="AF689" i="1"/>
  <c r="AF690" i="1"/>
  <c r="AF691" i="1"/>
  <c r="AF692" i="1"/>
  <c r="J680" i="1"/>
  <c r="J688" i="1"/>
  <c r="E951" i="1"/>
  <c r="D926" i="1"/>
  <c r="D815" i="1"/>
  <c r="S695" i="1" l="1"/>
  <c r="S703" i="1"/>
  <c r="S711" i="1"/>
  <c r="S719" i="1"/>
  <c r="S727" i="1"/>
  <c r="S735" i="1"/>
  <c r="S696" i="1"/>
  <c r="S704" i="1"/>
  <c r="S712" i="1"/>
  <c r="S720" i="1"/>
  <c r="S728" i="1"/>
  <c r="S736" i="1"/>
  <c r="S697" i="1"/>
  <c r="S705" i="1"/>
  <c r="S713" i="1"/>
  <c r="S721" i="1"/>
  <c r="S729" i="1"/>
  <c r="S693" i="1"/>
  <c r="S698" i="1"/>
  <c r="S706" i="1"/>
  <c r="S714" i="1"/>
  <c r="S722" i="1"/>
  <c r="S730" i="1"/>
  <c r="S699" i="1"/>
  <c r="S707" i="1"/>
  <c r="S715" i="1"/>
  <c r="S723" i="1"/>
  <c r="S731" i="1"/>
  <c r="S700" i="1"/>
  <c r="S708" i="1"/>
  <c r="S716" i="1"/>
  <c r="S724" i="1"/>
  <c r="S732" i="1"/>
  <c r="S701" i="1"/>
  <c r="S709" i="1"/>
  <c r="S717" i="1"/>
  <c r="S725" i="1"/>
  <c r="S733" i="1"/>
  <c r="S694" i="1"/>
  <c r="S702" i="1"/>
  <c r="S710" i="1"/>
  <c r="S718" i="1"/>
  <c r="S726" i="1"/>
  <c r="S734" i="1"/>
  <c r="N696" i="1"/>
  <c r="N726" i="1"/>
  <c r="N709" i="1"/>
  <c r="N731" i="1"/>
  <c r="N706" i="1"/>
  <c r="N693" i="1"/>
  <c r="N735" i="1"/>
  <c r="N718" i="1"/>
  <c r="N701" i="1"/>
  <c r="N723" i="1"/>
  <c r="N698" i="1"/>
  <c r="N728" i="1"/>
  <c r="N727" i="1"/>
  <c r="N710" i="1"/>
  <c r="N736" i="1"/>
  <c r="N715" i="1"/>
  <c r="N720" i="1"/>
  <c r="N714" i="1"/>
  <c r="N719" i="1"/>
  <c r="N702" i="1"/>
  <c r="N732" i="1"/>
  <c r="N707" i="1"/>
  <c r="N729" i="1"/>
  <c r="N712" i="1"/>
  <c r="N708" i="1"/>
  <c r="N700" i="1"/>
  <c r="N711" i="1"/>
  <c r="N694" i="1"/>
  <c r="N724" i="1"/>
  <c r="N699" i="1"/>
  <c r="N721" i="1"/>
  <c r="N704" i="1"/>
  <c r="N725" i="1"/>
  <c r="N722" i="1"/>
  <c r="N717" i="1"/>
  <c r="N697" i="1"/>
  <c r="N703" i="1"/>
  <c r="N733" i="1"/>
  <c r="N716" i="1"/>
  <c r="N730" i="1"/>
  <c r="N713" i="1"/>
  <c r="N695" i="1"/>
  <c r="N705" i="1"/>
  <c r="N734" i="1"/>
  <c r="J519" i="1"/>
  <c r="J520" i="1"/>
  <c r="J521" i="1"/>
  <c r="J529" i="1"/>
  <c r="J537" i="1"/>
  <c r="J545" i="1"/>
  <c r="J553" i="1"/>
  <c r="J561" i="1"/>
  <c r="J569" i="1"/>
  <c r="J577" i="1"/>
  <c r="J585" i="1"/>
  <c r="J593" i="1"/>
  <c r="J601" i="1"/>
  <c r="J609" i="1"/>
  <c r="J617" i="1"/>
  <c r="J625" i="1"/>
  <c r="J633" i="1"/>
  <c r="J641" i="1"/>
  <c r="J649" i="1"/>
  <c r="J657" i="1"/>
  <c r="J665" i="1"/>
  <c r="J673" i="1"/>
  <c r="J681" i="1"/>
  <c r="J689" i="1"/>
  <c r="J531" i="1"/>
  <c r="J555" i="1"/>
  <c r="J571" i="1"/>
  <c r="J587" i="1"/>
  <c r="J603" i="1"/>
  <c r="J619" i="1"/>
  <c r="J635" i="1"/>
  <c r="J651" i="1"/>
  <c r="J667" i="1"/>
  <c r="J683" i="1"/>
  <c r="J532" i="1"/>
  <c r="J548" i="1"/>
  <c r="J564" i="1"/>
  <c r="J580" i="1"/>
  <c r="J596" i="1"/>
  <c r="J612" i="1"/>
  <c r="J628" i="1"/>
  <c r="J644" i="1"/>
  <c r="J660" i="1"/>
  <c r="J676" i="1"/>
  <c r="J692" i="1"/>
  <c r="J525" i="1"/>
  <c r="J541" i="1"/>
  <c r="J557" i="1"/>
  <c r="J573" i="1"/>
  <c r="J589" i="1"/>
  <c r="J605" i="1"/>
  <c r="J621" i="1"/>
  <c r="J637" i="1"/>
  <c r="J653" i="1"/>
  <c r="J669" i="1"/>
  <c r="J685" i="1"/>
  <c r="J526" i="1"/>
  <c r="J542" i="1"/>
  <c r="J558" i="1"/>
  <c r="J574" i="1"/>
  <c r="J590" i="1"/>
  <c r="J606" i="1"/>
  <c r="J622" i="1"/>
  <c r="J638" i="1"/>
  <c r="J654" i="1"/>
  <c r="J670" i="1"/>
  <c r="J686" i="1"/>
  <c r="J535" i="1"/>
  <c r="J551" i="1"/>
  <c r="J567" i="1"/>
  <c r="J583" i="1"/>
  <c r="J599" i="1"/>
  <c r="J615" i="1"/>
  <c r="J631" i="1"/>
  <c r="J647" i="1"/>
  <c r="J663" i="1"/>
  <c r="J679" i="1"/>
  <c r="J528" i="1"/>
  <c r="J544" i="1"/>
  <c r="J560" i="1"/>
  <c r="J576" i="1"/>
  <c r="J592" i="1"/>
  <c r="J608" i="1"/>
  <c r="J624" i="1"/>
  <c r="J640" i="1"/>
  <c r="J656" i="1"/>
  <c r="J672" i="1"/>
  <c r="J522" i="1"/>
  <c r="J530" i="1"/>
  <c r="J538" i="1"/>
  <c r="J546" i="1"/>
  <c r="J554" i="1"/>
  <c r="J562" i="1"/>
  <c r="J570" i="1"/>
  <c r="J578" i="1"/>
  <c r="J586" i="1"/>
  <c r="J594" i="1"/>
  <c r="J602" i="1"/>
  <c r="J610" i="1"/>
  <c r="J618" i="1"/>
  <c r="J626" i="1"/>
  <c r="J634" i="1"/>
  <c r="J642" i="1"/>
  <c r="J650" i="1"/>
  <c r="J658" i="1"/>
  <c r="J666" i="1"/>
  <c r="J674" i="1"/>
  <c r="J682" i="1"/>
  <c r="J690" i="1"/>
  <c r="J539" i="1"/>
  <c r="J547" i="1"/>
  <c r="J563" i="1"/>
  <c r="J579" i="1"/>
  <c r="J595" i="1"/>
  <c r="J611" i="1"/>
  <c r="J627" i="1"/>
  <c r="J643" i="1"/>
  <c r="J659" i="1"/>
  <c r="J675" i="1"/>
  <c r="J691" i="1"/>
  <c r="J540" i="1"/>
  <c r="J556" i="1"/>
  <c r="J572" i="1"/>
  <c r="J588" i="1"/>
  <c r="J604" i="1"/>
  <c r="J620" i="1"/>
  <c r="J636" i="1"/>
  <c r="J652" i="1"/>
  <c r="J668" i="1"/>
  <c r="J684" i="1"/>
  <c r="J533" i="1"/>
  <c r="J549" i="1"/>
  <c r="J565" i="1"/>
  <c r="J581" i="1"/>
  <c r="J597" i="1"/>
  <c r="J613" i="1"/>
  <c r="J629" i="1"/>
  <c r="J645" i="1"/>
  <c r="J661" i="1"/>
  <c r="J677" i="1"/>
  <c r="J517" i="1"/>
  <c r="N678" i="1" s="1"/>
  <c r="J518" i="1"/>
  <c r="J534" i="1"/>
  <c r="J550" i="1"/>
  <c r="J566" i="1"/>
  <c r="J582" i="1"/>
  <c r="J598" i="1"/>
  <c r="J614" i="1"/>
  <c r="J630" i="1"/>
  <c r="J646" i="1"/>
  <c r="J662" i="1"/>
  <c r="J678" i="1"/>
  <c r="J527" i="1"/>
  <c r="J543" i="1"/>
  <c r="J559" i="1"/>
  <c r="J575" i="1"/>
  <c r="J591" i="1"/>
  <c r="J607" i="1"/>
  <c r="J623" i="1"/>
  <c r="J639" i="1"/>
  <c r="J655" i="1"/>
  <c r="J671" i="1"/>
  <c r="J687" i="1"/>
  <c r="J536" i="1"/>
  <c r="J552" i="1"/>
  <c r="J568" i="1"/>
  <c r="J584" i="1"/>
  <c r="J600" i="1"/>
  <c r="J616" i="1"/>
  <c r="J632" i="1"/>
  <c r="J648" i="1"/>
  <c r="J664" i="1"/>
  <c r="J523" i="1"/>
  <c r="J524" i="1"/>
  <c r="D693" i="1"/>
  <c r="E517" i="1"/>
  <c r="R488"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I345" i="1"/>
  <c r="AI346" i="1"/>
  <c r="AI347" i="1"/>
  <c r="AI348" i="1"/>
  <c r="AI349" i="1"/>
  <c r="AI350" i="1"/>
  <c r="AI351" i="1"/>
  <c r="AI352" i="1"/>
  <c r="AI353" i="1"/>
  <c r="AI354" i="1"/>
  <c r="AI355" i="1"/>
  <c r="AI356" i="1"/>
  <c r="AI357" i="1"/>
  <c r="AI358" i="1"/>
  <c r="AI359" i="1"/>
  <c r="AI360" i="1"/>
  <c r="AI361" i="1"/>
  <c r="AI362" i="1"/>
  <c r="AI363" i="1"/>
  <c r="AI364" i="1"/>
  <c r="AI365" i="1"/>
  <c r="AI366" i="1"/>
  <c r="AI367" i="1"/>
  <c r="AI368" i="1"/>
  <c r="AI369" i="1"/>
  <c r="AI370" i="1"/>
  <c r="AI371" i="1"/>
  <c r="AI372" i="1"/>
  <c r="AI373" i="1"/>
  <c r="AI374" i="1"/>
  <c r="AI375" i="1"/>
  <c r="AI376" i="1"/>
  <c r="AI377" i="1"/>
  <c r="AI378" i="1"/>
  <c r="AI379" i="1"/>
  <c r="AI380" i="1"/>
  <c r="AI381" i="1"/>
  <c r="AI382" i="1"/>
  <c r="AI383" i="1"/>
  <c r="AI384" i="1"/>
  <c r="AI385" i="1"/>
  <c r="AI386" i="1"/>
  <c r="AI387" i="1"/>
  <c r="AI388" i="1"/>
  <c r="AI389" i="1"/>
  <c r="AI390" i="1"/>
  <c r="AI391" i="1"/>
  <c r="AI392" i="1"/>
  <c r="AI393" i="1"/>
  <c r="AI394" i="1"/>
  <c r="AI395" i="1"/>
  <c r="AI396" i="1"/>
  <c r="AI397" i="1"/>
  <c r="AI398" i="1"/>
  <c r="AI399" i="1"/>
  <c r="AI400" i="1"/>
  <c r="AI401" i="1"/>
  <c r="AI402" i="1"/>
  <c r="AI403" i="1"/>
  <c r="AI404" i="1"/>
  <c r="AI405" i="1"/>
  <c r="AI406" i="1"/>
  <c r="AI407" i="1"/>
  <c r="AI408" i="1"/>
  <c r="AI409" i="1"/>
  <c r="AI410" i="1"/>
  <c r="AI411" i="1"/>
  <c r="AI412" i="1"/>
  <c r="AI413" i="1"/>
  <c r="AI414" i="1"/>
  <c r="AI415" i="1"/>
  <c r="AI416" i="1"/>
  <c r="AI417" i="1"/>
  <c r="AI418" i="1"/>
  <c r="AI419" i="1"/>
  <c r="AI420" i="1"/>
  <c r="AI421" i="1"/>
  <c r="AI422" i="1"/>
  <c r="AI423" i="1"/>
  <c r="AI424" i="1"/>
  <c r="AI425" i="1"/>
  <c r="AI426" i="1"/>
  <c r="AI427" i="1"/>
  <c r="AI428" i="1"/>
  <c r="AI429" i="1"/>
  <c r="AI430" i="1"/>
  <c r="AI431" i="1"/>
  <c r="AI432" i="1"/>
  <c r="AI433" i="1"/>
  <c r="AI434" i="1"/>
  <c r="AI435" i="1"/>
  <c r="AI436" i="1"/>
  <c r="AI437" i="1"/>
  <c r="AI438" i="1"/>
  <c r="AI439" i="1"/>
  <c r="AI440" i="1"/>
  <c r="AI441" i="1"/>
  <c r="AI442" i="1"/>
  <c r="AI443" i="1"/>
  <c r="AI444" i="1"/>
  <c r="AI445" i="1"/>
  <c r="AI446" i="1"/>
  <c r="AI447" i="1"/>
  <c r="AI448" i="1"/>
  <c r="AI449" i="1"/>
  <c r="AI450" i="1"/>
  <c r="AI451" i="1"/>
  <c r="AI452" i="1"/>
  <c r="AI453" i="1"/>
  <c r="AI454" i="1"/>
  <c r="AI455" i="1"/>
  <c r="AI456" i="1"/>
  <c r="AI457" i="1"/>
  <c r="AI458" i="1"/>
  <c r="AI459" i="1"/>
  <c r="AI460" i="1"/>
  <c r="AI461" i="1"/>
  <c r="AI462" i="1"/>
  <c r="AI463" i="1"/>
  <c r="AI464" i="1"/>
  <c r="AI465" i="1"/>
  <c r="AI466" i="1"/>
  <c r="AI467" i="1"/>
  <c r="AI468" i="1"/>
  <c r="AI469" i="1"/>
  <c r="AI470" i="1"/>
  <c r="AI471" i="1"/>
  <c r="AI472" i="1"/>
  <c r="AI473" i="1"/>
  <c r="AI474" i="1"/>
  <c r="AI475" i="1"/>
  <c r="AI476" i="1"/>
  <c r="AI477" i="1"/>
  <c r="AI478" i="1"/>
  <c r="AI479" i="1"/>
  <c r="AI480" i="1"/>
  <c r="AI481" i="1"/>
  <c r="AI482" i="1"/>
  <c r="AI483" i="1"/>
  <c r="AI484" i="1"/>
  <c r="AI485" i="1"/>
  <c r="AI486" i="1"/>
  <c r="AI487" i="1"/>
  <c r="AI488" i="1"/>
  <c r="AI292" i="1"/>
  <c r="N570" i="1" l="1"/>
  <c r="N574" i="1"/>
  <c r="N518" i="1"/>
  <c r="N562" i="1"/>
  <c r="N526" i="1"/>
  <c r="N578" i="1"/>
  <c r="N582" i="1"/>
  <c r="N626" i="1"/>
  <c r="N590" i="1"/>
  <c r="N634" i="1"/>
  <c r="N638" i="1"/>
  <c r="N642" i="1"/>
  <c r="N646" i="1"/>
  <c r="N690" i="1"/>
  <c r="N654" i="1"/>
  <c r="N522" i="1"/>
  <c r="N586" i="1"/>
  <c r="N650" i="1"/>
  <c r="N534" i="1"/>
  <c r="N598" i="1"/>
  <c r="N662" i="1"/>
  <c r="N530" i="1"/>
  <c r="N594" i="1"/>
  <c r="N658" i="1"/>
  <c r="N542" i="1"/>
  <c r="N606" i="1"/>
  <c r="N670" i="1"/>
  <c r="N538" i="1"/>
  <c r="N602" i="1"/>
  <c r="N666" i="1"/>
  <c r="N550" i="1"/>
  <c r="N614" i="1"/>
  <c r="N528" i="1"/>
  <c r="N536" i="1"/>
  <c r="N544" i="1"/>
  <c r="N552" i="1"/>
  <c r="N560" i="1"/>
  <c r="N568" i="1"/>
  <c r="N576" i="1"/>
  <c r="N584" i="1"/>
  <c r="N592" i="1"/>
  <c r="N600" i="1"/>
  <c r="N608" i="1"/>
  <c r="N616" i="1"/>
  <c r="N624" i="1"/>
  <c r="N632" i="1"/>
  <c r="N640" i="1"/>
  <c r="N648" i="1"/>
  <c r="N656" i="1"/>
  <c r="N664" i="1"/>
  <c r="N672" i="1"/>
  <c r="N680" i="1"/>
  <c r="N688" i="1"/>
  <c r="N521" i="1"/>
  <c r="N529" i="1"/>
  <c r="N537" i="1"/>
  <c r="N545" i="1"/>
  <c r="N553" i="1"/>
  <c r="N561" i="1"/>
  <c r="N569" i="1"/>
  <c r="N577" i="1"/>
  <c r="N585" i="1"/>
  <c r="N593" i="1"/>
  <c r="N601" i="1"/>
  <c r="N609" i="1"/>
  <c r="N617" i="1"/>
  <c r="N625" i="1"/>
  <c r="N633" i="1"/>
  <c r="N641" i="1"/>
  <c r="N649" i="1"/>
  <c r="N657" i="1"/>
  <c r="N665" i="1"/>
  <c r="N673" i="1"/>
  <c r="N681" i="1"/>
  <c r="N689" i="1"/>
  <c r="N523" i="1"/>
  <c r="N547" i="1"/>
  <c r="N563" i="1"/>
  <c r="N587" i="1"/>
  <c r="N603" i="1"/>
  <c r="N619" i="1"/>
  <c r="N643" i="1"/>
  <c r="N659" i="1"/>
  <c r="N675" i="1"/>
  <c r="N524" i="1"/>
  <c r="N532" i="1"/>
  <c r="N540" i="1"/>
  <c r="N548" i="1"/>
  <c r="N556" i="1"/>
  <c r="N564" i="1"/>
  <c r="N572" i="1"/>
  <c r="N580" i="1"/>
  <c r="N588" i="1"/>
  <c r="N596" i="1"/>
  <c r="N604" i="1"/>
  <c r="N612" i="1"/>
  <c r="N620" i="1"/>
  <c r="N628" i="1"/>
  <c r="N636" i="1"/>
  <c r="N644" i="1"/>
  <c r="N652" i="1"/>
  <c r="N660" i="1"/>
  <c r="N668" i="1"/>
  <c r="N676" i="1"/>
  <c r="N684" i="1"/>
  <c r="N692" i="1"/>
  <c r="N525" i="1"/>
  <c r="N533" i="1"/>
  <c r="N541" i="1"/>
  <c r="N549" i="1"/>
  <c r="N557" i="1"/>
  <c r="N565" i="1"/>
  <c r="N573" i="1"/>
  <c r="N581" i="1"/>
  <c r="N589" i="1"/>
  <c r="N597" i="1"/>
  <c r="N605" i="1"/>
  <c r="N613" i="1"/>
  <c r="N621" i="1"/>
  <c r="N629" i="1"/>
  <c r="N637" i="1"/>
  <c r="N645" i="1"/>
  <c r="N653" i="1"/>
  <c r="N661" i="1"/>
  <c r="N669" i="1"/>
  <c r="N677" i="1"/>
  <c r="N685" i="1"/>
  <c r="N517" i="1"/>
  <c r="N519" i="1"/>
  <c r="N527" i="1"/>
  <c r="N535" i="1"/>
  <c r="N543" i="1"/>
  <c r="N551" i="1"/>
  <c r="N559" i="1"/>
  <c r="N567" i="1"/>
  <c r="N575" i="1"/>
  <c r="N583" i="1"/>
  <c r="N591" i="1"/>
  <c r="N599" i="1"/>
  <c r="N607" i="1"/>
  <c r="N615" i="1"/>
  <c r="N623" i="1"/>
  <c r="N631" i="1"/>
  <c r="N639" i="1"/>
  <c r="N647" i="1"/>
  <c r="N655" i="1"/>
  <c r="N663" i="1"/>
  <c r="N671" i="1"/>
  <c r="N679" i="1"/>
  <c r="N687" i="1"/>
  <c r="N531" i="1"/>
  <c r="N539" i="1"/>
  <c r="N555" i="1"/>
  <c r="N571" i="1"/>
  <c r="N579" i="1"/>
  <c r="N595" i="1"/>
  <c r="N611" i="1"/>
  <c r="N627" i="1"/>
  <c r="N635" i="1"/>
  <c r="N651" i="1"/>
  <c r="N667" i="1"/>
  <c r="N683" i="1"/>
  <c r="N691" i="1"/>
  <c r="N546" i="1"/>
  <c r="N610" i="1"/>
  <c r="N674" i="1"/>
  <c r="N558" i="1"/>
  <c r="N622" i="1"/>
  <c r="N686" i="1"/>
  <c r="N554" i="1"/>
  <c r="N618" i="1"/>
  <c r="N682" i="1"/>
  <c r="N566" i="1"/>
  <c r="N630" i="1"/>
  <c r="N520"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292" i="1"/>
  <c r="N291"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292" i="1"/>
  <c r="D299" i="1" s="1"/>
  <c r="D402" i="1" l="1"/>
  <c r="D474" i="1"/>
  <c r="D466" i="1"/>
  <c r="D346" i="1"/>
  <c r="D338" i="1"/>
  <c r="D410" i="1"/>
  <c r="S488" i="1"/>
  <c r="S468" i="1"/>
  <c r="S404" i="1"/>
  <c r="S316" i="1"/>
  <c r="S483" i="1"/>
  <c r="S475" i="1"/>
  <c r="S467" i="1"/>
  <c r="S459" i="1"/>
  <c r="S451" i="1"/>
  <c r="S443" i="1"/>
  <c r="S435" i="1"/>
  <c r="S427" i="1"/>
  <c r="S419" i="1"/>
  <c r="S411" i="1"/>
  <c r="S403" i="1"/>
  <c r="S395" i="1"/>
  <c r="S387" i="1"/>
  <c r="S379" i="1"/>
  <c r="S371" i="1"/>
  <c r="S363" i="1"/>
  <c r="S355" i="1"/>
  <c r="S347" i="1"/>
  <c r="S339" i="1"/>
  <c r="S331" i="1"/>
  <c r="S323" i="1"/>
  <c r="S315" i="1"/>
  <c r="S307" i="1"/>
  <c r="S299" i="1"/>
  <c r="S484" i="1"/>
  <c r="S436" i="1"/>
  <c r="S388" i="1"/>
  <c r="S332" i="1"/>
  <c r="D458" i="1"/>
  <c r="D394" i="1"/>
  <c r="D330" i="1"/>
  <c r="S482" i="1"/>
  <c r="S474" i="1"/>
  <c r="S466" i="1"/>
  <c r="S458" i="1"/>
  <c r="S450" i="1"/>
  <c r="S442" i="1"/>
  <c r="S434" i="1"/>
  <c r="S426" i="1"/>
  <c r="S418" i="1"/>
  <c r="S410" i="1"/>
  <c r="S402" i="1"/>
  <c r="S394" i="1"/>
  <c r="S386" i="1"/>
  <c r="S378" i="1"/>
  <c r="S370" i="1"/>
  <c r="S362" i="1"/>
  <c r="S354" i="1"/>
  <c r="S346" i="1"/>
  <c r="S338" i="1"/>
  <c r="S330" i="1"/>
  <c r="S322" i="1"/>
  <c r="S314" i="1"/>
  <c r="S306" i="1"/>
  <c r="S298" i="1"/>
  <c r="S452" i="1"/>
  <c r="S412" i="1"/>
  <c r="S372" i="1"/>
  <c r="S348" i="1"/>
  <c r="S300" i="1"/>
  <c r="D450" i="1"/>
  <c r="D386" i="1"/>
  <c r="D322" i="1"/>
  <c r="S481" i="1"/>
  <c r="S473" i="1"/>
  <c r="S465" i="1"/>
  <c r="S457" i="1"/>
  <c r="S449" i="1"/>
  <c r="S441" i="1"/>
  <c r="S433" i="1"/>
  <c r="S425" i="1"/>
  <c r="S417" i="1"/>
  <c r="S409" i="1"/>
  <c r="S401" i="1"/>
  <c r="S393" i="1"/>
  <c r="S385" i="1"/>
  <c r="S377" i="1"/>
  <c r="S369" i="1"/>
  <c r="S361" i="1"/>
  <c r="S353" i="1"/>
  <c r="S345" i="1"/>
  <c r="S337" i="1"/>
  <c r="S329" i="1"/>
  <c r="S321" i="1"/>
  <c r="S313" i="1"/>
  <c r="S305" i="1"/>
  <c r="S297" i="1"/>
  <c r="S460" i="1"/>
  <c r="S420" i="1"/>
  <c r="S380" i="1"/>
  <c r="S356" i="1"/>
  <c r="S340" i="1"/>
  <c r="D442" i="1"/>
  <c r="D378" i="1"/>
  <c r="D314" i="1"/>
  <c r="S292" i="1"/>
  <c r="S480" i="1"/>
  <c r="S472" i="1"/>
  <c r="S464" i="1"/>
  <c r="S456" i="1"/>
  <c r="S448" i="1"/>
  <c r="S440" i="1"/>
  <c r="S432" i="1"/>
  <c r="S424" i="1"/>
  <c r="S416" i="1"/>
  <c r="S408" i="1"/>
  <c r="S400" i="1"/>
  <c r="S392" i="1"/>
  <c r="S384" i="1"/>
  <c r="S376" i="1"/>
  <c r="S368" i="1"/>
  <c r="S360" i="1"/>
  <c r="S352" i="1"/>
  <c r="S344" i="1"/>
  <c r="S336" i="1"/>
  <c r="S328" i="1"/>
  <c r="S320" i="1"/>
  <c r="S312" i="1"/>
  <c r="S304" i="1"/>
  <c r="S296" i="1"/>
  <c r="S476" i="1"/>
  <c r="S428" i="1"/>
  <c r="S308" i="1"/>
  <c r="D434" i="1"/>
  <c r="D370" i="1"/>
  <c r="D306" i="1"/>
  <c r="S487" i="1"/>
  <c r="S479" i="1"/>
  <c r="S471" i="1"/>
  <c r="S463" i="1"/>
  <c r="S455" i="1"/>
  <c r="S447" i="1"/>
  <c r="S439" i="1"/>
  <c r="S431" i="1"/>
  <c r="S423" i="1"/>
  <c r="S415" i="1"/>
  <c r="S407" i="1"/>
  <c r="S399" i="1"/>
  <c r="S391" i="1"/>
  <c r="S383" i="1"/>
  <c r="S375" i="1"/>
  <c r="S367" i="1"/>
  <c r="S359" i="1"/>
  <c r="S351" i="1"/>
  <c r="S343" i="1"/>
  <c r="S335" i="1"/>
  <c r="S327" i="1"/>
  <c r="S319" i="1"/>
  <c r="S311" i="1"/>
  <c r="S303" i="1"/>
  <c r="S295" i="1"/>
  <c r="S444" i="1"/>
  <c r="S396" i="1"/>
  <c r="S324" i="1"/>
  <c r="D426" i="1"/>
  <c r="D362" i="1"/>
  <c r="D298" i="1"/>
  <c r="S486" i="1"/>
  <c r="S478" i="1"/>
  <c r="S470" i="1"/>
  <c r="S462" i="1"/>
  <c r="S454" i="1"/>
  <c r="S446" i="1"/>
  <c r="S438" i="1"/>
  <c r="S430" i="1"/>
  <c r="S422" i="1"/>
  <c r="S414" i="1"/>
  <c r="S406" i="1"/>
  <c r="S398" i="1"/>
  <c r="S390" i="1"/>
  <c r="S382" i="1"/>
  <c r="S374" i="1"/>
  <c r="S366" i="1"/>
  <c r="S358" i="1"/>
  <c r="S350" i="1"/>
  <c r="S342" i="1"/>
  <c r="S334" i="1"/>
  <c r="S326" i="1"/>
  <c r="S318" i="1"/>
  <c r="S310" i="1"/>
  <c r="S302" i="1"/>
  <c r="S294" i="1"/>
  <c r="S364" i="1"/>
  <c r="D482" i="1"/>
  <c r="D418" i="1"/>
  <c r="D354" i="1"/>
  <c r="S485" i="1"/>
  <c r="S477" i="1"/>
  <c r="S469" i="1"/>
  <c r="S461" i="1"/>
  <c r="S453" i="1"/>
  <c r="S445" i="1"/>
  <c r="S437" i="1"/>
  <c r="S429" i="1"/>
  <c r="S421" i="1"/>
  <c r="S413" i="1"/>
  <c r="S405" i="1"/>
  <c r="S397" i="1"/>
  <c r="S389" i="1"/>
  <c r="S381" i="1"/>
  <c r="S373" i="1"/>
  <c r="S365" i="1"/>
  <c r="S357" i="1"/>
  <c r="S349" i="1"/>
  <c r="S341" i="1"/>
  <c r="S333" i="1"/>
  <c r="S325" i="1"/>
  <c r="S317" i="1"/>
  <c r="S309" i="1"/>
  <c r="S301" i="1"/>
  <c r="S293" i="1"/>
  <c r="D292" i="1"/>
  <c r="D481" i="1"/>
  <c r="D473" i="1"/>
  <c r="D465" i="1"/>
  <c r="D457" i="1"/>
  <c r="D449" i="1"/>
  <c r="D441" i="1"/>
  <c r="D433" i="1"/>
  <c r="D425" i="1"/>
  <c r="D417" i="1"/>
  <c r="D409" i="1"/>
  <c r="D401" i="1"/>
  <c r="D393" i="1"/>
  <c r="D385" i="1"/>
  <c r="D377" i="1"/>
  <c r="D369" i="1"/>
  <c r="D361" i="1"/>
  <c r="D353" i="1"/>
  <c r="D345" i="1"/>
  <c r="D337" i="1"/>
  <c r="D329" i="1"/>
  <c r="D321" i="1"/>
  <c r="D313" i="1"/>
  <c r="D305" i="1"/>
  <c r="D297" i="1"/>
  <c r="D488" i="1"/>
  <c r="D480" i="1"/>
  <c r="D472" i="1"/>
  <c r="D464" i="1"/>
  <c r="D456" i="1"/>
  <c r="D448" i="1"/>
  <c r="D440" i="1"/>
  <c r="D432" i="1"/>
  <c r="D424" i="1"/>
  <c r="D416" i="1"/>
  <c r="D408" i="1"/>
  <c r="D400" i="1"/>
  <c r="D392" i="1"/>
  <c r="D384" i="1"/>
  <c r="D376" i="1"/>
  <c r="D368" i="1"/>
  <c r="D360" i="1"/>
  <c r="D352" i="1"/>
  <c r="D344" i="1"/>
  <c r="D336" i="1"/>
  <c r="D328" i="1"/>
  <c r="D320" i="1"/>
  <c r="D312" i="1"/>
  <c r="D304" i="1"/>
  <c r="D296" i="1"/>
  <c r="D487" i="1"/>
  <c r="D479" i="1"/>
  <c r="D471" i="1"/>
  <c r="D463" i="1"/>
  <c r="D455" i="1"/>
  <c r="D447" i="1"/>
  <c r="D439" i="1"/>
  <c r="D431" i="1"/>
  <c r="D423" i="1"/>
  <c r="D415" i="1"/>
  <c r="D407" i="1"/>
  <c r="D399" i="1"/>
  <c r="D391" i="1"/>
  <c r="D383" i="1"/>
  <c r="D375" i="1"/>
  <c r="D367" i="1"/>
  <c r="D359" i="1"/>
  <c r="D351" i="1"/>
  <c r="D343" i="1"/>
  <c r="D335" i="1"/>
  <c r="D327" i="1"/>
  <c r="D319" i="1"/>
  <c r="D311" i="1"/>
  <c r="D303" i="1"/>
  <c r="D295" i="1"/>
  <c r="D486" i="1"/>
  <c r="D478" i="1"/>
  <c r="D470" i="1"/>
  <c r="D462" i="1"/>
  <c r="D454" i="1"/>
  <c r="D446" i="1"/>
  <c r="D438" i="1"/>
  <c r="D430" i="1"/>
  <c r="D422" i="1"/>
  <c r="D414" i="1"/>
  <c r="D406" i="1"/>
  <c r="D398" i="1"/>
  <c r="D390" i="1"/>
  <c r="D382" i="1"/>
  <c r="D374" i="1"/>
  <c r="D366" i="1"/>
  <c r="D358" i="1"/>
  <c r="D350" i="1"/>
  <c r="D342" i="1"/>
  <c r="D334" i="1"/>
  <c r="D326" i="1"/>
  <c r="D318" i="1"/>
  <c r="D310" i="1"/>
  <c r="D302" i="1"/>
  <c r="D294" i="1"/>
  <c r="D485" i="1"/>
  <c r="D477" i="1"/>
  <c r="D469" i="1"/>
  <c r="D461" i="1"/>
  <c r="D453" i="1"/>
  <c r="D445" i="1"/>
  <c r="D437" i="1"/>
  <c r="D429" i="1"/>
  <c r="D421" i="1"/>
  <c r="D413" i="1"/>
  <c r="D405" i="1"/>
  <c r="D397" i="1"/>
  <c r="D389" i="1"/>
  <c r="D381" i="1"/>
  <c r="D373" i="1"/>
  <c r="D365" i="1"/>
  <c r="D357" i="1"/>
  <c r="D349" i="1"/>
  <c r="D341" i="1"/>
  <c r="D333" i="1"/>
  <c r="D325" i="1"/>
  <c r="D317" i="1"/>
  <c r="D309" i="1"/>
  <c r="D301" i="1"/>
  <c r="D293" i="1"/>
  <c r="D484" i="1"/>
  <c r="D476" i="1"/>
  <c r="D468" i="1"/>
  <c r="D460" i="1"/>
  <c r="D452" i="1"/>
  <c r="D444" i="1"/>
  <c r="D436" i="1"/>
  <c r="D428" i="1"/>
  <c r="D420" i="1"/>
  <c r="D412" i="1"/>
  <c r="D404" i="1"/>
  <c r="D396" i="1"/>
  <c r="D388" i="1"/>
  <c r="D380" i="1"/>
  <c r="D372" i="1"/>
  <c r="D364" i="1"/>
  <c r="D356" i="1"/>
  <c r="D348" i="1"/>
  <c r="D340" i="1"/>
  <c r="D332" i="1"/>
  <c r="D324" i="1"/>
  <c r="D316" i="1"/>
  <c r="D308" i="1"/>
  <c r="D300" i="1"/>
  <c r="D483" i="1"/>
  <c r="D475" i="1"/>
  <c r="D467" i="1"/>
  <c r="D459" i="1"/>
  <c r="D451" i="1"/>
  <c r="D443" i="1"/>
  <c r="D435" i="1"/>
  <c r="D427" i="1"/>
  <c r="D419" i="1"/>
  <c r="D411" i="1"/>
  <c r="D403" i="1"/>
  <c r="D395" i="1"/>
  <c r="D387" i="1"/>
  <c r="D379" i="1"/>
  <c r="D371" i="1"/>
  <c r="D363" i="1"/>
  <c r="D355" i="1"/>
  <c r="D347" i="1"/>
  <c r="D339" i="1"/>
  <c r="D331" i="1"/>
  <c r="D323" i="1"/>
  <c r="D315" i="1"/>
  <c r="D307" i="1"/>
  <c r="I268" i="1" l="1"/>
  <c r="I269" i="1"/>
  <c r="I270" i="1"/>
  <c r="I271" i="1"/>
  <c r="I272" i="1"/>
  <c r="I273" i="1"/>
  <c r="I274" i="1"/>
  <c r="I275" i="1"/>
  <c r="I276" i="1"/>
  <c r="I277" i="1"/>
  <c r="I278" i="1"/>
  <c r="I279" i="1"/>
  <c r="I280" i="1"/>
  <c r="I281" i="1"/>
  <c r="I282" i="1"/>
  <c r="I283" i="1"/>
  <c r="I284" i="1"/>
  <c r="I285" i="1"/>
  <c r="I286" i="1"/>
  <c r="I287" i="1"/>
  <c r="I288" i="1"/>
  <c r="I289" i="1"/>
  <c r="I290" i="1"/>
  <c r="I267" i="1"/>
  <c r="I490" i="1"/>
  <c r="I491" i="1"/>
  <c r="I492" i="1"/>
  <c r="I493" i="1"/>
  <c r="I494" i="1"/>
  <c r="I495" i="1"/>
  <c r="I496" i="1"/>
  <c r="I497" i="1"/>
  <c r="I498" i="1"/>
  <c r="I499" i="1"/>
  <c r="I500" i="1"/>
  <c r="I501" i="1"/>
  <c r="I489" i="1"/>
  <c r="I503" i="1"/>
  <c r="I504" i="1"/>
  <c r="I505" i="1"/>
  <c r="I506" i="1"/>
  <c r="I507" i="1"/>
  <c r="I508" i="1"/>
  <c r="I509" i="1"/>
  <c r="I510" i="1"/>
  <c r="I511" i="1"/>
  <c r="I512" i="1"/>
  <c r="I513" i="1"/>
  <c r="I514" i="1"/>
  <c r="I515" i="1"/>
  <c r="I516" i="1"/>
  <c r="I502" i="1"/>
  <c r="AI503" i="1"/>
  <c r="AI504" i="1"/>
  <c r="AI505" i="1"/>
  <c r="AI506" i="1"/>
  <c r="AI507" i="1"/>
  <c r="AI508" i="1"/>
  <c r="AI509" i="1"/>
  <c r="AI510" i="1"/>
  <c r="AI511" i="1"/>
  <c r="AI512" i="1"/>
  <c r="AI513" i="1"/>
  <c r="AI514" i="1"/>
  <c r="AI515" i="1"/>
  <c r="AI516" i="1"/>
  <c r="AI502" i="1"/>
  <c r="AI490" i="1"/>
  <c r="AI491" i="1"/>
  <c r="AI492" i="1"/>
  <c r="AI493" i="1"/>
  <c r="AI494" i="1"/>
  <c r="AI495" i="1"/>
  <c r="AI496" i="1"/>
  <c r="AI497" i="1"/>
  <c r="AI498" i="1"/>
  <c r="AI499" i="1"/>
  <c r="AI500" i="1"/>
  <c r="AI501" i="1"/>
  <c r="AI489" i="1"/>
  <c r="W503" i="1"/>
  <c r="W504" i="1"/>
  <c r="W505" i="1"/>
  <c r="W506" i="1"/>
  <c r="W507" i="1"/>
  <c r="W508" i="1"/>
  <c r="W509" i="1"/>
  <c r="W510" i="1"/>
  <c r="W511" i="1"/>
  <c r="W512" i="1"/>
  <c r="W513" i="1"/>
  <c r="W514" i="1"/>
  <c r="W515" i="1"/>
  <c r="W516" i="1"/>
  <c r="W502" i="1"/>
  <c r="S503" i="1"/>
  <c r="S504" i="1"/>
  <c r="S505" i="1"/>
  <c r="S506" i="1"/>
  <c r="S507" i="1"/>
  <c r="S508" i="1"/>
  <c r="S509" i="1"/>
  <c r="S510" i="1"/>
  <c r="S511" i="1"/>
  <c r="S512" i="1"/>
  <c r="S513" i="1"/>
  <c r="S514" i="1"/>
  <c r="S515" i="1"/>
  <c r="S516" i="1"/>
  <c r="S502" i="1"/>
  <c r="E503" i="1"/>
  <c r="E504" i="1"/>
  <c r="E505" i="1"/>
  <c r="E506" i="1"/>
  <c r="E507" i="1"/>
  <c r="E508" i="1"/>
  <c r="E509" i="1"/>
  <c r="E510" i="1"/>
  <c r="E511" i="1"/>
  <c r="E512" i="1"/>
  <c r="E513" i="1"/>
  <c r="E514" i="1"/>
  <c r="E515" i="1"/>
  <c r="E516" i="1"/>
  <c r="E502"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J267" i="1"/>
  <c r="AI267" i="1"/>
  <c r="AI257" i="1"/>
  <c r="AI258" i="1"/>
  <c r="AI259" i="1"/>
  <c r="AI260" i="1"/>
  <c r="AI261" i="1"/>
  <c r="AI262" i="1"/>
  <c r="AI263" i="1"/>
  <c r="AI264" i="1"/>
  <c r="AI265" i="1"/>
  <c r="AI266" i="1"/>
  <c r="AI256" i="1"/>
  <c r="S257" i="1"/>
  <c r="S258" i="1"/>
  <c r="S259" i="1"/>
  <c r="S260" i="1"/>
  <c r="S261" i="1"/>
  <c r="S262" i="1"/>
  <c r="S263" i="1"/>
  <c r="S264" i="1"/>
  <c r="S265" i="1"/>
  <c r="S266" i="1"/>
  <c r="S256" i="1"/>
  <c r="W268" i="1"/>
  <c r="W269" i="1"/>
  <c r="W270" i="1"/>
  <c r="W271" i="1"/>
  <c r="W272" i="1"/>
  <c r="W273" i="1"/>
  <c r="W274" i="1"/>
  <c r="W275" i="1"/>
  <c r="W276" i="1"/>
  <c r="W277" i="1"/>
  <c r="W278" i="1"/>
  <c r="W279" i="1"/>
  <c r="W280" i="1"/>
  <c r="W281" i="1"/>
  <c r="W282" i="1"/>
  <c r="W283" i="1"/>
  <c r="W284" i="1"/>
  <c r="W285" i="1"/>
  <c r="W286" i="1"/>
  <c r="W287" i="1"/>
  <c r="W288" i="1"/>
  <c r="W289" i="1"/>
  <c r="W290" i="1"/>
  <c r="W267" i="1"/>
  <c r="O267" i="1"/>
  <c r="H266" i="1"/>
  <c r="O201" i="1"/>
  <c r="S268" i="1"/>
  <c r="S269" i="1"/>
  <c r="S270" i="1"/>
  <c r="S271" i="1"/>
  <c r="S272" i="1"/>
  <c r="S273" i="1"/>
  <c r="S274" i="1"/>
  <c r="S275" i="1"/>
  <c r="S276" i="1"/>
  <c r="S277" i="1"/>
  <c r="S278" i="1"/>
  <c r="S279" i="1"/>
  <c r="S280" i="1"/>
  <c r="S281" i="1"/>
  <c r="S282" i="1"/>
  <c r="S283" i="1"/>
  <c r="S284" i="1"/>
  <c r="S285" i="1"/>
  <c r="S286" i="1"/>
  <c r="S287" i="1"/>
  <c r="S288" i="1"/>
  <c r="S289" i="1"/>
  <c r="S290" i="1"/>
  <c r="S267" i="1"/>
  <c r="W500" i="1"/>
  <c r="W501" i="1"/>
  <c r="W490" i="1"/>
  <c r="W491" i="1"/>
  <c r="W492" i="1"/>
  <c r="W493" i="1"/>
  <c r="W494" i="1"/>
  <c r="W495" i="1"/>
  <c r="W496" i="1"/>
  <c r="W497" i="1"/>
  <c r="W498" i="1"/>
  <c r="W499" i="1"/>
  <c r="W489" i="1"/>
  <c r="S490" i="1"/>
  <c r="S491" i="1"/>
  <c r="S492" i="1"/>
  <c r="S493" i="1"/>
  <c r="S494" i="1"/>
  <c r="S495" i="1"/>
  <c r="S496" i="1"/>
  <c r="S497" i="1"/>
  <c r="S498" i="1"/>
  <c r="S499" i="1"/>
  <c r="S500" i="1"/>
  <c r="S501" i="1"/>
  <c r="S489" i="1"/>
  <c r="I257" i="1" l="1"/>
  <c r="I258" i="1"/>
  <c r="I259" i="1"/>
  <c r="I260" i="1"/>
  <c r="I261" i="1"/>
  <c r="I262" i="1"/>
  <c r="I263" i="1"/>
  <c r="I264" i="1"/>
  <c r="I265" i="1"/>
  <c r="I266" i="1"/>
  <c r="I256" i="1"/>
  <c r="W257" i="1"/>
  <c r="W258" i="1"/>
  <c r="W259" i="1"/>
  <c r="W260" i="1"/>
  <c r="W261" i="1"/>
  <c r="W262" i="1"/>
  <c r="W263" i="1"/>
  <c r="W264" i="1"/>
  <c r="W265" i="1"/>
  <c r="W266" i="1"/>
  <c r="W256" i="1"/>
  <c r="D257" i="1"/>
  <c r="D258" i="1"/>
  <c r="D259" i="1"/>
  <c r="D260" i="1"/>
  <c r="D261" i="1"/>
  <c r="D262" i="1"/>
  <c r="D263" i="1"/>
  <c r="D264" i="1"/>
  <c r="D265" i="1"/>
  <c r="D266" i="1"/>
  <c r="D256"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03" i="1"/>
  <c r="W202"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163" i="1"/>
  <c r="R204" i="1"/>
  <c r="R205" i="1"/>
  <c r="R207" i="1"/>
  <c r="R208" i="1"/>
  <c r="R209" i="1"/>
  <c r="R210" i="1"/>
  <c r="R212" i="1"/>
  <c r="R213" i="1"/>
  <c r="R214" i="1"/>
  <c r="R215" i="1"/>
  <c r="R218" i="1"/>
  <c r="R219" i="1"/>
  <c r="R220" i="1"/>
  <c r="R221" i="1"/>
  <c r="R223" i="1"/>
  <c r="R224" i="1"/>
  <c r="R225" i="1"/>
  <c r="R227" i="1"/>
  <c r="R228" i="1"/>
  <c r="R230" i="1"/>
  <c r="R231" i="1"/>
  <c r="R232" i="1"/>
  <c r="R234" i="1"/>
  <c r="R235" i="1"/>
  <c r="R236" i="1"/>
  <c r="R237" i="1"/>
  <c r="R238" i="1"/>
  <c r="R241" i="1"/>
  <c r="R244" i="1"/>
  <c r="R245" i="1"/>
  <c r="R246" i="1"/>
  <c r="R247" i="1"/>
  <c r="R248" i="1"/>
  <c r="R249" i="1"/>
  <c r="R250" i="1"/>
  <c r="R252" i="1"/>
  <c r="R253" i="1"/>
  <c r="R254" i="1"/>
  <c r="R20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163" i="1"/>
  <c r="H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163" i="1"/>
  <c r="I149" i="1"/>
  <c r="I150" i="1"/>
  <c r="I151" i="1"/>
  <c r="I152" i="1"/>
  <c r="I153" i="1"/>
  <c r="I154" i="1"/>
  <c r="I155" i="1"/>
  <c r="I156" i="1"/>
  <c r="I157" i="1"/>
  <c r="I158" i="1"/>
  <c r="I159" i="1"/>
  <c r="I160" i="1"/>
  <c r="I161" i="1"/>
  <c r="I162" i="1"/>
  <c r="I148" i="1"/>
  <c r="D149" i="1"/>
  <c r="D150" i="1"/>
  <c r="D151" i="1"/>
  <c r="D152" i="1"/>
  <c r="D153" i="1"/>
  <c r="D154" i="1"/>
  <c r="D155" i="1"/>
  <c r="D156" i="1"/>
  <c r="D157" i="1"/>
  <c r="D158" i="1"/>
  <c r="D159" i="1"/>
  <c r="D160" i="1"/>
  <c r="D161" i="1"/>
  <c r="D162" i="1"/>
  <c r="AI139" i="1"/>
  <c r="AI140" i="1"/>
  <c r="AI141" i="1"/>
  <c r="AI142" i="1"/>
  <c r="AI143" i="1"/>
  <c r="AI144" i="1"/>
  <c r="AI145" i="1"/>
  <c r="AI146" i="1"/>
  <c r="AI147" i="1"/>
  <c r="AI138" i="1"/>
  <c r="AJ139" i="1"/>
  <c r="AJ140" i="1"/>
  <c r="AJ141" i="1"/>
  <c r="AJ142" i="1"/>
  <c r="AJ143" i="1"/>
  <c r="AJ144" i="1"/>
  <c r="AJ145" i="1"/>
  <c r="AJ146" i="1"/>
  <c r="AJ147" i="1"/>
  <c r="AJ138" i="1"/>
  <c r="I139" i="1"/>
  <c r="I140" i="1"/>
  <c r="I141" i="1"/>
  <c r="I142" i="1"/>
  <c r="I143" i="1"/>
  <c r="I144" i="1"/>
  <c r="I145" i="1"/>
  <c r="I146" i="1"/>
  <c r="I147" i="1"/>
  <c r="I138" i="1"/>
  <c r="S139" i="1"/>
  <c r="S140" i="1"/>
  <c r="S141" i="1"/>
  <c r="S142" i="1"/>
  <c r="S143" i="1"/>
  <c r="S144" i="1"/>
  <c r="S145" i="1"/>
  <c r="S146" i="1"/>
  <c r="S147" i="1"/>
  <c r="S138" i="1"/>
  <c r="AB144" i="1"/>
  <c r="AB140" i="1"/>
  <c r="AB139" i="1"/>
  <c r="AA146" i="1"/>
  <c r="AA145" i="1"/>
  <c r="AA144" i="1"/>
  <c r="AA143" i="1"/>
  <c r="AJ118" i="1"/>
  <c r="AJ119" i="1"/>
  <c r="AJ120" i="1"/>
  <c r="AJ121" i="1"/>
  <c r="AJ122" i="1"/>
  <c r="AJ123" i="1"/>
  <c r="AJ124" i="1"/>
  <c r="AJ125" i="1"/>
  <c r="AJ126" i="1"/>
  <c r="AJ127" i="1"/>
  <c r="AJ128" i="1"/>
  <c r="AJ129" i="1"/>
  <c r="AJ130" i="1"/>
  <c r="AJ131" i="1"/>
  <c r="AJ132" i="1"/>
  <c r="AJ133" i="1"/>
  <c r="AJ134" i="1"/>
  <c r="AJ135" i="1"/>
  <c r="AJ136" i="1"/>
  <c r="AJ137" i="1"/>
  <c r="AI118" i="1"/>
  <c r="AI119" i="1"/>
  <c r="AI120" i="1"/>
  <c r="AI121" i="1"/>
  <c r="AI122" i="1"/>
  <c r="AI123" i="1"/>
  <c r="AI124" i="1"/>
  <c r="AI125" i="1"/>
  <c r="AI126" i="1"/>
  <c r="AI127" i="1"/>
  <c r="AI128" i="1"/>
  <c r="AI129" i="1"/>
  <c r="AI130" i="1"/>
  <c r="AI131" i="1"/>
  <c r="AI132" i="1"/>
  <c r="AI133" i="1"/>
  <c r="AI134" i="1"/>
  <c r="AI135" i="1"/>
  <c r="AI136" i="1"/>
  <c r="AI137" i="1"/>
  <c r="AJ117" i="1"/>
  <c r="AI117" i="1"/>
  <c r="AJ100" i="1"/>
  <c r="AJ101" i="1"/>
  <c r="AJ102" i="1"/>
  <c r="AJ103" i="1"/>
  <c r="AJ104" i="1"/>
  <c r="AJ105" i="1"/>
  <c r="AJ106" i="1"/>
  <c r="AJ107" i="1"/>
  <c r="AJ108" i="1"/>
  <c r="AJ109" i="1"/>
  <c r="AJ110" i="1"/>
  <c r="AJ111" i="1"/>
  <c r="AJ112" i="1"/>
  <c r="AJ113" i="1"/>
  <c r="AJ114" i="1"/>
  <c r="AJ115" i="1"/>
  <c r="AJ116" i="1"/>
  <c r="AJ99" i="1"/>
  <c r="AI100" i="1"/>
  <c r="AI101" i="1"/>
  <c r="AI102" i="1"/>
  <c r="AI103" i="1"/>
  <c r="AI104" i="1"/>
  <c r="AI105" i="1"/>
  <c r="AI106" i="1"/>
  <c r="AI107" i="1"/>
  <c r="AI108" i="1"/>
  <c r="AI109" i="1"/>
  <c r="AI110" i="1"/>
  <c r="AI111" i="1"/>
  <c r="AI112" i="1"/>
  <c r="AI113" i="1"/>
  <c r="AI114" i="1"/>
  <c r="AI115" i="1"/>
  <c r="AI116" i="1"/>
  <c r="AI99" i="1"/>
  <c r="S118" i="1"/>
  <c r="S119" i="1"/>
  <c r="S120" i="1"/>
  <c r="S121" i="1"/>
  <c r="S122" i="1"/>
  <c r="S123" i="1"/>
  <c r="S124" i="1"/>
  <c r="S125" i="1"/>
  <c r="S126" i="1"/>
  <c r="S127" i="1"/>
  <c r="S128" i="1"/>
  <c r="S129" i="1"/>
  <c r="S130" i="1"/>
  <c r="S131" i="1"/>
  <c r="S132" i="1"/>
  <c r="S133" i="1"/>
  <c r="S134" i="1"/>
  <c r="S135" i="1"/>
  <c r="S136" i="1"/>
  <c r="S137" i="1"/>
  <c r="S117" i="1"/>
  <c r="W118" i="1"/>
  <c r="W119" i="1"/>
  <c r="W120" i="1"/>
  <c r="W121" i="1"/>
  <c r="W122" i="1"/>
  <c r="W123" i="1"/>
  <c r="W124" i="1"/>
  <c r="W125" i="1"/>
  <c r="W126" i="1"/>
  <c r="W127" i="1"/>
  <c r="W128" i="1"/>
  <c r="W129" i="1"/>
  <c r="W130" i="1"/>
  <c r="W131" i="1"/>
  <c r="W132" i="1"/>
  <c r="W133" i="1"/>
  <c r="W134" i="1"/>
  <c r="W135" i="1"/>
  <c r="W136" i="1"/>
  <c r="W137" i="1"/>
  <c r="W117" i="1"/>
  <c r="I118" i="1"/>
  <c r="I119" i="1"/>
  <c r="I120" i="1"/>
  <c r="I121" i="1"/>
  <c r="I122" i="1"/>
  <c r="I123" i="1"/>
  <c r="I124" i="1"/>
  <c r="I125" i="1"/>
  <c r="I126" i="1"/>
  <c r="I127" i="1"/>
  <c r="I128" i="1"/>
  <c r="I129" i="1"/>
  <c r="I130" i="1"/>
  <c r="I131" i="1"/>
  <c r="I132" i="1"/>
  <c r="I133" i="1"/>
  <c r="I134" i="1"/>
  <c r="I135" i="1"/>
  <c r="I136" i="1"/>
  <c r="I137" i="1"/>
  <c r="H117" i="1"/>
  <c r="I117" i="1"/>
  <c r="H118" i="1"/>
  <c r="H119" i="1"/>
  <c r="H120" i="1"/>
  <c r="H121" i="1"/>
  <c r="H122" i="1"/>
  <c r="H123" i="1"/>
  <c r="H124" i="1"/>
  <c r="H125" i="1"/>
  <c r="H126" i="1"/>
  <c r="H127" i="1"/>
  <c r="H128" i="1"/>
  <c r="H129" i="1"/>
  <c r="H130" i="1"/>
  <c r="H131" i="1"/>
  <c r="H132" i="1"/>
  <c r="H133" i="1"/>
  <c r="H134" i="1"/>
  <c r="H135" i="1"/>
  <c r="H136" i="1"/>
  <c r="H137" i="1"/>
  <c r="H2" i="1"/>
  <c r="E118" i="1"/>
  <c r="E119" i="1"/>
  <c r="E120" i="1"/>
  <c r="E121" i="1"/>
  <c r="E122" i="1"/>
  <c r="E123" i="1"/>
  <c r="E124" i="1"/>
  <c r="E125" i="1"/>
  <c r="E126" i="1"/>
  <c r="E127" i="1"/>
  <c r="E128" i="1"/>
  <c r="E129" i="1"/>
  <c r="E130" i="1"/>
  <c r="E131" i="1"/>
  <c r="E132" i="1"/>
  <c r="E133" i="1"/>
  <c r="E134" i="1"/>
  <c r="E135" i="1"/>
  <c r="E136" i="1"/>
  <c r="E137" i="1"/>
  <c r="E117" i="1"/>
  <c r="D118" i="1"/>
  <c r="D119" i="1"/>
  <c r="D120" i="1"/>
  <c r="D121" i="1"/>
  <c r="D122" i="1"/>
  <c r="D123" i="1"/>
  <c r="D124" i="1"/>
  <c r="D125" i="1"/>
  <c r="D126" i="1"/>
  <c r="D127" i="1"/>
  <c r="D128" i="1"/>
  <c r="D129" i="1"/>
  <c r="D130" i="1"/>
  <c r="D131" i="1"/>
  <c r="D132" i="1"/>
  <c r="D133" i="1"/>
  <c r="D134" i="1"/>
  <c r="D135" i="1"/>
  <c r="D136" i="1"/>
  <c r="D137" i="1"/>
  <c r="D117" i="1"/>
  <c r="W100" i="1"/>
  <c r="W101" i="1"/>
  <c r="W102" i="1"/>
  <c r="W103" i="1"/>
  <c r="W104" i="1"/>
  <c r="W105" i="1"/>
  <c r="W106" i="1"/>
  <c r="W107" i="1"/>
  <c r="W108" i="1"/>
  <c r="W109" i="1"/>
  <c r="W110" i="1"/>
  <c r="W111" i="1"/>
  <c r="W112" i="1"/>
  <c r="W113" i="1"/>
  <c r="W114" i="1"/>
  <c r="W115" i="1"/>
  <c r="W116" i="1"/>
  <c r="W99" i="1"/>
  <c r="S100" i="1"/>
  <c r="S101" i="1"/>
  <c r="S102" i="1"/>
  <c r="S103" i="1"/>
  <c r="S104" i="1"/>
  <c r="S105" i="1"/>
  <c r="S106" i="1"/>
  <c r="S107" i="1"/>
  <c r="S108" i="1"/>
  <c r="S109" i="1"/>
  <c r="S110" i="1"/>
  <c r="S111" i="1"/>
  <c r="S112" i="1"/>
  <c r="S113" i="1"/>
  <c r="S114" i="1"/>
  <c r="S115" i="1"/>
  <c r="S116" i="1"/>
  <c r="S99"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2" i="1"/>
  <c r="R5" i="1" a="1"/>
  <c r="R5" i="1" s="1"/>
  <c r="R6" i="1" a="1"/>
  <c r="R6" i="1" s="1"/>
  <c r="R7" i="1" a="1"/>
  <c r="R7" i="1" s="1"/>
  <c r="R8" i="1" a="1"/>
  <c r="R8" i="1" s="1"/>
  <c r="R9" i="1" a="1"/>
  <c r="R9" i="1" s="1"/>
  <c r="R10" i="1" a="1"/>
  <c r="R10" i="1" s="1"/>
  <c r="R11" i="1" a="1"/>
  <c r="R11" i="1" s="1"/>
  <c r="R12" i="1" a="1"/>
  <c r="R12" i="1" s="1"/>
  <c r="R13" i="1" a="1"/>
  <c r="R13" i="1" s="1"/>
  <c r="R14" i="1" a="1"/>
  <c r="R14" i="1" s="1"/>
  <c r="R15" i="1" a="1"/>
  <c r="R15" i="1" s="1"/>
  <c r="R16" i="1" a="1"/>
  <c r="R16" i="1" s="1"/>
  <c r="R17" i="1" a="1"/>
  <c r="R17" i="1" s="1"/>
  <c r="R18" i="1" a="1"/>
  <c r="R18" i="1" s="1"/>
  <c r="R19" i="1" a="1"/>
  <c r="R19" i="1" s="1"/>
  <c r="R20" i="1" a="1"/>
  <c r="R20" i="1" s="1"/>
  <c r="R21" i="1" a="1"/>
  <c r="R21" i="1" s="1"/>
  <c r="R22" i="1" a="1"/>
  <c r="R22" i="1" s="1"/>
  <c r="R23" i="1" a="1"/>
  <c r="R23" i="1" s="1"/>
  <c r="R24" i="1" a="1"/>
  <c r="R24" i="1" s="1"/>
  <c r="R25" i="1" a="1"/>
  <c r="R25" i="1" s="1"/>
  <c r="R26" i="1" a="1"/>
  <c r="R26" i="1" s="1"/>
  <c r="R27" i="1" a="1"/>
  <c r="R27" i="1" s="1"/>
  <c r="R28" i="1" a="1"/>
  <c r="R28" i="1" s="1"/>
  <c r="R29" i="1" a="1"/>
  <c r="R29" i="1" s="1"/>
  <c r="R30" i="1" a="1"/>
  <c r="R30" i="1" s="1"/>
  <c r="R31" i="1" a="1"/>
  <c r="R31" i="1" s="1"/>
  <c r="R32" i="1" a="1"/>
  <c r="R32" i="1" s="1"/>
  <c r="R33" i="1" a="1"/>
  <c r="R33" i="1" s="1"/>
  <c r="R34" i="1" a="1"/>
  <c r="R34" i="1" s="1"/>
  <c r="R35" i="1" a="1"/>
  <c r="R35" i="1" s="1"/>
  <c r="R36" i="1" a="1"/>
  <c r="R36" i="1" s="1"/>
  <c r="R37" i="1" a="1"/>
  <c r="R37" i="1" s="1"/>
  <c r="R38" i="1" a="1"/>
  <c r="R38" i="1" s="1"/>
  <c r="R39" i="1" a="1"/>
  <c r="R39" i="1" s="1"/>
  <c r="R40" i="1" a="1"/>
  <c r="R40" i="1" s="1"/>
  <c r="R41" i="1" a="1"/>
  <c r="R41" i="1" s="1"/>
  <c r="R42" i="1" a="1"/>
  <c r="R42" i="1" s="1"/>
  <c r="R43" i="1" a="1"/>
  <c r="R43" i="1" s="1"/>
  <c r="R44" i="1" a="1"/>
  <c r="R44" i="1" s="1"/>
  <c r="R45" i="1" a="1"/>
  <c r="R45" i="1" s="1"/>
  <c r="R46" i="1" a="1"/>
  <c r="R46" i="1" s="1"/>
  <c r="R47" i="1" a="1"/>
  <c r="R47" i="1" s="1"/>
  <c r="R48" i="1" a="1"/>
  <c r="R48" i="1" s="1"/>
  <c r="R49" i="1" a="1"/>
  <c r="R49" i="1" s="1"/>
  <c r="R50" i="1" a="1"/>
  <c r="R50" i="1" s="1"/>
  <c r="R51" i="1" a="1"/>
  <c r="R51" i="1" s="1"/>
  <c r="R52" i="1" a="1"/>
  <c r="R52" i="1" s="1"/>
  <c r="R53" i="1" a="1"/>
  <c r="R53" i="1" s="1"/>
  <c r="R54" i="1" a="1"/>
  <c r="R54" i="1" s="1"/>
  <c r="R55" i="1" a="1"/>
  <c r="R55" i="1" s="1"/>
  <c r="R56" i="1" a="1"/>
  <c r="R56" i="1" s="1"/>
  <c r="R57" i="1" a="1"/>
  <c r="R57" i="1" s="1"/>
  <c r="R58" i="1" a="1"/>
  <c r="R58" i="1" s="1"/>
  <c r="R59" i="1" a="1"/>
  <c r="R59" i="1" s="1"/>
  <c r="R60" i="1" a="1"/>
  <c r="R60" i="1" s="1"/>
  <c r="R61" i="1" a="1"/>
  <c r="R61" i="1" s="1"/>
  <c r="R62" i="1" a="1"/>
  <c r="R62" i="1" s="1"/>
  <c r="R63" i="1" a="1"/>
  <c r="R63" i="1" s="1"/>
  <c r="R64" i="1" a="1"/>
  <c r="R64" i="1" s="1"/>
  <c r="R65" i="1" a="1"/>
  <c r="R65" i="1" s="1"/>
  <c r="R66" i="1" a="1"/>
  <c r="R66" i="1" s="1"/>
  <c r="R67" i="1" a="1"/>
  <c r="R67" i="1" s="1"/>
  <c r="R68" i="1" a="1"/>
  <c r="R68" i="1" s="1"/>
  <c r="R69" i="1" a="1"/>
  <c r="R69" i="1" s="1"/>
  <c r="R70" i="1" a="1"/>
  <c r="R70" i="1" s="1"/>
  <c r="R71" i="1" a="1"/>
  <c r="R71" i="1" s="1"/>
  <c r="R72" i="1" a="1"/>
  <c r="R72" i="1" s="1"/>
  <c r="R73" i="1" a="1"/>
  <c r="R73" i="1" s="1"/>
  <c r="R74" i="1" a="1"/>
  <c r="R74" i="1" s="1"/>
  <c r="R75" i="1" a="1"/>
  <c r="R75" i="1" s="1"/>
  <c r="R76" i="1" a="1"/>
  <c r="R76" i="1" s="1"/>
  <c r="R77" i="1" a="1"/>
  <c r="R77" i="1" s="1"/>
  <c r="R78" i="1" a="1"/>
  <c r="R78" i="1" s="1"/>
  <c r="R79" i="1" a="1"/>
  <c r="R79" i="1" s="1"/>
  <c r="R80" i="1" a="1"/>
  <c r="R80" i="1" s="1"/>
  <c r="R81" i="1" a="1"/>
  <c r="R81" i="1" s="1"/>
  <c r="R82" i="1" a="1"/>
  <c r="R82" i="1" s="1"/>
  <c r="R83" i="1" a="1"/>
  <c r="R83" i="1" s="1"/>
  <c r="R84" i="1" a="1"/>
  <c r="R84" i="1" s="1"/>
  <c r="R85" i="1" a="1"/>
  <c r="R85" i="1" s="1"/>
  <c r="R86" i="1" a="1"/>
  <c r="R86" i="1" s="1"/>
  <c r="R87" i="1" a="1"/>
  <c r="R87" i="1" s="1"/>
  <c r="R88" i="1" a="1"/>
  <c r="R88" i="1" s="1"/>
  <c r="R89" i="1" a="1"/>
  <c r="R89" i="1" s="1"/>
  <c r="R90" i="1" a="1"/>
  <c r="R90" i="1" s="1"/>
  <c r="R91" i="1" a="1"/>
  <c r="R91" i="1" s="1"/>
  <c r="R92" i="1" a="1"/>
  <c r="R92" i="1" s="1"/>
  <c r="R93" i="1" a="1"/>
  <c r="R93" i="1" s="1"/>
  <c r="R94" i="1" a="1"/>
  <c r="R94" i="1" s="1"/>
  <c r="R95" i="1" a="1"/>
  <c r="R95" i="1" s="1"/>
  <c r="R96" i="1" a="1"/>
  <c r="R96" i="1" s="1"/>
  <c r="R97" i="1" a="1"/>
  <c r="R97" i="1" s="1"/>
  <c r="R98" i="1" a="1"/>
  <c r="R98" i="1" s="1"/>
  <c r="R3" i="1" a="1"/>
  <c r="R3" i="1" s="1"/>
  <c r="R4" i="1" a="1"/>
  <c r="R4" i="1" s="1"/>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2" i="1"/>
  <c r="S255" i="1" l="1"/>
  <c r="S214" i="1"/>
  <c r="S205" i="1"/>
  <c r="S252" i="1"/>
  <c r="S244" i="1"/>
  <c r="S236" i="1"/>
  <c r="S228" i="1"/>
  <c r="S220" i="1"/>
  <c r="S212" i="1"/>
  <c r="S204" i="1"/>
  <c r="S251" i="1"/>
  <c r="S243" i="1"/>
  <c r="S235" i="1"/>
  <c r="S227" i="1"/>
  <c r="S219" i="1"/>
  <c r="S211" i="1"/>
  <c r="S250" i="1"/>
  <c r="S242" i="1"/>
  <c r="S234" i="1"/>
  <c r="S226" i="1"/>
  <c r="S218" i="1"/>
  <c r="S210" i="1"/>
  <c r="S249" i="1"/>
  <c r="S241" i="1"/>
  <c r="S233" i="1"/>
  <c r="S225" i="1"/>
  <c r="S217" i="1"/>
  <c r="S209" i="1"/>
  <c r="S203" i="1"/>
  <c r="S248" i="1"/>
  <c r="S240" i="1"/>
  <c r="S232" i="1"/>
  <c r="S224" i="1"/>
  <c r="S216" i="1"/>
  <c r="S208" i="1"/>
  <c r="S247" i="1"/>
  <c r="S239" i="1"/>
  <c r="S231" i="1"/>
  <c r="S223" i="1"/>
  <c r="S215" i="1"/>
  <c r="S207" i="1"/>
  <c r="S254" i="1"/>
  <c r="S246" i="1"/>
  <c r="S238" i="1"/>
  <c r="S230" i="1"/>
  <c r="S222" i="1"/>
  <c r="S206" i="1"/>
  <c r="S253" i="1"/>
  <c r="S245" i="1"/>
  <c r="S237" i="1"/>
  <c r="S229" i="1"/>
  <c r="S221" i="1"/>
  <c r="S213" i="1"/>
  <c r="S12" i="1"/>
  <c r="S3" i="1"/>
  <c r="S10" i="1"/>
  <c r="S98" i="1"/>
  <c r="S82" i="1"/>
  <c r="S34" i="1"/>
  <c r="S97" i="1"/>
  <c r="S89" i="1"/>
  <c r="S81" i="1"/>
  <c r="S73" i="1"/>
  <c r="S65" i="1"/>
  <c r="S57" i="1"/>
  <c r="S49" i="1"/>
  <c r="S41" i="1"/>
  <c r="S33" i="1"/>
  <c r="S25" i="1"/>
  <c r="S17" i="1"/>
  <c r="S9" i="1"/>
  <c r="S90" i="1"/>
  <c r="S74" i="1"/>
  <c r="S66" i="1"/>
  <c r="S58" i="1"/>
  <c r="S26" i="1"/>
  <c r="S96" i="1"/>
  <c r="S88" i="1"/>
  <c r="S80" i="1"/>
  <c r="S72" i="1"/>
  <c r="S64" i="1"/>
  <c r="S56" i="1"/>
  <c r="S48" i="1"/>
  <c r="S40" i="1"/>
  <c r="S32" i="1"/>
  <c r="S24" i="1"/>
  <c r="S16" i="1"/>
  <c r="S8" i="1"/>
  <c r="S18" i="1"/>
  <c r="S95" i="1"/>
  <c r="S87" i="1"/>
  <c r="S79" i="1"/>
  <c r="S71" i="1"/>
  <c r="S63" i="1"/>
  <c r="S55" i="1"/>
  <c r="S47" i="1"/>
  <c r="S39" i="1"/>
  <c r="S31" i="1"/>
  <c r="S23" i="1"/>
  <c r="S15" i="1"/>
  <c r="S7" i="1"/>
  <c r="S50" i="1"/>
  <c r="S94" i="1"/>
  <c r="S86" i="1"/>
  <c r="S78" i="1"/>
  <c r="S70" i="1"/>
  <c r="S62" i="1"/>
  <c r="S54" i="1"/>
  <c r="S46" i="1"/>
  <c r="S38" i="1"/>
  <c r="S30" i="1"/>
  <c r="S22" i="1"/>
  <c r="S14" i="1"/>
  <c r="S6" i="1"/>
  <c r="S42" i="1"/>
  <c r="S93" i="1"/>
  <c r="S85" i="1"/>
  <c r="S77" i="1"/>
  <c r="S69" i="1"/>
  <c r="S61" i="1"/>
  <c r="S53" i="1"/>
  <c r="S45" i="1"/>
  <c r="S37" i="1"/>
  <c r="S29" i="1"/>
  <c r="S21" i="1"/>
  <c r="S13" i="1"/>
  <c r="S5" i="1"/>
  <c r="S4" i="1"/>
  <c r="S92" i="1"/>
  <c r="S84" i="1"/>
  <c r="S76" i="1"/>
  <c r="S68" i="1"/>
  <c r="S60" i="1"/>
  <c r="S52" i="1"/>
  <c r="S44" i="1"/>
  <c r="S36" i="1"/>
  <c r="S28" i="1"/>
  <c r="S20" i="1"/>
  <c r="S2" i="1"/>
  <c r="S91" i="1"/>
  <c r="S83" i="1"/>
  <c r="S75" i="1"/>
  <c r="S67" i="1"/>
  <c r="S59" i="1"/>
  <c r="S51" i="1"/>
  <c r="S43" i="1"/>
  <c r="S35" i="1"/>
  <c r="S27" i="1"/>
  <c r="S19" i="1"/>
  <c r="S11" i="1"/>
  <c r="N2" i="1"/>
  <c r="N4" i="1"/>
  <c r="O516" i="1"/>
  <c r="H516" i="1"/>
  <c r="J502" i="1"/>
  <c r="H503" i="1"/>
  <c r="H504" i="1"/>
  <c r="H506" i="1"/>
  <c r="H507" i="1"/>
  <c r="H508" i="1"/>
  <c r="H509" i="1"/>
  <c r="H510" i="1"/>
  <c r="H511" i="1"/>
  <c r="H512" i="1"/>
  <c r="H513" i="1"/>
  <c r="H514" i="1"/>
  <c r="H515" i="1"/>
  <c r="H502" i="1"/>
  <c r="J503" i="1"/>
  <c r="J504" i="1"/>
  <c r="J505" i="1"/>
  <c r="J506" i="1"/>
  <c r="J507" i="1"/>
  <c r="J508" i="1"/>
  <c r="J509" i="1"/>
  <c r="J510" i="1"/>
  <c r="J511" i="1"/>
  <c r="J512" i="1"/>
  <c r="J513" i="1"/>
  <c r="J514" i="1"/>
  <c r="J515" i="1"/>
  <c r="O503" i="1"/>
  <c r="O504" i="1"/>
  <c r="O505" i="1"/>
  <c r="O506" i="1"/>
  <c r="O507" i="1"/>
  <c r="O508" i="1"/>
  <c r="O509" i="1"/>
  <c r="O510" i="1"/>
  <c r="O511" i="1"/>
  <c r="O512" i="1"/>
  <c r="O513" i="1"/>
  <c r="O514" i="1"/>
  <c r="O515" i="1"/>
  <c r="O502" i="1"/>
  <c r="H490" i="1"/>
  <c r="H491" i="1"/>
  <c r="H492" i="1"/>
  <c r="H493" i="1"/>
  <c r="H494" i="1"/>
  <c r="H495" i="1"/>
  <c r="H496" i="1"/>
  <c r="H497" i="1"/>
  <c r="H498" i="1"/>
  <c r="H499" i="1"/>
  <c r="H500" i="1"/>
  <c r="H501" i="1"/>
  <c r="H489" i="1"/>
  <c r="O490" i="1"/>
  <c r="O491" i="1"/>
  <c r="O492" i="1"/>
  <c r="O493" i="1"/>
  <c r="O494" i="1"/>
  <c r="O495" i="1"/>
  <c r="O496" i="1"/>
  <c r="O497" i="1"/>
  <c r="O498" i="1"/>
  <c r="O499" i="1"/>
  <c r="O500" i="1"/>
  <c r="O501" i="1"/>
  <c r="O489" i="1"/>
  <c r="AF489" i="1"/>
  <c r="AF490" i="1"/>
  <c r="AF491" i="1"/>
  <c r="AF492" i="1"/>
  <c r="AF493" i="1"/>
  <c r="AF494" i="1"/>
  <c r="AF495" i="1"/>
  <c r="AF496" i="1"/>
  <c r="AF497" i="1"/>
  <c r="AF498" i="1"/>
  <c r="AF499" i="1"/>
  <c r="AF500" i="1"/>
  <c r="AF501" i="1"/>
  <c r="AF502" i="1"/>
  <c r="AF503" i="1"/>
  <c r="AF504" i="1"/>
  <c r="AF505" i="1"/>
  <c r="AF506" i="1"/>
  <c r="AF507" i="1"/>
  <c r="AF508" i="1"/>
  <c r="AF509" i="1"/>
  <c r="AF510" i="1"/>
  <c r="AF511" i="1"/>
  <c r="AF512" i="1"/>
  <c r="AF513" i="1"/>
  <c r="AF514" i="1"/>
  <c r="AF515" i="1"/>
  <c r="AF516" i="1"/>
  <c r="AF517" i="1"/>
  <c r="AF693" i="1"/>
  <c r="AF737" i="1"/>
  <c r="AF843" i="1"/>
  <c r="AF926" i="1"/>
  <c r="AF951" i="1"/>
  <c r="O290" i="1"/>
  <c r="H268" i="1"/>
  <c r="H269" i="1"/>
  <c r="H270" i="1"/>
  <c r="H271" i="1"/>
  <c r="H272" i="1"/>
  <c r="H273" i="1"/>
  <c r="H274" i="1"/>
  <c r="H275" i="1"/>
  <c r="H276" i="1"/>
  <c r="H277" i="1"/>
  <c r="H278" i="1"/>
  <c r="H279" i="1"/>
  <c r="H280" i="1"/>
  <c r="H281" i="1"/>
  <c r="H282" i="1"/>
  <c r="H283" i="1"/>
  <c r="H284" i="1"/>
  <c r="H285" i="1"/>
  <c r="H286" i="1"/>
  <c r="H287" i="1"/>
  <c r="H288" i="1"/>
  <c r="H289" i="1"/>
  <c r="H290" i="1"/>
  <c r="H267" i="1"/>
  <c r="J268" i="1"/>
  <c r="J269" i="1"/>
  <c r="J270" i="1"/>
  <c r="J271" i="1"/>
  <c r="J272" i="1"/>
  <c r="J273" i="1"/>
  <c r="J274" i="1"/>
  <c r="J275" i="1"/>
  <c r="J276" i="1"/>
  <c r="J277" i="1"/>
  <c r="J278" i="1"/>
  <c r="J279" i="1"/>
  <c r="J280" i="1"/>
  <c r="J281" i="1"/>
  <c r="J282" i="1"/>
  <c r="J283" i="1"/>
  <c r="J284" i="1"/>
  <c r="J285" i="1"/>
  <c r="J286" i="1"/>
  <c r="J287" i="1"/>
  <c r="J288" i="1"/>
  <c r="J289" i="1"/>
  <c r="J290" i="1"/>
  <c r="J267" i="1"/>
  <c r="O268" i="1"/>
  <c r="O269" i="1"/>
  <c r="O270" i="1"/>
  <c r="O271" i="1"/>
  <c r="O272" i="1"/>
  <c r="O273" i="1"/>
  <c r="O274" i="1"/>
  <c r="O275" i="1"/>
  <c r="O276" i="1"/>
  <c r="O277" i="1"/>
  <c r="O278" i="1"/>
  <c r="O279" i="1"/>
  <c r="O280" i="1"/>
  <c r="O281" i="1"/>
  <c r="O282" i="1"/>
  <c r="O283" i="1"/>
  <c r="O284" i="1"/>
  <c r="O285" i="1"/>
  <c r="O286" i="1"/>
  <c r="O287" i="1"/>
  <c r="O288" i="1"/>
  <c r="O289" i="1"/>
  <c r="O266" i="1"/>
  <c r="N512" i="1" l="1"/>
  <c r="N284" i="1"/>
  <c r="N288" i="1"/>
  <c r="N279" i="1"/>
  <c r="N278" i="1"/>
  <c r="N290" i="1"/>
  <c r="J495" i="1"/>
  <c r="N276" i="1"/>
  <c r="J492" i="1"/>
  <c r="N268" i="1"/>
  <c r="J501" i="1"/>
  <c r="N272" i="1"/>
  <c r="N287" i="1"/>
  <c r="N286" i="1"/>
  <c r="N280" i="1"/>
  <c r="J496" i="1"/>
  <c r="J494" i="1"/>
  <c r="N514" i="1"/>
  <c r="J489" i="1"/>
  <c r="N499" i="1" s="1"/>
  <c r="J493" i="1"/>
  <c r="J497" i="1"/>
  <c r="J500" i="1"/>
  <c r="J499" i="1"/>
  <c r="J491" i="1"/>
  <c r="N513" i="1"/>
  <c r="N516" i="1"/>
  <c r="J498" i="1"/>
  <c r="J490" i="1"/>
  <c r="N510" i="1"/>
  <c r="N509" i="1"/>
  <c r="N511" i="1"/>
  <c r="N502" i="1"/>
  <c r="N506" i="1"/>
  <c r="N515" i="1"/>
  <c r="N503" i="1"/>
  <c r="N508" i="1"/>
  <c r="N507" i="1"/>
  <c r="N505" i="1"/>
  <c r="N504" i="1"/>
  <c r="N269" i="1"/>
  <c r="N285" i="1"/>
  <c r="N277" i="1"/>
  <c r="N267" i="1"/>
  <c r="N283" i="1"/>
  <c r="N275" i="1"/>
  <c r="N282" i="1"/>
  <c r="N274" i="1"/>
  <c r="N289" i="1"/>
  <c r="N281" i="1"/>
  <c r="N273" i="1"/>
  <c r="N271" i="1"/>
  <c r="N270" i="1"/>
  <c r="H257" i="1"/>
  <c r="H258" i="1"/>
  <c r="H259" i="1"/>
  <c r="H260" i="1"/>
  <c r="H261" i="1"/>
  <c r="H262" i="1"/>
  <c r="H263" i="1"/>
  <c r="H264" i="1"/>
  <c r="H265" i="1"/>
  <c r="J257" i="1"/>
  <c r="J258" i="1"/>
  <c r="J259" i="1"/>
  <c r="J260" i="1"/>
  <c r="J261" i="1"/>
  <c r="J262" i="1"/>
  <c r="J263" i="1"/>
  <c r="J264" i="1"/>
  <c r="J265" i="1"/>
  <c r="J266" i="1"/>
  <c r="O257" i="1"/>
  <c r="O258" i="1"/>
  <c r="O259" i="1"/>
  <c r="O260" i="1"/>
  <c r="O261" i="1"/>
  <c r="O262" i="1"/>
  <c r="O263" i="1"/>
  <c r="O264" i="1"/>
  <c r="O265" i="1"/>
  <c r="O256" i="1"/>
  <c r="J256"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03" i="1"/>
  <c r="N208" i="1" s="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2" i="1"/>
  <c r="O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163" i="1"/>
  <c r="N3"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H149" i="1"/>
  <c r="H150" i="1"/>
  <c r="H151" i="1"/>
  <c r="H152" i="1"/>
  <c r="H153" i="1"/>
  <c r="H154" i="1"/>
  <c r="H155" i="1"/>
  <c r="H156" i="1"/>
  <c r="H157" i="1"/>
  <c r="H158" i="1"/>
  <c r="H159" i="1"/>
  <c r="H160" i="1"/>
  <c r="H161" i="1"/>
  <c r="H162" i="1"/>
  <c r="H148" i="1"/>
  <c r="J149" i="1"/>
  <c r="J150" i="1"/>
  <c r="J151" i="1"/>
  <c r="J152" i="1"/>
  <c r="J153" i="1"/>
  <c r="J154" i="1"/>
  <c r="J155" i="1"/>
  <c r="J156" i="1"/>
  <c r="J157" i="1"/>
  <c r="J158" i="1"/>
  <c r="J159" i="1"/>
  <c r="J160" i="1"/>
  <c r="J161" i="1"/>
  <c r="J162" i="1"/>
  <c r="J148" i="1"/>
  <c r="H139" i="1"/>
  <c r="H140" i="1"/>
  <c r="H141" i="1"/>
  <c r="H142" i="1"/>
  <c r="H143" i="1"/>
  <c r="H144" i="1"/>
  <c r="H145" i="1"/>
  <c r="H146" i="1"/>
  <c r="H147" i="1"/>
  <c r="H138" i="1"/>
  <c r="J139" i="1"/>
  <c r="J140" i="1"/>
  <c r="J141" i="1"/>
  <c r="J142" i="1"/>
  <c r="J143" i="1"/>
  <c r="J144" i="1"/>
  <c r="J145" i="1"/>
  <c r="J146" i="1"/>
  <c r="J147" i="1"/>
  <c r="J138" i="1"/>
  <c r="J118" i="1"/>
  <c r="J119" i="1"/>
  <c r="J120" i="1"/>
  <c r="J121" i="1"/>
  <c r="J122" i="1"/>
  <c r="J123" i="1"/>
  <c r="J124" i="1"/>
  <c r="J125" i="1"/>
  <c r="J126" i="1"/>
  <c r="J127" i="1"/>
  <c r="J128" i="1"/>
  <c r="J129" i="1"/>
  <c r="J130" i="1"/>
  <c r="J131" i="1"/>
  <c r="J132" i="1"/>
  <c r="J133" i="1"/>
  <c r="J134" i="1"/>
  <c r="J135" i="1"/>
  <c r="J136" i="1"/>
  <c r="J137" i="1"/>
  <c r="J117" i="1"/>
  <c r="H99" i="1"/>
  <c r="H100" i="1"/>
  <c r="H101" i="1"/>
  <c r="H102" i="1"/>
  <c r="H103" i="1"/>
  <c r="H104" i="1"/>
  <c r="H105" i="1"/>
  <c r="H106" i="1"/>
  <c r="H107" i="1"/>
  <c r="H108" i="1"/>
  <c r="H109" i="1"/>
  <c r="H110" i="1"/>
  <c r="H111" i="1"/>
  <c r="H112" i="1"/>
  <c r="H113" i="1"/>
  <c r="H114" i="1"/>
  <c r="H115" i="1"/>
  <c r="H116"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J99" i="1"/>
  <c r="N106" i="1" s="1"/>
  <c r="J100" i="1"/>
  <c r="J101" i="1"/>
  <c r="J102" i="1"/>
  <c r="J103" i="1"/>
  <c r="J104" i="1"/>
  <c r="J105" i="1"/>
  <c r="J106" i="1"/>
  <c r="J107" i="1"/>
  <c r="J108" i="1"/>
  <c r="J109" i="1"/>
  <c r="J110" i="1"/>
  <c r="J111" i="1"/>
  <c r="J112" i="1"/>
  <c r="J113" i="1"/>
  <c r="J114" i="1"/>
  <c r="J115" i="1"/>
  <c r="J116" i="1"/>
  <c r="N197" i="1" l="1"/>
  <c r="N164" i="1"/>
  <c r="N135" i="1"/>
  <c r="N498" i="1"/>
  <c r="N496" i="1"/>
  <c r="N262" i="1"/>
  <c r="N490" i="1"/>
  <c r="N497" i="1"/>
  <c r="N491" i="1"/>
  <c r="N500" i="1"/>
  <c r="N492" i="1"/>
  <c r="N501" i="1"/>
  <c r="N493" i="1"/>
  <c r="N494" i="1"/>
  <c r="N489" i="1"/>
  <c r="N495" i="1"/>
  <c r="N227" i="1"/>
  <c r="N155" i="1"/>
  <c r="N255" i="1"/>
  <c r="N223" i="1"/>
  <c r="N127" i="1"/>
  <c r="N251" i="1"/>
  <c r="N219" i="1"/>
  <c r="N247" i="1"/>
  <c r="N215" i="1"/>
  <c r="N243" i="1"/>
  <c r="N211" i="1"/>
  <c r="N140" i="1"/>
  <c r="N239" i="1"/>
  <c r="N207" i="1"/>
  <c r="N235" i="1"/>
  <c r="N231" i="1"/>
  <c r="N261" i="1"/>
  <c r="N105" i="1"/>
  <c r="N256" i="1"/>
  <c r="N254" i="1"/>
  <c r="N246" i="1"/>
  <c r="N238" i="1"/>
  <c r="N230" i="1"/>
  <c r="N222" i="1"/>
  <c r="N214" i="1"/>
  <c r="N206" i="1"/>
  <c r="N260" i="1"/>
  <c r="N119" i="1"/>
  <c r="N102" i="1"/>
  <c r="N253" i="1"/>
  <c r="N245" i="1"/>
  <c r="N237" i="1"/>
  <c r="N229" i="1"/>
  <c r="N221" i="1"/>
  <c r="N213" i="1"/>
  <c r="N205" i="1"/>
  <c r="N259" i="1"/>
  <c r="N103" i="1"/>
  <c r="N252" i="1"/>
  <c r="N244" i="1"/>
  <c r="N236" i="1"/>
  <c r="N228" i="1"/>
  <c r="N220" i="1"/>
  <c r="N212" i="1"/>
  <c r="N204" i="1"/>
  <c r="N266" i="1"/>
  <c r="N258" i="1"/>
  <c r="N265" i="1"/>
  <c r="N257" i="1"/>
  <c r="N131" i="1"/>
  <c r="N113" i="1"/>
  <c r="N250" i="1"/>
  <c r="N242" i="1"/>
  <c r="N234" i="1"/>
  <c r="N226" i="1"/>
  <c r="N218" i="1"/>
  <c r="N210" i="1"/>
  <c r="N264" i="1"/>
  <c r="N249" i="1"/>
  <c r="N241" i="1"/>
  <c r="N233" i="1"/>
  <c r="N225" i="1"/>
  <c r="N217" i="1"/>
  <c r="N209" i="1"/>
  <c r="N263" i="1"/>
  <c r="N111" i="1"/>
  <c r="N110" i="1"/>
  <c r="N203" i="1"/>
  <c r="N248" i="1"/>
  <c r="N240" i="1"/>
  <c r="N232" i="1"/>
  <c r="N224" i="1"/>
  <c r="N216" i="1"/>
  <c r="N195" i="1"/>
  <c r="N171" i="1"/>
  <c r="N202" i="1"/>
  <c r="N194" i="1"/>
  <c r="N186" i="1"/>
  <c r="N178" i="1"/>
  <c r="N170" i="1"/>
  <c r="N163" i="1"/>
  <c r="N187" i="1"/>
  <c r="N179" i="1"/>
  <c r="N201" i="1"/>
  <c r="N193" i="1"/>
  <c r="N185" i="1"/>
  <c r="N177" i="1"/>
  <c r="N169" i="1"/>
  <c r="N200" i="1"/>
  <c r="N192" i="1"/>
  <c r="N184" i="1"/>
  <c r="N176" i="1"/>
  <c r="N168" i="1"/>
  <c r="N199" i="1"/>
  <c r="N191" i="1"/>
  <c r="N183" i="1"/>
  <c r="N175" i="1"/>
  <c r="N167" i="1"/>
  <c r="N198" i="1"/>
  <c r="N190" i="1"/>
  <c r="N182" i="1"/>
  <c r="N174" i="1"/>
  <c r="N166" i="1"/>
  <c r="N189" i="1"/>
  <c r="N181" i="1"/>
  <c r="N173" i="1"/>
  <c r="N165" i="1"/>
  <c r="N196" i="1"/>
  <c r="N188" i="1"/>
  <c r="N180" i="1"/>
  <c r="N172" i="1"/>
  <c r="N159" i="1"/>
  <c r="N151" i="1"/>
  <c r="N139" i="1"/>
  <c r="N112" i="1"/>
  <c r="N104" i="1"/>
  <c r="N143" i="1"/>
  <c r="N120" i="1"/>
  <c r="N109" i="1"/>
  <c r="N101" i="1"/>
  <c r="N148" i="1"/>
  <c r="N123" i="1"/>
  <c r="N116" i="1"/>
  <c r="N108" i="1"/>
  <c r="N100" i="1"/>
  <c r="N115" i="1"/>
  <c r="N107" i="1"/>
  <c r="N99" i="1"/>
  <c r="N147" i="1"/>
  <c r="N114" i="1"/>
  <c r="N162" i="1"/>
  <c r="N158" i="1"/>
  <c r="N154" i="1"/>
  <c r="N150" i="1"/>
  <c r="N146" i="1"/>
  <c r="N142" i="1"/>
  <c r="N138" i="1"/>
  <c r="N134" i="1"/>
  <c r="N130" i="1"/>
  <c r="N126" i="1"/>
  <c r="N122" i="1"/>
  <c r="N118" i="1"/>
  <c r="N161" i="1"/>
  <c r="N157" i="1"/>
  <c r="N153" i="1"/>
  <c r="N149" i="1"/>
  <c r="N145" i="1"/>
  <c r="N141" i="1"/>
  <c r="N137" i="1"/>
  <c r="N133" i="1"/>
  <c r="N129" i="1"/>
  <c r="N125" i="1"/>
  <c r="N121" i="1"/>
  <c r="N117" i="1"/>
  <c r="N160" i="1"/>
  <c r="N156" i="1"/>
  <c r="N152" i="1"/>
  <c r="N144" i="1"/>
  <c r="N136" i="1"/>
  <c r="N132" i="1"/>
  <c r="N128" i="1"/>
  <c r="N12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tc={B7FB8C14-0A52-4345-8CD3-A63C0159F4A2}</author>
    <author>tc={577D7674-34F6-4517-B8A6-07D0A5198DD2}</author>
    <author>tc={8697AF6D-32AD-4310-AD31-707838D85B0E}</author>
    <author>tc={41063299-2EFA-4ABD-B8D1-B209E3D94E31}</author>
    <author>tc={13EF08DA-3978-4F1A-B0CD-2932728085B8}</author>
    <author>tc={0BC066D5-F7AA-4436-B17B-CF9F0737CE12}</author>
  </authors>
  <commentList>
    <comment ref="D843" authorId="0" shapeId="0" xr:uid="{B7FB8C14-0A52-4345-8CD3-A63C0159F4A2}">
      <text>
        <t>[Threaded comment]
Your version of Excel allows you to read this threaded comment; however, any edits to it will get removed if the file is opened in a newer version of Excel. Learn more: https://go.microsoft.com/fwlink/?linkid=870924
Comment:
    The replicated or the total?</t>
      </text>
    </comment>
    <comment ref="K843" authorId="1" shapeId="0" xr:uid="{577D7674-34F6-4517-B8A6-07D0A5198DD2}">
      <text>
        <t xml:space="preserve">[Threaded comment]
Your version of Excel allows you to read this threaded comment; however, any edits to it will get removed if the file is opened in a newer version of Excel. Learn more: https://go.microsoft.com/fwlink/?linkid=870924
Comment:
    New England Journal of Medicine
Lancet
American Journal of Respiratory and Critical Care Medicine
Critical Care Medicine
JAMA
Intensive Care Med
American Journal of Respiratory and Critical Care Medicine
Journal of Cardiothoracic and Vascular Anesthesia
Stroke
</t>
      </text>
    </comment>
    <comment ref="D926" authorId="2" shapeId="0" xr:uid="{8697AF6D-32AD-4310-AD31-707838D85B0E}">
      <text>
        <t xml:space="preserve">[Threaded comment]
Your version of Excel allows you to read this threaded comment; however, any edits to it will get removed if the file is opened in a newer version of Excel. Learn more: https://go.microsoft.com/fwlink/?linkid=870924
Comment:
    Not exactly the method for the replication
</t>
      </text>
    </comment>
    <comment ref="D1067" authorId="3" shapeId="0" xr:uid="{41063299-2EFA-4ABD-B8D1-B209E3D94E31}">
      <text>
        <t>[Threaded comment]
Your version of Excel allows you to read this threaded comment; however, any edits to it will get removed if the file is opened in a newer version of Excel. Learn more: https://go.microsoft.com/fwlink/?linkid=870924
Comment:
    reread</t>
      </text>
    </comment>
    <comment ref="D1077" authorId="4" shapeId="0" xr:uid="{13EF08DA-3978-4F1A-B0CD-2932728085B8}">
      <text>
        <t>[Threaded comment]
Your version of Excel allows you to read this threaded comment; however, any edits to it will get removed if the file is opened in a newer version of Excel. Learn more: https://go.microsoft.com/fwlink/?linkid=870924
Comment:
    reread</t>
      </text>
    </comment>
    <comment ref="J1125" authorId="5" shapeId="0" xr:uid="{0BC066D5-F7AA-4436-B17B-CF9F0737CE12}">
      <text>
        <t>[Threaded comment]
Your version of Excel allows you to read this threaded comment; however, any edits to it will get removed if the file is opened in a newer version of Excel. Learn more: https://go.microsoft.com/fwlink/?linkid=870924
Comment:
    https://link.springer.com/article/10.1007/s11301-022-00269-6</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<sst xmlns="http://schemas.openxmlformats.org/spreadsheetml/2006/main" count="10380" uniqueCount="1366">
  <si>
    <t>Id</t>
  </si>
  <si>
    <t>replication_authors</t>
  </si>
  <si>
    <t>replication_project_name</t>
  </si>
  <si>
    <t>Estimating the Reproducibility of Psychological Science</t>
  </si>
  <si>
    <t>Nosek et al. (RPP) (2015)</t>
  </si>
  <si>
    <t>Preschoolers' perspective taking in word learning: do they blindly follow eye gaze?</t>
  </si>
  <si>
    <t>More than meets the eye: the role of language in binding and maintaining feature conjunctions.</t>
  </si>
  <si>
    <t>Working memory costs of task switching.</t>
  </si>
  <si>
    <t>The value heuristic in judgments of relative frequency.</t>
  </si>
  <si>
    <t>Balancing connectedness and self-protection goals in close relationships: A levels-of-processing perspective on risk regulation.</t>
  </si>
  <si>
    <t>Stereotypes and retrieval-provoked illusory source recollections.</t>
  </si>
  <si>
    <t>A needs-based model of reconciliation: Satisfying the differential emotional needs of victim and perpetrator as a key to promoting reconciliation.</t>
  </si>
  <si>
    <t>Terror management and adults' attachment to their parents: The safe haven remains.</t>
  </si>
  <si>
    <t>Toward a physiology of dual-process reasoning and judgment: lemonade, willpower, and expensive rule-based analysis.</t>
  </si>
  <si>
    <t>A social functional approach to emotions in bargaining: when communicating anger pays and when it backfires.</t>
  </si>
  <si>
    <t>Social identity contingencies: How diversity cues signal threat or safety for African Americans in mainstream institutions.</t>
  </si>
  <si>
    <t>Loving those who justify inequality: the effects of system threat on attraction to women who embody benevolent sexist ideals.</t>
  </si>
  <si>
    <t>Personality dominance and preferential use of the vertical dimension of space</t>
  </si>
  <si>
    <t>Increasing and decreasing motor and cognitive output: A model of general action and inaction goals.</t>
  </si>
  <si>
    <t>The Best Men Are (Not Always) Already Taken: Female Preference for Single Versus Attached Males Depends on Conception Risk</t>
  </si>
  <si>
    <t>Accelerated relearning after retrieval-induced forgetting: The benefit of being forgotten.</t>
  </si>
  <si>
    <t>Poignancy: Mixed emotional experience in the face of meaningful endings.</t>
  </si>
  <si>
    <t>With a clean conscience: Cleanliness reduces the severity of moral judgments.</t>
  </si>
  <si>
    <t>Why people are reluctant to tempt fate.</t>
  </si>
  <si>
    <t>Not so innocent: Does seeing one's own capacity for wrongdoing predict forgiveness?</t>
  </si>
  <si>
    <t>The space between us: Stereotype threat and distance in interracial contexts.</t>
  </si>
  <si>
    <t>The threat of appearing prejudiced and race-based attentional biases.</t>
  </si>
  <si>
    <t>Effects of fluency on psychological distance and mental construal (or why New York is a large city, but New York is a civilized jungle).</t>
  </si>
  <si>
    <t>Intentional forgetting is easier after two "shots" than one.</t>
  </si>
  <si>
    <t>The developmental psychometrics of big five self-reports: Acquiescence, factor structure, coherence, and differentiation from ages 10 to 20.</t>
  </si>
  <si>
    <t>Sex differences in mate preferences revisited: Do people know what they initially desire in a romantic partner?</t>
  </si>
  <si>
    <t>Walking on eggshells: How expressing relationship insecurities perpetuates them.</t>
  </si>
  <si>
    <t>Keeping one's distance: The influence of spatial distance cues on affect and evaluation.</t>
  </si>
  <si>
    <t>Opening the mind to close it: Considering a message in light of important values increases message processing and later resistance to change.</t>
  </si>
  <si>
    <t>Creating social connection through inferential reproduction: Loneliness and perceived agency in gadgets, gods, and greyhounds.</t>
  </si>
  <si>
    <t>How does bilingualism improve executive control? A comparison of active and reactive inhibition mechanisms.</t>
  </si>
  <si>
    <t>Left frontal cortical activation and spreading of alternatives: Tests of the action-based model of dissonance.</t>
  </si>
  <si>
    <t>On the relative independence of thinking biases and cognitive ability.</t>
  </si>
  <si>
    <t>1/f noise and effort on implicit measures of bias.</t>
  </si>
  <si>
    <t>Individual differences in the regulation of intergroup bias: The role of conflict monitoring and neural signals for control.</t>
  </si>
  <si>
    <t>When does between-sequence phonological similarity promote irrelevant sound disruption?</t>
  </si>
  <si>
    <t>Perceptual mechanisms that characterize gender differences in decoding women's sexual intent</t>
  </si>
  <si>
    <t>Affective incoherence: When affective concepts and embodied reactions clash.</t>
  </si>
  <si>
    <t>Decision making and learning while taking sequential risks.</t>
  </si>
  <si>
    <t>The value of believing in free will: Encouraging a belief in determinism increases cheating.</t>
  </si>
  <si>
    <t>Semantic interference in a delayed naming task: Evidence for the response exclusion hypothesis.</t>
  </si>
  <si>
    <t>Nonconscious goal pursuit in novel environments: The case of implicit learning.</t>
  </si>
  <si>
    <t>Implicit attitude generalization occurs immediately; explicit attitude generalization takes time</t>
  </si>
  <si>
    <t>What Do Cross_National Comparisons of Personality Traits Tell Us? The Case of Conscientiousness</t>
  </si>
  <si>
    <t>The effect of global versus local processing styles on assimilation versus contrast in social judgment.</t>
  </si>
  <si>
    <t>Self-regulation and selective exposure: The impact of depleted self-regulation resources on confirmatory information processing.</t>
  </si>
  <si>
    <t>Extremal edge: a powerful cue to depth perception and figure-ground organization</t>
  </si>
  <si>
    <t>Temporal selection is suppressed, delayed, and diffused during the attentional blink.</t>
  </si>
  <si>
    <t>Modeling distributions of immediate memory effects: No strategies needed?</t>
  </si>
  <si>
    <t>The intermixed-blocked effect in human perceptual learning is not the consequence of trial spacing.</t>
  </si>
  <si>
    <t>Contextual effects on reading aloud: Evidence for pathway control.</t>
  </si>
  <si>
    <t>Tracing attention and the activation flow in spoken word planning using eye movements.</t>
  </si>
  <si>
    <t>Why do implicit and explicit attitude tests diverge? The role of structural fit.</t>
  </si>
  <si>
    <t>The effects of an implemental mind-set on attitude strength.</t>
  </si>
  <si>
    <t>The rejection of moral rebels: Resenting those who do the right thing.</t>
  </si>
  <si>
    <t>Detecting the snake in the grass: attention to fear-relevant stimuli by adults and young children.</t>
  </si>
  <si>
    <t>Where do we look during potentially offensive behavior?</t>
  </si>
  <si>
    <t>Distinguishing between silent and vocal minorities: Not all deviants feel marginal.</t>
  </si>
  <si>
    <t>Sensitivity to object viewpoint and action instructions during search for targets in the lower visual field</t>
  </si>
  <si>
    <t>Selective exposure and information quantity: How different information quantities moderate decision makers' preference for consistent and inconsistent information.</t>
  </si>
  <si>
    <t>Precision of the anchor influences the amount of adjustment.</t>
  </si>
  <si>
    <t>Now you see it, now you don't: repetition blindness for nonwords</t>
  </si>
  <si>
    <t>The Stroop effect: Why proportion congruent has nothing to do with congruency and everything to do with contingency.</t>
  </si>
  <si>
    <t>Errors Are Aversive: Defensive Motivation and the Error-Related Negativity</t>
  </si>
  <si>
    <t>Head up, foot down: Object words orient attention to the objects' typical location.</t>
  </si>
  <si>
    <t>The face of success: inferences from chief executive officers' appearance predict company profits.</t>
  </si>
  <si>
    <t>Learning correct responses and errors in the Hebb repetition effect: two faces of the same coin.</t>
  </si>
  <si>
    <t>Priming addition facts with semantic relations.</t>
  </si>
  <si>
    <t>Self-handicapping, excuse making, and counterfactual thinking: Consequences for self-esteem and future motivation.</t>
  </si>
  <si>
    <t>Multiple roles for time in short-term memory: Evidence from serial recall of order and timing.</t>
  </si>
  <si>
    <t>Measuring the crowd within: Probabilistic representations within individuals.</t>
  </si>
  <si>
    <t>Orienting attention in visual working memory reduces interference from memory probes.</t>
  </si>
  <si>
    <t>On the additive effects of stimulus quality and word frequency in lexical decision: Evidence for opposing interactive influences revealed by RT distributional analyses.</t>
  </si>
  <si>
    <t>A single-system account of the relationship between priming, recognition, and fluency.</t>
  </si>
  <si>
    <t>How to say no: Single-and dual-process theories of short-term recognition tested on negative probes.</t>
  </si>
  <si>
    <t>Conflict-triggered goal shielding: Response conflicts attenuate background monitoring for prospective memory cues.</t>
  </si>
  <si>
    <t>Adaptive memory: The comparative value of survival processing.</t>
  </si>
  <si>
    <t>The ultimate sampling dilemma in experience-based decision making.</t>
  </si>
  <si>
    <t>Attractor dynamics and semantic neighborhood density: Processing is slowed by near neighbors and speeded by distant neighbors.</t>
  </si>
  <si>
    <t>Accounting for occurrences: A new view of the use of contingency information in causal judgment.</t>
  </si>
  <si>
    <t>A word-order constraint on phonological activation</t>
  </si>
  <si>
    <t>Is happiness having what you want, wanting what you have, or both?</t>
  </si>
  <si>
    <t>Auditory change detection: simple sounds are not memorized better than complex sounds</t>
  </si>
  <si>
    <t>Bidirectional associations in multiplication memory: Conditions of negative and positive transfer.</t>
  </si>
  <si>
    <t>A motion aftereffect from still photographs depicting motion</t>
  </si>
  <si>
    <t>Hedonic and instrumental motives in anger regulation.</t>
  </si>
  <si>
    <t>Age-related changes in the episodic simulation of future events</t>
  </si>
  <si>
    <t>ñIn_Group Loveî and ñOut_Group Hateî as Motives for Individual Participation in Intergroup Conflict: A New Game Paradigm</t>
  </si>
  <si>
    <t>An attention-based associative account of adjacent and nonadjacent dependency learning.</t>
  </si>
  <si>
    <t>Multidimensional visual statistical learning.</t>
  </si>
  <si>
    <t>Action dynamics reveal parallel competition in decision making</t>
  </si>
  <si>
    <t>Prescribed optimism: Is it right to be wrong about the future?</t>
  </si>
  <si>
    <t>Across-notation automatic numerical processing.</t>
  </si>
  <si>
    <t>The sunny side of fairness: Preference for fairness activates reward circuitry (and disregarding unfairness activates self-control circuitry)</t>
  </si>
  <si>
    <t>The representation of simple ensemble visual features outside the focus of attention</t>
  </si>
  <si>
    <t>no_of_authors_in_r_paper</t>
  </si>
  <si>
    <t>no</t>
  </si>
  <si>
    <t>No</t>
  </si>
  <si>
    <t>yes</t>
  </si>
  <si>
    <t>Replicate?(R)</t>
  </si>
  <si>
    <t>SD_of_replication_project</t>
  </si>
  <si>
    <t>SE_of_replication_study</t>
  </si>
  <si>
    <t>no_of_studies_rep_project</t>
  </si>
  <si>
    <t>region_of_publication</t>
  </si>
  <si>
    <t>individual_studies_in_rep_project</t>
  </si>
  <si>
    <t>replication_project_year_of_publication</t>
  </si>
  <si>
    <t>Science</t>
  </si>
  <si>
    <t>Psychology</t>
  </si>
  <si>
    <t>Citations_rep_project</t>
  </si>
  <si>
    <t>Data_type</t>
  </si>
  <si>
    <t>Combined</t>
  </si>
  <si>
    <t>Journal</t>
  </si>
  <si>
    <t>SJR</t>
  </si>
  <si>
    <t>Camerer et al. (2016)</t>
  </si>
  <si>
    <t>Evaluating replicability of laboratory experiments in economics</t>
  </si>
  <si>
    <t>Abeler et al. (AER 2011)</t>
  </si>
  <si>
    <t>Ambrus and Greiner (AER 2012)</t>
  </si>
  <si>
    <t>Bartling et al. (AER 2012)</t>
  </si>
  <si>
    <t>Charness and Dufwenberg (AER 2011)</t>
  </si>
  <si>
    <t>Chen and Chen (AER 2011)</t>
  </si>
  <si>
    <t>de Clippel et al. (AER 2014)</t>
  </si>
  <si>
    <t>Duffy and Puzzello (AER 2014)</t>
  </si>
  <si>
    <t>Dulleck et al. (AER 2011)</t>
  </si>
  <si>
    <t>Ericson and Fuster (QJE 2011)</t>
  </si>
  <si>
    <t>Fehr et al. (AER 2013)</t>
  </si>
  <si>
    <t>Friedman and Oprea (AER 2012)</t>
  </si>
  <si>
    <t>Fudenberg et al. (AER 2012)</t>
  </si>
  <si>
    <t>Huck et al. (AER 2011)</t>
  </si>
  <si>
    <t>Ifcher and Zarghamee (AER 2011)</t>
  </si>
  <si>
    <t>Kessler and Roth (AER 2012)</t>
  </si>
  <si>
    <t>Kirchler et al (AER 2012)</t>
  </si>
  <si>
    <t>Kogan et al. (AER 2011)</t>
  </si>
  <si>
    <t>Kuziemko et al. (QJE 2014)</t>
  </si>
  <si>
    <t>US</t>
  </si>
  <si>
    <t xml:space="preserve">Economics and Management </t>
  </si>
  <si>
    <t xml:space="preserve">laboratory </t>
  </si>
  <si>
    <t>Camerer et al. (2018)</t>
  </si>
  <si>
    <t>Evaluating the replicability of social science experiments in Nature and Science between 2010 and 2015</t>
  </si>
  <si>
    <t>Evaluating the replicability of social science experiments in Nature and Science between 2010 and 2016</t>
  </si>
  <si>
    <t>Evaluating the replicability of social science experiments in Nature and Science between 2010 and 2017</t>
  </si>
  <si>
    <t>Evaluating the replicability of social science experiments in Nature and Science between 2010 and 2018</t>
  </si>
  <si>
    <t>Evaluating the replicability of social science experiments in Nature and Science between 2010 and 2019</t>
  </si>
  <si>
    <t>Evaluating the replicability of social science experiments in Nature and Science between 2010 and 2020</t>
  </si>
  <si>
    <t>Evaluating the replicability of social science experiments in Nature and Science between 2010 and 2021</t>
  </si>
  <si>
    <t>Evaluating the replicability of social science experiments in Nature and Science between 2010 and 2022</t>
  </si>
  <si>
    <t>Evaluating the replicability of social science experiments in Nature and Science between 2010 and 2023</t>
  </si>
  <si>
    <t>Evaluating the replicability of social science experiments in Nature and Science between 2010 and 2024</t>
  </si>
  <si>
    <t>Evaluating the replicability of social science experiments in Nature and Science between 2010 and 2025</t>
  </si>
  <si>
    <t>Evaluating the replicability of social science experiments in Nature and Science between 2010 and 2026</t>
  </si>
  <si>
    <t>Evaluating the replicability of social science experiments in Nature and Science between 2010 and 2027</t>
  </si>
  <si>
    <t>Evaluating the replicability of social science experiments in Nature and Science between 2010 and 2028</t>
  </si>
  <si>
    <t>Evaluating the replicability of social science experiments in Nature and Science between 2010 and 2029</t>
  </si>
  <si>
    <t>Evaluating the replicability of social science experiments in Nature and Science between 2010 and 2030</t>
  </si>
  <si>
    <t>Evaluating the replicability of social science experiments in Nature and Science between 2010 and 2031</t>
  </si>
  <si>
    <t>Evaluating the replicability of social science experiments in Nature and Science between 2010 and 2032</t>
  </si>
  <si>
    <t>Evaluating the replicability of social science experiments in Nature and Science between 2010 and 2033</t>
  </si>
  <si>
    <t>Evaluating the replicability of social science experiments in Nature and Science between 2010 and 2034</t>
  </si>
  <si>
    <t>Evaluating the replicability of social science experiments in Nature and Science between 2010 and 2035</t>
  </si>
  <si>
    <t>no_of_journals_used</t>
  </si>
  <si>
    <t>Ackerman et al. (2010), Science</t>
  </si>
  <si>
    <t xml:space="preserve">Aviezer et al. (2012), Science </t>
  </si>
  <si>
    <t>Balafoutas and Sutter (2012), Science</t>
  </si>
  <si>
    <t>Derex et al. (2013), Nature</t>
  </si>
  <si>
    <t>Duncan et al. (2012), Science</t>
  </si>
  <si>
    <t>Gervais and Norenzayan (2012), Science</t>
  </si>
  <si>
    <t>Gneezy et al. (2014), Science</t>
  </si>
  <si>
    <t>Hauser et al. (2014), Nature</t>
  </si>
  <si>
    <t>Janssen et al. (2010), Science</t>
  </si>
  <si>
    <t>Karpicke and Blunt (2011), Science</t>
  </si>
  <si>
    <t>Kidd and Castano (2013), Science</t>
  </si>
  <si>
    <t xml:space="preserve">Kovacs et al. (2010), Science </t>
  </si>
  <si>
    <t xml:space="preserve">Lee and Schwarz (2010), Science </t>
  </si>
  <si>
    <t xml:space="preserve">Morewedge et al. (2010), Science </t>
  </si>
  <si>
    <t xml:space="preserve">Nishi et al. (2015), Nature </t>
  </si>
  <si>
    <t xml:space="preserve">Pyc and Rawson (2010), Science </t>
  </si>
  <si>
    <t xml:space="preserve">Ramirez and Beilock (2011), Science </t>
  </si>
  <si>
    <t xml:space="preserve">Rand et al. (2012), Nature                   </t>
  </si>
  <si>
    <t xml:space="preserve">Shah et al. (2012), Science </t>
  </si>
  <si>
    <t xml:space="preserve">Sparrow et al. (2011), Science </t>
  </si>
  <si>
    <t xml:space="preserve">Wilson et al. (2014), Science </t>
  </si>
  <si>
    <t>Nature Human Behaviour</t>
  </si>
  <si>
    <t>Non-US</t>
  </si>
  <si>
    <t>A Replication Study of Operations Management Experiments in Management Science</t>
  </si>
  <si>
    <t>Management Science</t>
  </si>
  <si>
    <t xml:space="preserve">Chen et al. (2013) </t>
  </si>
  <si>
    <t>Croson and Donohue (2006)</t>
  </si>
  <si>
    <t>Davis et al. (2011)</t>
  </si>
  <si>
    <t>Engelbrecht-Wiggans and Katok (2008)</t>
  </si>
  <si>
    <t>Ho and Zhang (2008)</t>
  </si>
  <si>
    <t>Kremer and Debo (2016)</t>
  </si>
  <si>
    <t>Kremer et al. (2011)</t>
  </si>
  <si>
    <t>Ozer et al. (2011) ¨</t>
  </si>
  <si>
    <t>Schweitzer and Cachon (2000)</t>
  </si>
  <si>
    <t>Shunko et al. (2018)</t>
  </si>
  <si>
    <t>Davis et al. (2022)</t>
  </si>
  <si>
    <t>Kvarven et al. (2020)</t>
  </si>
  <si>
    <t>Comparing meta-analyses and preregistered multiple-laboratory replication projects.</t>
  </si>
  <si>
    <t>Oppenheimer et al. (2009)</t>
  </si>
  <si>
    <t>Tversky &amp; Kahneman (1981)</t>
  </si>
  <si>
    <t>Husnu &amp; Crisp (2010)</t>
  </si>
  <si>
    <t>Schwarz et al. (1991)</t>
  </si>
  <si>
    <t>Hauser et al. (2007)</t>
  </si>
  <si>
    <t>Critcher &amp; Gilovich (2008)</t>
  </si>
  <si>
    <t>Graham, Haidt &amp; Nosek (2009)</t>
  </si>
  <si>
    <t>Jostmann et al. (2009)</t>
  </si>
  <si>
    <t>Monin &amp; Miller (2001)</t>
  </si>
  <si>
    <t>Schooler &amp; Engstler-Schooler (1990)</t>
  </si>
  <si>
    <t>Sripada et al. (2014)</t>
  </si>
  <si>
    <t>Rand et al. (2012)</t>
  </si>
  <si>
    <t>Strack et al. (1988)</t>
  </si>
  <si>
    <t>Srull &amp; Wyer (1979)</t>
  </si>
  <si>
    <t>Mazar et al. (2008)</t>
  </si>
  <si>
    <t>no_of_authors_rep_project</t>
  </si>
  <si>
    <r>
      <t xml:space="preserve">Cova </t>
    </r>
    <r>
      <rPr>
        <sz val="10"/>
        <color rgb="FF222222"/>
        <rFont val="Arial"/>
        <family val="2"/>
      </rPr>
      <t>et al. (2018)</t>
    </r>
  </si>
  <si>
    <t>Estimating the Reproducibility of Experimental Philosophy</t>
  </si>
  <si>
    <t>Knobe (2003a)</t>
  </si>
  <si>
    <t>Knobe (2003b)</t>
  </si>
  <si>
    <t>Machery et al. (2004)</t>
  </si>
  <si>
    <t>Knobe (2004)</t>
  </si>
  <si>
    <t>Nichols (2004)</t>
  </si>
  <si>
    <t>Nadelhoffer (2004)</t>
  </si>
  <si>
    <t>Nahmias et al. (2005)</t>
  </si>
  <si>
    <t>McCann (2005)</t>
  </si>
  <si>
    <t>Nadelhoffer (2005)</t>
  </si>
  <si>
    <t>Nahmias et al. (2006)</t>
  </si>
  <si>
    <t>Knobe &amp; Burra (2006)</t>
  </si>
  <si>
    <t>Nichols (2006)</t>
  </si>
  <si>
    <t>Nadelhoffer (2006)</t>
  </si>
  <si>
    <t>Nichols &amp; Knobe (2007)</t>
  </si>
  <si>
    <t>Nahmias et al. (2007)</t>
  </si>
  <si>
    <t>Livengood &amp; Machery (2007)</t>
  </si>
  <si>
    <t>Greene et al. (2008)</t>
  </si>
  <si>
    <t>Gonnerman (2008)</t>
  </si>
  <si>
    <t>Nadelhoffer &amp; Feltz (2008)</t>
  </si>
  <si>
    <t>Hitchcock &amp; Knobe (2009)</t>
  </si>
  <si>
    <t>Roxborough &amp; Cumby (2009)</t>
  </si>
  <si>
    <t>Nadelhoffer et al. (2009)</t>
  </si>
  <si>
    <t>De Brigard (2010)</t>
  </si>
  <si>
    <t>Beebe &amp; Buckwalter (2010)</t>
  </si>
  <si>
    <t>Sytsma &amp; Machery (2010)</t>
  </si>
  <si>
    <t>Alicke et al. (2011)</t>
  </si>
  <si>
    <t>Reuter (2011)</t>
  </si>
  <si>
    <t>Sarkissian et al. (2011)</t>
  </si>
  <si>
    <t>Paxton et al. (2012)</t>
  </si>
  <si>
    <t>Schaffer &amp; Knobe (2012)</t>
  </si>
  <si>
    <t>May &amp; Holton (2012)</t>
  </si>
  <si>
    <t>Nagel et al. (2013)</t>
  </si>
  <si>
    <t>Beebe &amp; Shea (2013)</t>
  </si>
  <si>
    <t>Rose &amp; Nichols (2013)</t>
  </si>
  <si>
    <t>Murray &amp; Nahmias (2014)</t>
  </si>
  <si>
    <t>Grau &amp; Pury (2014)</t>
  </si>
  <si>
    <t>Liao et al. (2014)</t>
  </si>
  <si>
    <t>Bjornsson et al. (2015)</t>
  </si>
  <si>
    <t>Buckwalter &amp; Schaffer (2015)</t>
  </si>
  <si>
    <t>Kominsky et al. (2015)</t>
  </si>
  <si>
    <t>year_of_publication_individual_reps</t>
  </si>
  <si>
    <t>NA</t>
  </si>
  <si>
    <t>YES</t>
  </si>
  <si>
    <t>NO</t>
  </si>
  <si>
    <t>Review of Philosophy and Psychology</t>
  </si>
  <si>
    <t>Errington et al. (2021)</t>
  </si>
  <si>
    <t>A coding-independent function of gene and pseudogene mRNAs regulates tumour biology.</t>
  </si>
  <si>
    <t>A chromatin-mediated reversible drug-tolerant state in cancer cell subpopulations</t>
  </si>
  <si>
    <t>Long non-coding RNA HOTAIR reprograms chromatin state to promote cancer metastasis</t>
  </si>
  <si>
    <t>Leukemic IDH1 and IDH2 mutations result in a hypermethylation phenotype, disrupt TET2 function, and impair hematopoietic differentiation</t>
  </si>
  <si>
    <t>Tumour vascularization via endothelial differentiation of glioblastoma stem-like cells</t>
  </si>
  <si>
    <t>Diverse somatic mutation patterns and pathway alterations in human cancers.</t>
  </si>
  <si>
    <t>Kinase-dead BRAF and oncogenic RAS cooperate to drive tumor progression through CRAF.</t>
  </si>
  <si>
    <t>RAF inhibitors prime wild-type RAF to activate the MAPK pathway and enhance growth.</t>
  </si>
  <si>
    <t>Wnt activity defines colon cancer stem cells and is regulated by the microenvironment.</t>
  </si>
  <si>
    <t>The transcriptional network for mesenchymal transformation of brain tumours</t>
  </si>
  <si>
    <t>Melanomas acquire resistance to B-RAF(V600E) inhibition by RTK or N-RAS upregulation</t>
  </si>
  <si>
    <t>COT drives resistance to RAF inhibition through MAP kinase pathway reactivation</t>
  </si>
  <si>
    <t>RAF inhibitors transactivate RAF dimers and ERK signalling in cells with wild-type BRAF</t>
  </si>
  <si>
    <t>Coadministration of a Tumor-Penetrating Peptide Enhances the Efficacy of Cancer Drugs</t>
  </si>
  <si>
    <t>The common feature of leukemia-associated IDH1 and IDH2 mutations is a neomorphic enzyme activity converting alpha-ketoglutarate to 2-hydroxyglutarate</t>
  </si>
  <si>
    <t>Impaired hydroxylation of 5-methylcytosine in myeloid cancers with mutant TET2</t>
  </si>
  <si>
    <t>RNAi screen identifies Brd4 as a therapeutic target in acute myeloid leukaemia</t>
  </si>
  <si>
    <t>BET bromodomain inhibition as a therapeutic strategy to target c-Myc</t>
  </si>
  <si>
    <t>Biomechanical remodeling of the microenvironment by stromal caveolin-1 favors tumor invasion and metastasis.</t>
  </si>
  <si>
    <t>Discovery and Preclinical Validation of Drug Indications Using Compendia of Public Gene Expression Data</t>
  </si>
  <si>
    <t>Selective killing of cancer cells by a small molecule targeting the stress response to ROS</t>
  </si>
  <si>
    <t>Functional genomics reveal that the serine synthesis pathway is essential in breast cancer</t>
  </si>
  <si>
    <t>Coding-independent regulation of the tumor suppressor PTEN by competing endogenous mRNAs.</t>
  </si>
  <si>
    <t>Oncometabolite 2-Hydroxyglutarate is a competitive inhibitor of Î±-ketoglutarate-dependent dioxygenases.</t>
  </si>
  <si>
    <t>Oncogene-induced Nrf2 transcription promotes ROS detoxification and tumorigenesis</t>
  </si>
  <si>
    <t>BRCA1 tumour suppression occurs via heterochromatin-mediated silencing</t>
  </si>
  <si>
    <t>The microRNA miR-34a inhibits prostate cancer stem cells and metastasis by directly repressing CD44.</t>
  </si>
  <si>
    <t>Inhibition of BET recruitment to chromatin as an effective treatment for MLL-fusion leukaemia</t>
  </si>
  <si>
    <t>CCL2 recruits inflammatory monocytes to facilitate breast-tumour metastasis</t>
  </si>
  <si>
    <t>An extensive microRNA-mediated network of RNA-RNA interactions regulates established oncogenic pathways in glioblastoma</t>
  </si>
  <si>
    <t>Normal and neoplastic nonstem cells can spontaneously convert to a stem-like state</t>
  </si>
  <si>
    <t>An endogenous tumour-promoting ligand of the human aryl hydrocarbon receptor</t>
  </si>
  <si>
    <t>Senescence surveillance of pre-malignant hepatocytes limits liver cancer development.</t>
  </si>
  <si>
    <t>A restricted cell population propagates glioblastoma growth after chemotherapy</t>
  </si>
  <si>
    <t>Defining the mode of tumour growth by clonal analysis</t>
  </si>
  <si>
    <t>Systematic identification of genomic markers of drug sensitivity in cancer cells</t>
  </si>
  <si>
    <t>Lineage tracing reveals Lgr5+ stem cell activity in mouse intestinal adenomas</t>
  </si>
  <si>
    <t>The CD47-signal regulatory protein alpha (SIRPa) interaction is a therapeutic target for human solid tumors</t>
  </si>
  <si>
    <t>Tumour micro-environment elicits innate resistance to RAF inhibitors through HGF secretion.</t>
  </si>
  <si>
    <t>Intestinal inflammation targets cancer-inducing activity of the microbiota.</t>
  </si>
  <si>
    <t>Melanoma exosomes educate bone marrow progenitor cells toward a pro-metastatic phenotype through MET.</t>
  </si>
  <si>
    <t>Interactions between cancer stem cells and their niche govern metastatic colonization.</t>
  </si>
  <si>
    <t>Melanoma genome sequencing reveals frequent PREX2 mutations</t>
  </si>
  <si>
    <t>Unresponsiveness of colon cancer to BRAF(V600E) inhibition through feedback activation of EGFR</t>
  </si>
  <si>
    <t>Widespread potential for growth-factor-driven resistance to anticancer kinase inhibitors.</t>
  </si>
  <si>
    <t>IDH mutation impairs histone demethylation and results in a block to cell differentiation.</t>
  </si>
  <si>
    <t>Transcriptional amplification in tumor cells with elevated c-Myc</t>
  </si>
  <si>
    <t>Sequential application of anticancer drugs enhances cell death by rewiring apoptotic signaling networks</t>
  </si>
  <si>
    <t>Fusobacterium nucleatum infection is prevalent in human colorectal carcinoma</t>
  </si>
  <si>
    <t>DNA breaks and chromosome pulverization from errors in mitosis</t>
  </si>
  <si>
    <t>A microRNA regulon that mediates endothelial recruitment and metastasis by cancer cells</t>
  </si>
  <si>
    <t>Reductive glutamine metabolism by IDH1 mediates lipogenesis under hypoxia</t>
  </si>
  <si>
    <t>Somatic mutations altering EZH2 (Tyr641) in follicular and diffuse large B-cell lymphomas of germinal-center origin</t>
  </si>
  <si>
    <t xml:space="preserve">Medicine, Ecology, and Psychiatry </t>
  </si>
  <si>
    <t>Elife</t>
  </si>
  <si>
    <t>Kelly (2019)</t>
  </si>
  <si>
    <t>Rate and success of study replication in ecology and evolution</t>
  </si>
  <si>
    <t>Yes</t>
  </si>
  <si>
    <t>PeerJ</t>
  </si>
  <si>
    <t>Undefined</t>
  </si>
  <si>
    <t>Gonçalves, Neves and Amaral (2022)</t>
  </si>
  <si>
    <t>Estimating the replicability of highly cited clinical research (2004-2018)</t>
  </si>
  <si>
    <t>EFFECTS OF INTENSIVE GLUCOSE LOWERING IN TYPE 2 DIABETES (ACCORD)</t>
  </si>
  <si>
    <t>EFFECTIVENESS OF ANTIPSYCHOTIC DRUGS IN PATIENTS WITH CHRONIC SCHIZOPHRENIA (CATIE)</t>
  </si>
  <si>
    <t>TRANSCATHETER VERSUS SURGICAL AORTIC-VALVE REPLACEMENT IN HIGH-RISK PATIENTS (PARTNER A)</t>
  </si>
  <si>
    <t>SCREENING AND PROSTATE-CANCER MORTALITY IN A RANDOMIZED EUROPEAN STUDY (ERSPC)</t>
  </si>
  <si>
    <t>PEMBROLIZUMAB VERSUS CHEMOTHERAPY FOR PD-L1-POSITIVE NON-SMALL-CELL LUNG CANCER (KEYNOTE-024)</t>
  </si>
  <si>
    <t>A RANDOMIZED TRIAL OF INTRAARTERIAL TREATMENT FOR ACUTE ISCHEMIC STROKE (MR CLEAN)</t>
  </si>
  <si>
    <t>PEMBROLIZUMAB FOR THE TREATMENT OF NON-SMALL-CELL LUNG CANCER (KEYNOTE-001)</t>
  </si>
  <si>
    <t>RANDOMIZED ASSESSMENT OF RAPID ENDOVASCULAR TREATMENT OF ISCHEMIC STROKE (ESCAPE)</t>
  </si>
  <si>
    <t>PERCUTANEOUS CORONARY INTERVENTION VERSUS CORONARY-ARTERY BYPASS GRAFTING FOR SEVERE CORONARY ARTERY DISEASE (SYNTAX)</t>
  </si>
  <si>
    <t>ENDOVASCULAR THERAPY FOR ISCHEMIC STROKE WITH PERFUSION-IMAGING SELECTION (EXTEND-IA)</t>
  </si>
  <si>
    <t>INHIBITION OF POLY(ADP-RIBOSE) POLYMERASE IN TUMORS FROM BRCA MUTATION CARRIERS</t>
  </si>
  <si>
    <t>A POLYMER-BASED, PACLITAXEL-ELUTING STENT IN PATIENTS WITH CORONARY ARTERY DISEASE (TAXUS-IV)</t>
  </si>
  <si>
    <t>SORAFENIB IN ADVANCED HEPATOCELLULAR CARCINOMA (SHARP)</t>
  </si>
  <si>
    <t>SAFETY, ACTIVITY, AND IMMUNE CORRELATES OF ANTI-PD-1 ANTIBODY IN CANCER (Topalian et al. 2012)</t>
  </si>
  <si>
    <t>THROMBOLYSIS WITH ALTEPLASE 3 TO 4.5 HOURS AFTER ACUTE ISCHEMIC STROKE (ECASS III)</t>
  </si>
  <si>
    <t>TRASTUZUMAB AFTER ADJUVANT CHEMOTHERAPY IN HER2-POSITIVE BREAST CANCER (HERA)</t>
  </si>
  <si>
    <t>NIVOLUMAB PLUS IPILIMUMAB IN ADVANCED MELANOMA (Wolchok et al. 2013)</t>
  </si>
  <si>
    <t>SAFETY AND TUMOR RESPONSES WITH LAMBROLIZUMAB (ANTI-PD-1) IN MELANOMA (Hamid et al., 2013)</t>
  </si>
  <si>
    <t>CRIZOTINIB VERSUS CHEMOTHERAPY IN ADVANCED ALK-POSITIVE LUNG CANCER (PROFILE 1007)</t>
  </si>
  <si>
    <t>ERLOTINIB VERSUS STANDARD CHEMOTHERAPY AS FIRST-LINE TREATMENT FOR EUROPEAN PATIENTS WITH ADVANCED EGFR MUTATION-POSITIVE NON-SMALL-CELL LUNG CANCER (EURTAC): A MULTICENTRE, OPEN-LABEL, RANDOMISED PHASE 3 TRIAL (EURTAC)</t>
  </si>
  <si>
    <t>EFFICACY AND SAFETY OF SORAFENIB IN PATIENTS IN THE ASIA-PACIFIC REGION WITH ADVANCED HEPATOCELLULAR CARCINOMA: A PHASE III RANDOMISED, DOUBLE-BLIND, PLACEBO-CONTROLLED TRIAL (Cheng et al. 2009)</t>
  </si>
  <si>
    <t>SAFETY AND ACTIVITY OF ANTI-PD-L1 ANTIBODY IN PATIENTS WITH ADVANCED CANCER (Brahmer et al. 2012)</t>
  </si>
  <si>
    <t>GEFITINIB OR CHEMOTHERAPY FOR NON-SMALL-CELL LUNG CANCER WITH MUTATED EGFR (NEJSG)</t>
  </si>
  <si>
    <t>INHIBITION OF MUTATED, ACTIVATED BRAF IN METASTATIC MELANOMA (Flaherty et al. 2010)</t>
  </si>
  <si>
    <t xml:space="preserve">BMJ </t>
  </si>
  <si>
    <t>Replication and contradiction of highly cited research papers in psychiatry: 10-year follow-up</t>
  </si>
  <si>
    <t>The British Journal of Psychiatry</t>
  </si>
  <si>
    <t>Transparency and Replication in Brazilian Political Science: A First Look</t>
  </si>
  <si>
    <t>DADOS</t>
  </si>
  <si>
    <t>Avelino, Desposato, &amp; Mardegan, I. (2021)</t>
  </si>
  <si>
    <t>Investigating Variation in Replicability</t>
  </si>
  <si>
    <t xml:space="preserve">Social Psychology </t>
  </si>
  <si>
    <t>Conceptual replication study of fifteen JDM effects: Insights from the Polish sample</t>
  </si>
  <si>
    <t>Polish Psychological Bulletin</t>
  </si>
  <si>
    <t> Eleven years of student replication projects provide evidence on the correlates of replicability in psychology.</t>
  </si>
  <si>
    <t>Boyce, Mathur, &amp; Frank (2023)</t>
  </si>
  <si>
    <t>Royal Society Open Science</t>
  </si>
  <si>
    <t>Using prediction markets to estimate the reproducibility of scientific research</t>
  </si>
  <si>
    <t>Soto (2019)</t>
  </si>
  <si>
    <t>How Replicable Are Links Between Personality Traits and Consequential Life Outcomes? The Life Outcomes of Personality Replication Project</t>
  </si>
  <si>
    <t>ave_age_rep_papers</t>
  </si>
  <si>
    <t>ave_authors_rep_papers</t>
  </si>
  <si>
    <t>rep_rate_interval</t>
  </si>
  <si>
    <t>PS</t>
  </si>
  <si>
    <t>JEPLMC</t>
  </si>
  <si>
    <t>JPSP</t>
  </si>
  <si>
    <t>no_of_authors_in_o_paper</t>
  </si>
  <si>
    <t>ave_authors_original_papers</t>
  </si>
  <si>
    <t>1st_author</t>
  </si>
  <si>
    <t>Nosek</t>
  </si>
  <si>
    <t>American Economic Review</t>
  </si>
  <si>
    <t>Quarterly Journal of Economics</t>
  </si>
  <si>
    <t>Camerer</t>
  </si>
  <si>
    <t>ES_of_r_individual_studies</t>
  </si>
  <si>
    <t>p_value_o</t>
  </si>
  <si>
    <t>2.2 x 10-16</t>
  </si>
  <si>
    <t>X</t>
  </si>
  <si>
    <t>&lt; .0001</t>
  </si>
  <si>
    <t>prep &gt; .99</t>
  </si>
  <si>
    <t>p_value_r</t>
  </si>
  <si>
    <t>prep = .97</t>
  </si>
  <si>
    <t>&lt;.05</t>
  </si>
  <si>
    <t>&lt;0.05</t>
  </si>
  <si>
    <t>&lt;.01</t>
  </si>
  <si>
    <t>&lt;.001</t>
  </si>
  <si>
    <t>prep = .92</t>
  </si>
  <si>
    <t>&lt;.0001</t>
  </si>
  <si>
    <t>prep = .93</t>
  </si>
  <si>
    <t>&lt;0.001</t>
  </si>
  <si>
    <t>prep = .95</t>
  </si>
  <si>
    <t>&lt;.02</t>
  </si>
  <si>
    <t>&lt;.06</t>
  </si>
  <si>
    <t>prep = .18</t>
  </si>
  <si>
    <t>&lt;.00001</t>
  </si>
  <si>
    <t>&gt;0.1</t>
  </si>
  <si>
    <t>&lt;.005</t>
  </si>
  <si>
    <t>prep = .99</t>
  </si>
  <si>
    <t>prep = .947</t>
  </si>
  <si>
    <t>&lt;0.005</t>
  </si>
  <si>
    <t>prep = .927</t>
  </si>
  <si>
    <t>"significant"</t>
  </si>
  <si>
    <t>&lt;.007</t>
  </si>
  <si>
    <t>ES_of_o_individual_studies</t>
  </si>
  <si>
    <t>ES_of_original_projects(average)</t>
  </si>
  <si>
    <t>Nature</t>
  </si>
  <si>
    <t>references_original_papers</t>
  </si>
  <si>
    <t>p &lt; .05</t>
  </si>
  <si>
    <t>Not reported</t>
  </si>
  <si>
    <t>p &lt; .01</t>
  </si>
  <si>
    <t xml:space="preserve"> p = 0.01</t>
  </si>
  <si>
    <t>p = 0.01</t>
  </si>
  <si>
    <t>p &lt;.001</t>
  </si>
  <si>
    <t>p = 0.016</t>
  </si>
  <si>
    <t>p = 0.1756</t>
  </si>
  <si>
    <t xml:space="preserve"> p = .004</t>
  </si>
  <si>
    <t>p = 0.004089)</t>
  </si>
  <si>
    <t xml:space="preserve"> p &lt;.001</t>
  </si>
  <si>
    <t>p = 0.03</t>
  </si>
  <si>
    <t>p &lt; 0.05</t>
  </si>
  <si>
    <t>p &lt; .001</t>
  </si>
  <si>
    <t>p = .005</t>
  </si>
  <si>
    <t>p = .002370</t>
  </si>
  <si>
    <t>p&lt;.001</t>
  </si>
  <si>
    <t>p &lt; 0.001</t>
  </si>
  <si>
    <t>p = .05</t>
  </si>
  <si>
    <t>p = .001</t>
  </si>
  <si>
    <t>p = .045</t>
  </si>
  <si>
    <t>p=.3421</t>
  </si>
  <si>
    <t>p &lt; .022</t>
  </si>
  <si>
    <t>p = .01</t>
  </si>
  <si>
    <t>p = .002</t>
  </si>
  <si>
    <t>p = .031</t>
  </si>
  <si>
    <t>p = 0.001</t>
  </si>
  <si>
    <t>p =.99</t>
  </si>
  <si>
    <t>p = .008</t>
  </si>
  <si>
    <t>p = 0.5151</t>
  </si>
  <si>
    <t>p = 0.1343</t>
  </si>
  <si>
    <t>p = 0.001863</t>
  </si>
  <si>
    <t>p = .27</t>
  </si>
  <si>
    <t>p = 0.56</t>
  </si>
  <si>
    <t>p = 0.917</t>
  </si>
  <si>
    <t>p = 0.002</t>
  </si>
  <si>
    <t>p = 0.04</t>
  </si>
  <si>
    <t>p = .018</t>
  </si>
  <si>
    <t>p=.32</t>
  </si>
  <si>
    <t>p = 0.24</t>
  </si>
  <si>
    <t>p =.008</t>
  </si>
  <si>
    <t>p = .656</t>
  </si>
  <si>
    <t>p = 0.0001</t>
  </si>
  <si>
    <t>p=0.092</t>
  </si>
  <si>
    <t>Analysis</t>
  </si>
  <si>
    <t>Philosophical Psychology</t>
  </si>
  <si>
    <t>Cognition</t>
  </si>
  <si>
    <t>Journal of Theoretical and Philosophical Psychology</t>
  </si>
  <si>
    <t>Philosophy and Phenomenological Research</t>
  </si>
  <si>
    <t>Journal of Cognition and Culture</t>
  </si>
  <si>
    <t>Philosophical Explorations</t>
  </si>
  <si>
    <t>Nous</t>
  </si>
  <si>
    <t>Midwest Studies in Philosophy</t>
  </si>
  <si>
    <t>Neuroethics</t>
  </si>
  <si>
    <t>The Journal of Philosophy</t>
  </si>
  <si>
    <t>Consciousness and cognition</t>
  </si>
  <si>
    <t>Mind and Language</t>
  </si>
  <si>
    <t>Philosophical Studies</t>
  </si>
  <si>
    <t>Journal of Consciousness Studies</t>
  </si>
  <si>
    <t>Cognitive Science</t>
  </si>
  <si>
    <t>Philosofical Studies</t>
  </si>
  <si>
    <t>Episteme</t>
  </si>
  <si>
    <t>The British Journal of Aesthetics</t>
  </si>
  <si>
    <t>Investigating the replicability of preclinical cancer biology</t>
  </si>
  <si>
    <t>Cell</t>
  </si>
  <si>
    <t>Cancer Cell</t>
  </si>
  <si>
    <t>Nature Cell Biology</t>
  </si>
  <si>
    <t>Science Translational Medicine</t>
  </si>
  <si>
    <t>Nature Medicine</t>
  </si>
  <si>
    <t>PNAS</t>
  </si>
  <si>
    <t>Genome Research</t>
  </si>
  <si>
    <t>Nature Genetics</t>
  </si>
  <si>
    <t>Møller &amp; Cuervo (2003)</t>
  </si>
  <si>
    <t>Cresswell et al. (2003)</t>
  </si>
  <si>
    <t>Keil &amp; Ihssen (2004)</t>
  </si>
  <si>
    <t>Range, Hentrup &amp; Virányi (2011)</t>
  </si>
  <si>
    <t>Bentosela et al. (2009)</t>
  </si>
  <si>
    <t>Ringler et al. (2013)</t>
  </si>
  <si>
    <t>Jennings, Snook &amp; Hoikkala (2014)</t>
  </si>
  <si>
    <t>Semm &amp; Demaine (1986)</t>
  </si>
  <si>
    <t>Medina, Ávila &amp; Morando (2013)</t>
  </si>
  <si>
    <t>Steiner et al. (2010)</t>
  </si>
  <si>
    <t>Van Oystaeyen et al. (2014)</t>
  </si>
  <si>
    <t>BMC Evolutionary Biology</t>
  </si>
  <si>
    <t>Behavioral Ecology</t>
  </si>
  <si>
    <t>Emotion</t>
  </si>
  <si>
    <t>Animal Cognition</t>
  </si>
  <si>
    <t>Journal of Comparative Psychology</t>
  </si>
  <si>
    <t>Frontiers in Zoology</t>
  </si>
  <si>
    <t>Evolution</t>
  </si>
  <si>
    <t>Cuadernos de Herpetología</t>
  </si>
  <si>
    <t>Arthropod Structure &amp; Development</t>
  </si>
  <si>
    <t>New England Journal of Medicine</t>
  </si>
  <si>
    <t>JAMA</t>
  </si>
  <si>
    <t>Sunk costs (Oppenheimer, Meyvis,&amp;Davidenko, 2009)</t>
  </si>
  <si>
    <t>Gain versus loss framing (Tversky &amp; Kahneman, 1981)</t>
  </si>
  <si>
    <t>Anchoring (Jacowitz &amp; Kahneman, 1995)</t>
  </si>
  <si>
    <t>Retrospective gambler’s fallacy (Oppenheimer &amp; Monin, 2009)</t>
  </si>
  <si>
    <t>Low-versus-high category scales (Schwarz, Hippler, Deutsch, &amp; Strack, 1985)</t>
  </si>
  <si>
    <t>Norm of reciprocity (Hyman &amp; Sheatsley, 1950)</t>
  </si>
  <si>
    <t>Allowed/Forbidden (Rugg, 1941)</t>
  </si>
  <si>
    <t>Quote Attribution (Lorge &amp; Curtiss, 1936)</t>
  </si>
  <si>
    <t>Flag Priming (Carter, Ferguson, &amp; Hassin, 2011; study 2)</t>
  </si>
  <si>
    <t>Currency priming (Caruso, Vohs, Baxter, &amp; Waytz, 2013)</t>
  </si>
  <si>
    <t>Imagined contact (Husnu &amp; Crisp, 2010; Study 1)</t>
  </si>
  <si>
    <t>Sex differences in implicit math attitudes (Nosek, Banaji, &amp; Greenwald, 2002)</t>
  </si>
  <si>
    <t>Implicit math attitudes relations with self-reported attitudes (Nosek et al., 2002)</t>
  </si>
  <si>
    <t>Journal of Experimental Social Psychology</t>
  </si>
  <si>
    <t>Personality and Social Psychology Bulletin</t>
  </si>
  <si>
    <t>Judgment and Decision Making</t>
  </si>
  <si>
    <t xml:space="preserve">Public Opinion Quaterly </t>
  </si>
  <si>
    <t>The teaching of contemporary affairs: 21st yearbook of the National Council of Social Studies</t>
  </si>
  <si>
    <t>The Journal of Social Psychology,</t>
  </si>
  <si>
    <t>Psychological Science</t>
  </si>
  <si>
    <t>Journal of Experimental Psychology: Central</t>
  </si>
  <si>
    <t>Journal of Personality and Social Psychology</t>
  </si>
  <si>
    <t>Lancet Oncology</t>
  </si>
  <si>
    <t>Relationship between procrastination and dependent decision-making style (Geisler &amp; Allwood, 2018)</t>
  </si>
  <si>
    <t>The effect of sunk cost on the decision to escalate commitment to an ongoing project (Garland, 1990)</t>
  </si>
  <si>
    <t>Priming risk attitudes and instrumental risk tendency (Zaleskiewicz, 2008)</t>
  </si>
  <si>
    <t>Sex differences in risk preferences (Harris et al., 2006)</t>
  </si>
  <si>
    <t>Journal of Behavioral Decision Making</t>
  </si>
  <si>
    <t>Journal of Applied Psychology</t>
  </si>
  <si>
    <t>Psychological Journal</t>
  </si>
  <si>
    <t>Subjective numeracy and choices under risk (Traczyk et al., 2018)</t>
  </si>
  <si>
    <t>Framing of moral choices (Parkinson &amp; Byrne, 2017)</t>
  </si>
  <si>
    <t>Openness-to-experience influences response to the anchoring effect (McElroy &amp; Dowd, 2007)</t>
  </si>
  <si>
    <t>Self-control’s impact on financial behavior (Strömbäck et al., 2017)</t>
  </si>
  <si>
    <t>Journal of Behavioral and Experimental Finance</t>
  </si>
  <si>
    <t>Focusing on emotions or information in health-related decision dilemmas (Mikels et al., 2010)</t>
  </si>
  <si>
    <t>Journal of Experimental Psychology: Applied</t>
  </si>
  <si>
    <t>Is a fewer amount of dinner plates better than more? (Hsee, 1998)</t>
  </si>
  <si>
    <t>The framing effect in decision making (Tversky &amp; Kahneman, 1981)</t>
  </si>
  <si>
    <t>Students’ assessment as a result of framing (Peters et al., 2006)</t>
  </si>
  <si>
    <t>Is a cheaper gift better? (Hsee, 1998)</t>
  </si>
  <si>
    <t>Anchoring in estimation tasks (Jacowitz &amp; Kahneman, 1995)</t>
  </si>
  <si>
    <t>The effect of frequency program requirements on preferences between rewards (Kivetz &amp; Simonson, 2002)</t>
  </si>
  <si>
    <t>Journal of Marketing Research</t>
  </si>
  <si>
    <t>Brazilian Political Science Review</t>
  </si>
  <si>
    <t>Revista Brasileira de Ciência Política</t>
  </si>
  <si>
    <t>Opinião Púbilca</t>
  </si>
  <si>
    <t>Dados</t>
  </si>
  <si>
    <t>Revista Brasileira de Ciências Sociais</t>
  </si>
  <si>
    <t>Partially replicable</t>
  </si>
  <si>
    <t>Replicable</t>
  </si>
  <si>
    <t>Non-replicable</t>
  </si>
  <si>
    <t>Many Labs 2: Investigating Variation in Replicability Across Samples and Settings</t>
  </si>
  <si>
    <t>Reproducibility of clinical research in critical care: a scoping review</t>
  </si>
  <si>
    <t>Niven et al (2018)</t>
  </si>
  <si>
    <r>
      <t>Analytic reproducibility in articles receiving open data badges at the journal </t>
    </r>
    <r>
      <rPr>
        <sz val="11"/>
        <color rgb="FF333132"/>
        <rFont val="Arial"/>
        <family val="2"/>
      </rPr>
      <t>Psychological Science: an observational study</t>
    </r>
  </si>
  <si>
    <t>What Should Researchers Expect When They Replicate Studies? A Statistical View of Replicability in Psychological Science</t>
  </si>
  <si>
    <t>High Replicability of Newly-Discovered Social-behavioral Findings is Achievable</t>
  </si>
  <si>
    <t>Many Labs 5</t>
  </si>
  <si>
    <t>brady2013</t>
  </si>
  <si>
    <t>djÃ¤rv2017</t>
  </si>
  <si>
    <t>huntingtonklein2018</t>
  </si>
  <si>
    <t>keysar2003</t>
  </si>
  <si>
    <t>kim1999</t>
  </si>
  <si>
    <t>ko2015</t>
  </si>
  <si>
    <t>kovacs2010</t>
  </si>
  <si>
    <t>libby2009</t>
  </si>
  <si>
    <t>markant2014</t>
  </si>
  <si>
    <t>payne2008</t>
  </si>
  <si>
    <t>richter2012</t>
  </si>
  <si>
    <t>sherman2012</t>
  </si>
  <si>
    <t>stÃ¶rmer2016</t>
  </si>
  <si>
    <t>todd2016_2</t>
  </si>
  <si>
    <t>tribushinina2011</t>
  </si>
  <si>
    <t>verdugo2022</t>
  </si>
  <si>
    <t>wilson2014</t>
  </si>
  <si>
    <t>wiltermuth2011</t>
  </si>
  <si>
    <t>zangger2020</t>
  </si>
  <si>
    <t>zhao2016</t>
  </si>
  <si>
    <t>zitek2012</t>
  </si>
  <si>
    <t>aryani2020</t>
  </si>
  <si>
    <t>endress2009</t>
  </si>
  <si>
    <t>garciacastro2020</t>
  </si>
  <si>
    <t>gick1983</t>
  </si>
  <si>
    <t>long2017</t>
  </si>
  <si>
    <t>mirault2018</t>
  </si>
  <si>
    <t>ngo2019</t>
  </si>
  <si>
    <t>shariff2014</t>
  </si>
  <si>
    <t>shavit2022</t>
  </si>
  <si>
    <t>todd2016_1</t>
  </si>
  <si>
    <t>brady2011</t>
  </si>
  <si>
    <t>hughes2013</t>
  </si>
  <si>
    <t>lloyd2017</t>
  </si>
  <si>
    <t>metaxa-kakavouli2018</t>
  </si>
  <si>
    <t>proudfoot2015</t>
  </si>
  <si>
    <t>schaerer2015</t>
  </si>
  <si>
    <t>vasilyeva2018</t>
  </si>
  <si>
    <t>atir2015</t>
  </si>
  <si>
    <t>belding2015</t>
  </si>
  <si>
    <t>brown-iannuzzi2017_1</t>
  </si>
  <si>
    <t>cao2019</t>
  </si>
  <si>
    <t>hernandez2021</t>
  </si>
  <si>
    <t>hopkins2016</t>
  </si>
  <si>
    <t>huh2016</t>
  </si>
  <si>
    <t>jakesch2019</t>
  </si>
  <si>
    <t>jara-ettinger2022</t>
  </si>
  <si>
    <t>kiyonaga2014</t>
  </si>
  <si>
    <t>levine2020</t>
  </si>
  <si>
    <t>lin2018</t>
  </si>
  <si>
    <t>okan2018</t>
  </si>
  <si>
    <t>okeefe2018</t>
  </si>
  <si>
    <t>petersen2017</t>
  </si>
  <si>
    <t>porter_2016_2</t>
  </si>
  <si>
    <t>porter_2016_3</t>
  </si>
  <si>
    <t>rogers2017</t>
  </si>
  <si>
    <t>rottman2019</t>
  </si>
  <si>
    <t>rychlowska2017</t>
  </si>
  <si>
    <t>sloman2016_1</t>
  </si>
  <si>
    <t>sloman2016_2</t>
  </si>
  <si>
    <t>tworek2016_1</t>
  </si>
  <si>
    <t>albarracÃ­n2008</t>
  </si>
  <si>
    <t>austerweil2011</t>
  </si>
  <si>
    <t>balas2006</t>
  </si>
  <si>
    <t>birch2007_1</t>
  </si>
  <si>
    <t>blair2007</t>
  </si>
  <si>
    <t>blankenship2008</t>
  </si>
  <si>
    <t>brandone2015</t>
  </si>
  <si>
    <t>charpentier2016</t>
  </si>
  <si>
    <t>correll2007</t>
  </si>
  <si>
    <t>critcher2013</t>
  </si>
  <si>
    <t>daffner2000</t>
  </si>
  <si>
    <t>dai2008</t>
  </si>
  <si>
    <t>daw2011</t>
  </si>
  <si>
    <t>dehaene2009</t>
  </si>
  <si>
    <t>feinberg2013</t>
  </si>
  <si>
    <t>fischer2008</t>
  </si>
  <si>
    <t>fu2014</t>
  </si>
  <si>
    <t>galperin2020</t>
  </si>
  <si>
    <t>goff2014</t>
  </si>
  <si>
    <t>gong2019</t>
  </si>
  <si>
    <t>griffiths2006</t>
  </si>
  <si>
    <t>henderson2008</t>
  </si>
  <si>
    <t>jones2006</t>
  </si>
  <si>
    <t>kacperczyk2021</t>
  </si>
  <si>
    <t>lau2008</t>
  </si>
  <si>
    <t>liverence2015</t>
  </si>
  <si>
    <t>livingston2012</t>
  </si>
  <si>
    <t>maddux2008</t>
  </si>
  <si>
    <t>mani2013</t>
  </si>
  <si>
    <t>monin2008</t>
  </si>
  <si>
    <t>okonofua2022</t>
  </si>
  <si>
    <t>otto2014</t>
  </si>
  <si>
    <t>ranzini2009</t>
  </si>
  <si>
    <t>read2012</t>
  </si>
  <si>
    <t>risen2008</t>
  </si>
  <si>
    <t>savani2010</t>
  </si>
  <si>
    <t>schechtman2010</t>
  </si>
  <si>
    <t>schnall2008</t>
  </si>
  <si>
    <t>sheppes2011</t>
  </si>
  <si>
    <t>storm2015</t>
  </si>
  <si>
    <t>suppes1965</t>
  </si>
  <si>
    <t>tamir2012</t>
  </si>
  <si>
    <t>vohs2006</t>
  </si>
  <si>
    <t>wal2021</t>
  </si>
  <si>
    <t>xu2015</t>
  </si>
  <si>
    <t>birch2007_2</t>
  </si>
  <si>
    <t>bourrat2011</t>
  </si>
  <si>
    <t>catarino2015</t>
  </si>
  <si>
    <t>child2018</t>
  </si>
  <si>
    <t>cohen2011</t>
  </si>
  <si>
    <t>durso2016</t>
  </si>
  <si>
    <t>gray2007</t>
  </si>
  <si>
    <t>greene2008</t>
  </si>
  <si>
    <t>krauss2003</t>
  </si>
  <si>
    <t>li2020</t>
  </si>
  <si>
    <t>morris2008</t>
  </si>
  <si>
    <t>reinecke2013</t>
  </si>
  <si>
    <t>reis2018</t>
  </si>
  <si>
    <t>semrow2020</t>
  </si>
  <si>
    <t>sofer2015</t>
  </si>
  <si>
    <t>tarampi2016</t>
  </si>
  <si>
    <t>the original doesn't give adults stats, the t test we're using is from the replication based on the raw data, for French adults only. Also, student screwed up and used original data for both (wrong variable name in a couple places). I fixed it and ran their code.</t>
  </si>
  <si>
    <t>vohs2013</t>
  </si>
  <si>
    <t>alais2004</t>
  </si>
  <si>
    <t>chou2016</t>
  </si>
  <si>
    <t>dale2011</t>
  </si>
  <si>
    <t>dubey2020</t>
  </si>
  <si>
    <t>exline2008</t>
  </si>
  <si>
    <t>forwood2013</t>
  </si>
  <si>
    <t>freeman2011</t>
  </si>
  <si>
    <t>gibson2013</t>
  </si>
  <si>
    <t>gray2014</t>
  </si>
  <si>
    <t>hart2018</t>
  </si>
  <si>
    <t>konkle2011</t>
  </si>
  <si>
    <t>kouchaki2018</t>
  </si>
  <si>
    <t>najemnik2005</t>
  </si>
  <si>
    <t>nook2017</t>
  </si>
  <si>
    <t>obrien2015</t>
  </si>
  <si>
    <t>paxton2012</t>
  </si>
  <si>
    <t>piff2012</t>
  </si>
  <si>
    <t>santello1998</t>
  </si>
  <si>
    <t>savani2012</t>
  </si>
  <si>
    <t>yeshurun2003</t>
  </si>
  <si>
    <t>brown-iannuzzi2017_2</t>
  </si>
  <si>
    <t>chopra2019</t>
  </si>
  <si>
    <t>craig2014</t>
  </si>
  <si>
    <t>franke2016</t>
  </si>
  <si>
    <t>greenberg2016</t>
  </si>
  <si>
    <t>haimovitz2016_1</t>
  </si>
  <si>
    <t>haimovitz2016_2</t>
  </si>
  <si>
    <t>heck2020</t>
  </si>
  <si>
    <t>jordan2017_1</t>
  </si>
  <si>
    <t>jordan2017_2</t>
  </si>
  <si>
    <t>korman2020</t>
  </si>
  <si>
    <t>kupor2015</t>
  </si>
  <si>
    <t>lewis2015</t>
  </si>
  <si>
    <t>luttrell2019</t>
  </si>
  <si>
    <t>minson2020</t>
  </si>
  <si>
    <t>nekmat2019</t>
  </si>
  <si>
    <t>oh2019</t>
  </si>
  <si>
    <t>peer2022</t>
  </si>
  <si>
    <t>pilditch2019</t>
  </si>
  <si>
    <t>porter_2016_1</t>
  </si>
  <si>
    <t>porter_2016_4</t>
  </si>
  <si>
    <t>porter_2016_5</t>
  </si>
  <si>
    <t>scopelliti2015_1</t>
  </si>
  <si>
    <t>scopelliti2015_2</t>
  </si>
  <si>
    <t>shah2015</t>
  </si>
  <si>
    <t>sharif2016</t>
  </si>
  <si>
    <t>stavrova2020</t>
  </si>
  <si>
    <t>vankoningsbruggen2017</t>
  </si>
  <si>
    <t>wilkins2014</t>
  </si>
  <si>
    <t>yang2018</t>
  </si>
  <si>
    <t>yousif2019</t>
  </si>
  <si>
    <t>zaval2015</t>
  </si>
  <si>
    <t>Journal of Experimental Psychology: General</t>
  </si>
  <si>
    <t>Language, Cognition and Neuroscience</t>
  </si>
  <si>
    <t>Cell Systems</t>
  </si>
  <si>
    <t>country_o_paper</t>
  </si>
  <si>
    <t>Social Psychological and Personality Science</t>
  </si>
  <si>
    <t>Psychophysiology</t>
  </si>
  <si>
    <t>Proceedings of the National Academy of Sciences of the United States of America</t>
  </si>
  <si>
    <t>PLOS One</t>
  </si>
  <si>
    <t>Journals of Gerontology: Psychological Sciences</t>
  </si>
  <si>
    <t xml:space="preserve">Cognition </t>
  </si>
  <si>
    <t>Netherlands</t>
  </si>
  <si>
    <t>Scientific Reports</t>
  </si>
  <si>
    <t>UK</t>
  </si>
  <si>
    <t xml:space="preserve"> </t>
  </si>
  <si>
    <t>Journal of Experimental Psychology: Learning Memory and Cognition</t>
  </si>
  <si>
    <t>Quarterly Journal of Experimental Psychology</t>
  </si>
  <si>
    <t>Journal of Cognitive Neuroscience</t>
  </si>
  <si>
    <t>Behavior Research Methods</t>
  </si>
  <si>
    <t>Neuropsychologia</t>
  </si>
  <si>
    <t>Journal of Neuroscience</t>
  </si>
  <si>
    <t>Linguistics</t>
  </si>
  <si>
    <t>Germany</t>
  </si>
  <si>
    <t xml:space="preserve">Nature Communications </t>
  </si>
  <si>
    <t>Neuroimage</t>
  </si>
  <si>
    <t>Proceedings of Sinn und Bedeutung</t>
  </si>
  <si>
    <t>Administrative Science Quarterly</t>
  </si>
  <si>
    <t>Organization Science</t>
  </si>
  <si>
    <t>Evolutionary Psychology</t>
  </si>
  <si>
    <t>Cognitive Psychology</t>
  </si>
  <si>
    <t>Journal of Experimental Psychological: General</t>
  </si>
  <si>
    <t xml:space="preserve">Work, Aging and Retirement </t>
  </si>
  <si>
    <t xml:space="preserve">Current Biology </t>
  </si>
  <si>
    <t>Psychological Review</t>
  </si>
  <si>
    <t>Conference on Human Factors in Computing Systems</t>
  </si>
  <si>
    <t xml:space="preserve">Nature </t>
  </si>
  <si>
    <t>CHI PLAY 2019</t>
  </si>
  <si>
    <t>Communication Research</t>
  </si>
  <si>
    <t>Cyberpsychology, Behavior, and Social Networking</t>
  </si>
  <si>
    <t>White participants with high external motivation to respond without prejudice toward Blacks have an attentional bias toward neutral Black faces presented for 30 ms, but have an attentional bias away from neutral Black faces presented for 450 ms. These biases are eliminated when the faces display happy expressions.</t>
  </si>
  <si>
    <t>Participants do not exhibit a delay in response when switching between pronouncing regular words and pronouncing nonwords.</t>
  </si>
  <si>
    <t xml:space="preserve">Naive participants' judgments of the power and leadership of CEO faces are correlated positively with their companies' profits. </t>
  </si>
  <si>
    <t>Repetition Blindness (a reduction in reporting seeing an orthographically identical or similar word when it is presented in close temporal proximity amidst a series of rapidly-presented words or non-words) will occur even for non-identical orthographical neighbors (e.g., boss and bass) even when the stimuli are nonwords and when they are never repeated in the string of stimuli.</t>
  </si>
  <si>
    <t>An increase in participants' public moral image will be related to an increased willingness to reconcile only for perpetrators, whereas an increase in participants' sense of power will be related to an increased willingness to reconcile only for victims.</t>
  </si>
  <si>
    <t>Participants instructed to avoid race or use race in categorizing tools and guns exhibited less 1/f noise than participants in a control condition where no mention of race was made</t>
  </si>
  <si>
    <t>Participants with reduced self-regulation resources are expected to exhibit more pronounced confirmatory information processing than non-depleted and ego-threatened participants, while no significant differences regarding confirmatory information processing are expected between non-depleted and ego-threatened participants.</t>
  </si>
  <si>
    <t>Participants will prefer descriptions of the city of Los Angeles that are more concrete/less abstract when they are exposed to the words "Los Angeles" during an earlier exercise. Participants who are not shown "Los Angeles" during this earlier exercise will prefer relatively less concrete/more abstract descriptions of the city of Los Angeles.</t>
  </si>
  <si>
    <t>Word processing is slower for dense near semantic neighborhoods, i.e. words with many near neighbors are processed more slowly than words with few near neighbors.</t>
  </si>
  <si>
    <t>Words denoting objects that typically occur high in the visual field hinder identification of targets apearing at the top of the display, whereas words denoting low objects hinder target identification at the bottom of the display.</t>
  </si>
  <si>
    <t>Survival processing yields better memory retention than a control condition with a contextually rich (but non-survival-relevant) encoding scenario.</t>
  </si>
  <si>
    <t>When there are no nonoccurrences of the outcome in the presence of just one cause (Cause A), increasing the number of occurrences of the outcome in the presence of that cause alone does not alter the conditional contingency. Under the conditional contingency hypothesis, therefore, such manipulations should not have a significant effect on causal judgment. As opposed to this, the tested predictions are that (a) such occurrences raise judgments of A as cause for the outcome, and (b) lower judgments of an alternative cause B.</t>
  </si>
  <si>
    <t>When participants read sequences of digits and a task requires the joint processing of non-adjacent pairs of digits, they learn exclusively the relation between these non-adjacent digits and not relations between adjacent digits thus suggesting attention instead of spatial contiguity as the critical factor.</t>
  </si>
  <si>
    <t>Drug-use is positively correlated with learning from experience under "sunny" conditions (in which win-loss probabilities are known prior to making a series of choices) but not correlated under "cloudy" conditions (in which the win-loss probabilities are not known in advance and can only be learned through trial and error).</t>
  </si>
  <si>
    <t>Drinking lemonade with sugar reduces the attraction effect (the reliance on intuitive, heuristic-based decision making) compared to drinking lemonade with sugar substitute among subjects with depleted mental resources.</t>
  </si>
  <si>
    <t>There are semantic interference effects in the delayed naming conditions such that individuals are slower to respond to semantically related word-picture pairs than semantically unrelated word-picture pairs.</t>
  </si>
  <si>
    <t>ParticipantsÕ ambivalence scores differ across three conditions (implemental mind-set one-sided focus, implemental mind-set two-sided focus, and neutral mind-set), with the implemental mind-set one-sided group showing a significantly lower amount of ambivalence compared to the implemental mind-set two-sided group. Participants assigned to the neutral mind-set condition score in the middle, although not significantly different from either group.</t>
  </si>
  <si>
    <t>Visual statistical learning for colors operates in a feature-based manner if the covariance between feature dimensions is disrupted.</t>
  </si>
  <si>
    <t>Attentional selection is suppressed, delayed, and diffused in time during the attentional blink and these effects are dissociated by their time course.</t>
  </si>
  <si>
    <t>People who read an essay undermining free will show more cheating in a simple arithmetic task than people who read a control essay.</t>
  </si>
  <si>
    <t>When confronted with more than two pieces of information, the salient selection criterion is expected information quality which causes a preference for consistent information.</t>
  </si>
  <si>
    <t>There will be a triple interaction with man's availability, participant's conception risk, and participant's partnership status such that manÕs availability and participantÕs conception risk interact significantly for partnered women but not for unpartnered ones. In particular, this interaction will show that women with a partner will prefer attached men during the less fertile days of their cycle and single men during the more fertile days of their cycle.</t>
  </si>
  <si>
    <t>When asked to intentionally forget a presented item list participants will forget items that are repeated twice with several other words in between (spaced presentation) more frequently than when they are not directed to forget. This effect will not occur for items that are repeated twice consecutively (massed presentation).</t>
  </si>
  <si>
    <t>Interindividual-intergroup discontinuity in the domain of correspondent outcomes: the roles of relativistic concern, perceived categorization, and the doctrine of mutual assured destruction,</t>
  </si>
  <si>
    <t>Loving those who justify inequality: the effects of system threat on attraction to women who embody benevolent sexist ideals,</t>
  </si>
  <si>
    <t>On the relative independence of thinking biases and cognitive ability,</t>
  </si>
  <si>
    <t>Walking on eggshells: How expressing relationship insecurities perpetuates them,</t>
  </si>
  <si>
    <t>The cost of lower self-esteem: Testing a self-and social-bonds model of health,</t>
  </si>
  <si>
    <t>Self-handicapping, excuse making, and counterfactual thinking: Consequences for self-esteem and future motivation,</t>
  </si>
  <si>
    <t>ÒIn?Group LoveÓ and ÒOut?Group HateÓ as Motives for Individual Participation in Intergroup Conflict: A New Game Paradigm</t>
  </si>
  <si>
    <t>On the additive effects of stimulus quality and word frequency in lexical decision: Evidence for opposing interactive influences revealed by RT distributional analyses,</t>
  </si>
  <si>
    <t>Dynamics of self-regulation: How (un)accomplished goal actions affect motivation,</t>
  </si>
  <si>
    <t>The Stroop effect: Why proportion congruent has nothing to do with congruency and everything to do with contingency,</t>
  </si>
  <si>
    <t>Stereotypes and retrieval-provoked illusory source recollections,</t>
  </si>
  <si>
    <t>The ultimate sampling dilemma in experience-based decision making,</t>
  </si>
  <si>
    <t>A single-system account of the relationship between priming, recognition, and fluency,</t>
  </si>
  <si>
    <t>Hedonic and instrumental motives in anger regulation,</t>
  </si>
  <si>
    <t>Working memory costs of task switching,</t>
  </si>
  <si>
    <t>Perceptual mechanisms that characterize gender differences in decoding women's sexual intent,</t>
  </si>
  <si>
    <t>Social identity contingencies: How diversity cues signal threat or safety for African Americans in mainstream institutions,</t>
  </si>
  <si>
    <t>Priming Addition Facts With Semantic Relations</t>
  </si>
  <si>
    <t>Survey1 Adults</t>
  </si>
  <si>
    <t>Survey1 YoungAdults</t>
  </si>
  <si>
    <t>Survey2 YoungAdults</t>
  </si>
  <si>
    <t>Survey2 Adults</t>
  </si>
  <si>
    <t>Annual Review of Psychology</t>
  </si>
  <si>
    <t>POS</t>
  </si>
  <si>
    <t>NEG</t>
  </si>
  <si>
    <t>Klein et al., (2018)</t>
  </si>
  <si>
    <t>Huang, Y., Tse, C. S., &amp; Cho, K. W. (2014). Living in the north is not necessarily favorable: Different metaphoric associations between cardinal direction and valence in Hong Kong and in the United States. European Journal of Social Psychology, 44, 360-369.</t>
  </si>
  <si>
    <t>Kay, A. C., Laurin, K., Fitzsimons, G. M., &amp; Landau, M. J. (2014). A functional basis for structure-seeking: Exposure to structure promotes willingness to engage in motivated action. Journal of Experimental Psychology: General, 143, 486-491.</t>
  </si>
  <si>
    <t>Alter, A. L., Oppenheimer, D. M., Epley, N., &amp; Eyre, R. N. (2007). Overcoming intuition: metacognitive difficulty activates analytic reasoning. Journal of Experimental Psychology: General, 136, 569.</t>
  </si>
  <si>
    <t>Graham, J., Haidt, J., &amp; Nosek, B. A. (2009). Liberals and conservatives rely on different sets of moral foundations. Journal of Personality and Social Psychology, 96, 1029–1046.</t>
  </si>
  <si>
    <t>Rottenstreich, Y., &amp; Hsee, C. K. (2001). Money, kisses, and electric shocks: On the affective psychology of risk. Psychological Science, 12, 185-190.</t>
  </si>
  <si>
    <t>Bauer, M. A., Wilkie, J. E., Kim, J. K., &amp; Bodenhausen, G. V. (2012). Cuing consumerism situational materialism undermines personal and social well-being. Psychological Science, 23, 517-523.</t>
  </si>
  <si>
    <t>Miyamoto, Y, &amp; Kitayama, S. (2002). Cultural variation in correspondence bias: The critical role of attitude diagnosticity of socially constrained behavior. Journal of Personality and Social Psychology, 83,1239-1248.</t>
  </si>
  <si>
    <t>Inbar, Y., Pizarro, D., Knobe, J., &amp; Bloom, P. (2009). Disgust sensitivity predicts intuitive disapproval of gays. Emotion, 9, 435-439.</t>
  </si>
  <si>
    <t>Critcher, C. R., &amp; Gilovich, T. (2008). Incidental environmental anchors. Journal of Behavioral Decision Making, 21, 241-251.</t>
  </si>
  <si>
    <t>Van Lange, P. A. M., Otten, W., De Bruin, E. M. N., &amp; Joireman, J. A. (1997). Development of prosocial, individualistic, and competitive orientations: Theory and preliminary evidence. Journal of Personality and Social Psychology, 4, 733 - 746.</t>
  </si>
  <si>
    <t>Hauser, M., Cushman, F., Young, L., Kang-Xing Jin, R., &amp; Mikhail, J. (2007). A dissociation between moral judgments and justifications. Mind &amp; Language, 22, 1-21.</t>
  </si>
  <si>
    <t>Anderson, C., Kraus, M. W., Galinsky, A. D., &amp; Keltner, D. (2012). The local-ladder effect social status and subjective well-being. Psychological science, 23, 764-771.</t>
  </si>
  <si>
    <t xml:space="preserve">Ross, L., Greene, D., &amp; House, P. (1977). The “false consensus effect”: An egocentric bias in social perception and attribution processes. Journal of Experimental Social Psychology, 13, 279-301. </t>
  </si>
  <si>
    <t>Giessner, S. R., &amp; Schubert, T. W. (2007). High in the hierarchy: How vertical location and judgments of leaders’ power are interrelated. Organizational Behavior and Human Decision Processes, 104, 30-44.</t>
  </si>
  <si>
    <t xml:space="preserve">Tversky, A., Kahneman, D. (1981). The framing of decisions and the psychology of choice. Science, 211, 453-458. </t>
  </si>
  <si>
    <t>Risen, J. L., &amp; Gilovich, T. (2008). Why people are reluctant to tempt fate. Journal of Personality and Social Psychology, 95, 293.</t>
  </si>
  <si>
    <t>Savani, K., Markus, H. R., Naidu, N. V. R., Kumar, S., &amp; Berlia, N. (2010). What counts as a choice? US Americans are more likely than Indians to construe actions as choices. Psychological Science, 21, 391-398.</t>
  </si>
  <si>
    <t>Norenzayan, A., Smith, E. E., Kim, B. J., &amp; Nisbett, R. E. (2002). Cultural preferences for formal versus intuitive reasoning. Cognitive Science, 26, 653-684.</t>
  </si>
  <si>
    <t>Hsee, C. K. (1998). Less is better: When low-value options are valued more highly than high-value options. Journal of Behavioral Decision Making, 11, 107-121.</t>
  </si>
  <si>
    <t>Gray, K., &amp; Wegner, D. M. (2009). Moral typecasting: divergent perceptions of moral agents and moral patients. Journal of Personality and Social Psychology, 96, 505.</t>
  </si>
  <si>
    <t>Zhong, C. B., &amp; Liljenquist, K. (2006). Washing away your sins: Threatened morality and physical cleansing. Science, 313, 1451–1452.</t>
  </si>
  <si>
    <t>Schwarz, N., Strack, F., &amp; Mai, H. P. (1991). Assimilation and contrast effects in part-whole question sequences: A conversational logic analysis. Public Opinion Quarterly, 55, 3-23.</t>
  </si>
  <si>
    <t>Shafir, E. (1993). Choosing versus rejecting: Why some options are both better and worse than others. Memory &amp; Cognition, 21, 546-556.</t>
  </si>
  <si>
    <t xml:space="preserve">Zaval, L., Keenan, E. A., Johnson, E. J., &amp; Weber, E. U. (2014). How warm days increase belief in global warming. Nature Climate Change, 4, 143-147. </t>
  </si>
  <si>
    <t>Knobe, J. (2003). Intentional action and side effects in ordinary language. Analysis, 63, 190-193.</t>
  </si>
  <si>
    <t>Tversky, A., &amp; Gati, I. (1978). Studies of similarity. Cognition and categorization, 1, 79-98.</t>
  </si>
  <si>
    <t>European Journal of Social Psychology</t>
  </si>
  <si>
    <t xml:space="preserve"> Journal of Personality and Social Psychology</t>
  </si>
  <si>
    <t>Organizational Behavior and Human Decision Processes</t>
  </si>
  <si>
    <t xml:space="preserve">Science </t>
  </si>
  <si>
    <t>Memory and Cognition</t>
  </si>
  <si>
    <t>Nature Climate Change</t>
  </si>
  <si>
    <t xml:space="preserve">Analysis </t>
  </si>
  <si>
    <t>Cognition and Categorization</t>
  </si>
  <si>
    <t>Advances in Methods and Practices in Psychological Science</t>
  </si>
  <si>
    <r>
      <t>Amato MB, Barbas CS, Medeiros DM, Magaldi RB, Schettino GP, Lorenzi-Filho G et al. Effect of a protective-ventilation strategy on mortality in the acute respiratory distress syndrome. N Engl J Med.</t>
    </r>
    <r>
      <rPr>
        <i/>
        <sz val="11"/>
        <color theme="1"/>
        <rFont val="Arial"/>
        <family val="2"/>
      </rPr>
      <t xml:space="preserve"> </t>
    </r>
    <r>
      <rPr>
        <sz val="11"/>
        <color theme="1"/>
        <rFont val="Arial"/>
        <family val="2"/>
      </rPr>
      <t>1998;338:347-354.</t>
    </r>
  </si>
  <si>
    <r>
      <t>Aitkenhead AR, Pepperman ML, Willatts SM, Coates PD, Park GR, Bodenham AR et al. Comparison of propofol and midazolam for sedation in critically ill patients. Lancet.</t>
    </r>
    <r>
      <rPr>
        <i/>
        <sz val="10"/>
        <color theme="1"/>
        <rFont val="Times New Roman"/>
        <family val="1"/>
      </rPr>
      <t xml:space="preserve"> </t>
    </r>
    <r>
      <rPr>
        <sz val="10"/>
        <color theme="1"/>
        <rFont val="Times New Roman"/>
        <family val="1"/>
      </rPr>
      <t>1989;2:704-709.</t>
    </r>
  </si>
  <si>
    <t>Lancet</t>
  </si>
  <si>
    <r>
      <t>P</t>
    </r>
    <r>
      <rPr>
        <sz val="8"/>
        <color theme="1"/>
        <rFont val="Times New Roman"/>
        <family val="1"/>
      </rPr>
      <t xml:space="preserve"> &lt; .001</t>
    </r>
  </si>
  <si>
    <r>
      <t>Kress JP, Pohlman AS, O'Connor MF, Hall JB. Daily interruption of sedative infusions in critically ill patients undergoing mechanical ventilation. N Engl J Med.</t>
    </r>
    <r>
      <rPr>
        <i/>
        <sz val="10"/>
        <color theme="1"/>
        <rFont val="Times New Roman"/>
        <family val="1"/>
      </rPr>
      <t xml:space="preserve"> </t>
    </r>
    <r>
      <rPr>
        <sz val="10"/>
        <color theme="1"/>
        <rFont val="Times New Roman"/>
        <family val="1"/>
      </rPr>
      <t>2000;342:1471-1477.</t>
    </r>
  </si>
  <si>
    <r>
      <t>Brochard L, Rauss A, Benito S, Conti G. Comparison of three methods of gradual withdrawal from ventilatory support during weaning from mechanical ventilation. Am J Resp Crit Care Med.</t>
    </r>
    <r>
      <rPr>
        <i/>
        <sz val="10"/>
        <color theme="1"/>
        <rFont val="Times New Roman"/>
        <family val="1"/>
      </rPr>
      <t xml:space="preserve"> </t>
    </r>
    <r>
      <rPr>
        <sz val="10"/>
        <color theme="1"/>
        <rFont val="Times New Roman"/>
        <family val="1"/>
      </rPr>
      <t>1994;150:896-903.</t>
    </r>
  </si>
  <si>
    <t>American Journal of Respiratory and Critical Care Medicine</t>
  </si>
  <si>
    <r>
      <t>Kramer N, Meyer TJ, Meharg J, Cece RD. Randomized, prospective trial of noninvasive positive pressure ventilation in acute respiratory failure. Am J Resp Crit Care Med.</t>
    </r>
    <r>
      <rPr>
        <i/>
        <sz val="10"/>
        <color theme="1"/>
        <rFont val="Times New Roman"/>
        <family val="1"/>
      </rPr>
      <t xml:space="preserve"> </t>
    </r>
    <r>
      <rPr>
        <sz val="10"/>
        <color theme="1"/>
        <rFont val="Times New Roman"/>
        <family val="1"/>
      </rPr>
      <t>1995;151:1799-1806.</t>
    </r>
  </si>
  <si>
    <r>
      <t>Nava S, Gregoretti C, Fanfulla F, Squadrone E, Grassi M, Carlucci A et al. Noninvasive ventilation to prevent respiratory failure after extubation in high-risk patients*. Crit Care Med.</t>
    </r>
    <r>
      <rPr>
        <i/>
        <sz val="11"/>
        <color theme="1"/>
        <rFont val="Arial"/>
        <family val="2"/>
      </rPr>
      <t xml:space="preserve"> </t>
    </r>
    <r>
      <rPr>
        <sz val="11"/>
        <color theme="1"/>
        <rFont val="Arial"/>
        <family val="2"/>
      </rPr>
      <t>2005;33:2465-2470.</t>
    </r>
  </si>
  <si>
    <t>Critical Care Medicine</t>
  </si>
  <si>
    <r>
      <t>Bersten AD, Holt AW, Vedig AE, Skowronski GA, Baggoley CJ. Treatment of severe cardiogenic pulmonary edema with continuous positive airway pressure delivered by face mask. N Engl J Med.</t>
    </r>
    <r>
      <rPr>
        <i/>
        <sz val="10"/>
        <color theme="1"/>
        <rFont val="Times New Roman"/>
        <family val="1"/>
      </rPr>
      <t xml:space="preserve"> </t>
    </r>
    <r>
      <rPr>
        <sz val="10"/>
        <color theme="1"/>
        <rFont val="Times New Roman"/>
        <family val="1"/>
      </rPr>
      <t>1991;325:1825-1830.</t>
    </r>
  </si>
  <si>
    <r>
      <t>Bott J, Carroll MP, Conway JH, Keilty SE, Ward EM, Brown AM et al. Randomised controlled trial of nasal ventilation in acute ventilatory failure due to chronic obstructive airways disease. Lancet.</t>
    </r>
    <r>
      <rPr>
        <i/>
        <sz val="10"/>
        <color theme="1"/>
        <rFont val="Times New Roman"/>
        <family val="1"/>
      </rPr>
      <t xml:space="preserve"> </t>
    </r>
    <r>
      <rPr>
        <sz val="10"/>
        <color theme="1"/>
        <rFont val="Times New Roman"/>
        <family val="1"/>
      </rPr>
      <t>1993;341:1555-1557.</t>
    </r>
  </si>
  <si>
    <r>
      <t>Squadrone V, Coha M, Cerutti E, Schellino MM, Biolino P, Occella P et al. Continuous positive airway pressure for treatment of postoperative hypoxemia: a randomized controlled trial. JAMA.</t>
    </r>
    <r>
      <rPr>
        <i/>
        <sz val="10"/>
        <color theme="1"/>
        <rFont val="Times New Roman"/>
        <family val="1"/>
      </rPr>
      <t xml:space="preserve"> </t>
    </r>
    <r>
      <rPr>
        <sz val="10"/>
        <color theme="1"/>
        <rFont val="Times New Roman"/>
        <family val="1"/>
      </rPr>
      <t>2005;293:589-595.</t>
    </r>
  </si>
  <si>
    <r>
      <t>Mimoz O, Pieroni L, Lawrence C, Edouard A, Costa Y, Samii K et al. Prospective, randomized trial of two antiseptic solutions for prevention of central venous or arterial catheter colonization and infection in intensive care unit patients. Crit Care Med.</t>
    </r>
    <r>
      <rPr>
        <i/>
        <sz val="10"/>
        <color theme="1"/>
        <rFont val="Times New Roman"/>
        <family val="1"/>
      </rPr>
      <t xml:space="preserve"> </t>
    </r>
    <r>
      <rPr>
        <sz val="10"/>
        <color theme="1"/>
        <rFont val="Times New Roman"/>
        <family val="1"/>
      </rPr>
      <t>1996;24:1818-1823.</t>
    </r>
  </si>
  <si>
    <r>
      <t>Parienti JJ, Thirion M, Megarbane B, Souweine B, Ouchikhe A, Polito A et al. Femoral vs jugular venous catheterization and risk of nosocomial events in adults requiring acute renal replacement therapy: a randomized controlled trial. JAMA.</t>
    </r>
    <r>
      <rPr>
        <i/>
        <sz val="11"/>
        <color theme="1"/>
        <rFont val="Arial"/>
        <family val="2"/>
      </rPr>
      <t xml:space="preserve"> </t>
    </r>
    <r>
      <rPr>
        <sz val="11"/>
        <color theme="1"/>
        <rFont val="Arial"/>
        <family val="2"/>
      </rPr>
      <t>2008;299:2413-2422.</t>
    </r>
  </si>
  <si>
    <r>
      <t>Jain MK, Heyland D, Dhaliwal R, Day AG, Drover J, Keefe L et al. Dissemination of the Canadian clinical practice guidelines for nutrition support: Results of a cluster randomized controlled trial. Crit Care Med.</t>
    </r>
    <r>
      <rPr>
        <i/>
        <sz val="11"/>
        <color theme="1"/>
        <rFont val="Arial"/>
        <family val="2"/>
      </rPr>
      <t xml:space="preserve"> </t>
    </r>
    <r>
      <rPr>
        <sz val="11"/>
        <color theme="1"/>
        <rFont val="Arial"/>
        <family val="2"/>
      </rPr>
      <t>2006;34:2362-2369.</t>
    </r>
  </si>
  <si>
    <r>
      <t>Brower RG, Lanken PN, MacIntyre N, Matthay MA, Morris A, Ancukiewicz M et al. Higher versus lower positive end-expiratory pressures in patients with the acute respiratory distress syndrome. N Engl J Med.</t>
    </r>
    <r>
      <rPr>
        <i/>
        <sz val="11"/>
        <color theme="1"/>
        <rFont val="Arial"/>
        <family val="2"/>
      </rPr>
      <t xml:space="preserve"> </t>
    </r>
    <r>
      <rPr>
        <sz val="11"/>
        <color theme="1"/>
        <rFont val="Arial"/>
        <family val="2"/>
      </rPr>
      <t>2004;351:327-336</t>
    </r>
  </si>
  <si>
    <t xml:space="preserve">Germany </t>
  </si>
  <si>
    <t>Intensive Care Medicine</t>
  </si>
  <si>
    <r>
      <t>Lundin S, Mang H, Smithies M, Stenqvist O, Frostell C. Inhalation of nitric oxide in acute lung injury: results of a European multicentre study. The European Study Group of Inhaled Nitric Oxide. Intensive Care Med.</t>
    </r>
    <r>
      <rPr>
        <i/>
        <sz val="11"/>
        <color theme="1"/>
        <rFont val="Arial"/>
        <family val="2"/>
      </rPr>
      <t xml:space="preserve"> </t>
    </r>
    <r>
      <rPr>
        <sz val="11"/>
        <color theme="1"/>
        <rFont val="Arial"/>
        <family val="2"/>
      </rPr>
      <t>1999;25:911-919.</t>
    </r>
  </si>
  <si>
    <r>
      <t>Spragg RG, Lewis JF, Walmrath HD, Johannigman J, Bellingan G, Laterre PF et al. Effect of recombinant surfactant protein C-based surfactant on the acute respiratory distress syndrome. N Engl J Med.</t>
    </r>
    <r>
      <rPr>
        <i/>
        <sz val="10"/>
        <color theme="1"/>
        <rFont val="Times New Roman"/>
        <family val="1"/>
      </rPr>
      <t xml:space="preserve"> </t>
    </r>
    <r>
      <rPr>
        <sz val="10"/>
        <color theme="1"/>
        <rFont val="Times New Roman"/>
        <family val="1"/>
      </rPr>
      <t>2004;351:884-892.</t>
    </r>
  </si>
  <si>
    <r>
      <t>Rice TW, Mogan S, Hays MA, Bernard GR, Jensen GL, Wheeler AP. Randomized trial of initial trophic versus full-energy enteral nutrition in mechanically ventilated patients with acute respiratory failure. Crit Care Med.</t>
    </r>
    <r>
      <rPr>
        <i/>
        <sz val="11"/>
        <color theme="1"/>
        <rFont val="Arial"/>
        <family val="2"/>
      </rPr>
      <t xml:space="preserve"> </t>
    </r>
    <r>
      <rPr>
        <sz val="11"/>
        <color theme="1"/>
        <rFont val="Arial"/>
        <family val="2"/>
      </rPr>
      <t>2011;39:967-974.</t>
    </r>
  </si>
  <si>
    <r>
      <t>Craig TR, Duffy MJ, Shyamsundar M, McDowell C, O&amp;apos;Kane CM, Elborn JS et al. A Randomized Clinical Trial of Hydroxymethylglutaryl– Coenzyme A Reductase Inhibition for Acute Lung Injury (The HARP Study). Am J Resp Crit Care Med.</t>
    </r>
    <r>
      <rPr>
        <i/>
        <sz val="10"/>
        <color theme="1"/>
        <rFont val="Times New Roman"/>
        <family val="1"/>
      </rPr>
      <t xml:space="preserve"> </t>
    </r>
    <r>
      <rPr>
        <sz val="10"/>
        <color theme="1"/>
        <rFont val="Times New Roman"/>
        <family val="1"/>
      </rPr>
      <t>2011;183:620-626.</t>
    </r>
  </si>
  <si>
    <r>
      <t>Baudo F, Caimi TM, de Cataldo F, Ravizza A, Arlati S, Casella G et al. Antithrombin III (ATIII) replacement therapy in patients with sepsis and/or postsurgical complications: a controlled double-blind, randomized, multicenter study. Intensive Care Med.</t>
    </r>
    <r>
      <rPr>
        <i/>
        <sz val="11"/>
        <color theme="1"/>
        <rFont val="Arial"/>
        <family val="2"/>
      </rPr>
      <t xml:space="preserve"> </t>
    </r>
    <r>
      <rPr>
        <sz val="11"/>
        <color theme="1"/>
        <rFont val="Arial"/>
        <family val="2"/>
      </rPr>
      <t>1998;24:336-342.</t>
    </r>
  </si>
  <si>
    <r>
      <t>Fisher CJ, Jr., Dhainaut JF, Opal SM, Pribble JP, Balk RA, Slotman GJ et al. Recombinant human interleukin 1 receptor antagonist in the treatment of patients with sepsis syndrome. Results from a randomized, double-blind, placebo-controlled trial. Phase III rhIL-1ra Sepsis Syndrome Study Group. JAMA.</t>
    </r>
    <r>
      <rPr>
        <i/>
        <sz val="10"/>
        <color theme="1"/>
        <rFont val="Times New Roman"/>
        <family val="1"/>
      </rPr>
      <t xml:space="preserve"> </t>
    </r>
    <r>
      <rPr>
        <sz val="10"/>
        <color theme="1"/>
        <rFont val="Times New Roman"/>
        <family val="1"/>
      </rPr>
      <t>1994;271:1836-1843.</t>
    </r>
  </si>
  <si>
    <r>
      <t>Abraham E, Wunderink R, Silverman H, Perl TM, Nasraway S, Levy H et al. Efficacy and safety of monoclonal antibody to human tumor necrosis factor alpha in patients with sepsis syndrome. A randomized, controlled, double-blind, multicenter clinical trial. TNF-alpha MAb Sepsis Study Group. JAMA.</t>
    </r>
    <r>
      <rPr>
        <i/>
        <sz val="11"/>
        <color theme="1"/>
        <rFont val="Arial"/>
        <family val="2"/>
      </rPr>
      <t xml:space="preserve"> </t>
    </r>
    <r>
      <rPr>
        <sz val="11"/>
        <color theme="1"/>
        <rFont val="Arial"/>
        <family val="2"/>
      </rPr>
      <t>1995;273:934-941.</t>
    </r>
  </si>
  <si>
    <r>
      <t>DeMaria A, Carven DE, Heffernan JJ, McIntosh TK, Grindlinger GA, McCabe WR. Naloxone versus placebo in treatment of septic shock. Lancet.</t>
    </r>
    <r>
      <rPr>
        <i/>
        <sz val="10"/>
        <color theme="1"/>
        <rFont val="Times New Roman"/>
        <family val="1"/>
      </rPr>
      <t xml:space="preserve"> </t>
    </r>
    <r>
      <rPr>
        <sz val="10"/>
        <color theme="1"/>
        <rFont val="Times New Roman"/>
        <family val="1"/>
      </rPr>
      <t>1985;1:1363-1365.</t>
    </r>
  </si>
  <si>
    <r>
      <t>Cobb DK, High KP, Sawyer RG, Sable CA, Adams RB, Lindley DA et al. A controlled trial of scheduled replacement of central venous and pulmonary-artery catheters. N Engl J Med.</t>
    </r>
    <r>
      <rPr>
        <i/>
        <sz val="10"/>
        <color theme="1"/>
        <rFont val="Times New Roman"/>
        <family val="1"/>
      </rPr>
      <t xml:space="preserve"> </t>
    </r>
    <r>
      <rPr>
        <sz val="10"/>
        <color theme="1"/>
        <rFont val="Times New Roman"/>
        <family val="1"/>
      </rPr>
      <t>1992;327:1062-1068.</t>
    </r>
  </si>
  <si>
    <r>
      <t>Robertson CS, Hannay HJ, Yamal JM, Gopinath S, Goodman JC, Tilley BC et al. Effect of erythropoietin and transfusion threshold on neurological recovery after traumatic brain injury: a randomized clinical trial. JAMA.</t>
    </r>
    <r>
      <rPr>
        <i/>
        <sz val="10"/>
        <color theme="1"/>
        <rFont val="Times New Roman"/>
        <family val="1"/>
      </rPr>
      <t xml:space="preserve"> </t>
    </r>
    <r>
      <rPr>
        <sz val="10"/>
        <color theme="1"/>
        <rFont val="Times New Roman"/>
        <family val="1"/>
      </rPr>
      <t>2014;312:36-47.</t>
    </r>
  </si>
  <si>
    <r>
      <t>Misset B, Timsit JF, Chevret S, Renaud B. A randomized cross-over comparison of the hemodynamic response to intermittent hemodialysis and continuous hemofiltration in ICU patients with acute renal failure. Intensive Care Med.</t>
    </r>
    <r>
      <rPr>
        <i/>
        <sz val="10"/>
        <color theme="1"/>
        <rFont val="Times New Roman"/>
        <family val="1"/>
      </rPr>
      <t xml:space="preserve"> </t>
    </r>
    <r>
      <rPr>
        <sz val="10"/>
        <color theme="1"/>
        <rFont val="Times New Roman"/>
        <family val="1"/>
      </rPr>
      <t>1996;22:742-746.</t>
    </r>
  </si>
  <si>
    <r>
      <t>Burns KE, Chu MW, Novick RJ, Fox SA, Gallo K, Martin CM et al. Perioperative N-acetylcysteine to prevent renal dysfunction in high-risk patients undergoing cabg surgery: a randomized controlled trial. JAMA.</t>
    </r>
    <r>
      <rPr>
        <i/>
        <sz val="10"/>
        <color theme="1"/>
        <rFont val="Times New Roman"/>
        <family val="1"/>
      </rPr>
      <t xml:space="preserve"> </t>
    </r>
    <r>
      <rPr>
        <sz val="10"/>
        <color theme="1"/>
        <rFont val="Times New Roman"/>
        <family val="1"/>
      </rPr>
      <t>2005;294:342-350.</t>
    </r>
  </si>
  <si>
    <r>
      <t>Cittanova ML, Leblanc I, Legendre C, Mouquet C, Riou B, Coriat P. Effect of hydroxyethylstarch in brain-dead kidney donors on renal function in kidney-transplant recipients. Lancet.</t>
    </r>
    <r>
      <rPr>
        <i/>
        <sz val="10"/>
        <color theme="1"/>
        <rFont val="Times New Roman"/>
        <family val="1"/>
      </rPr>
      <t xml:space="preserve"> </t>
    </r>
    <r>
      <rPr>
        <sz val="10"/>
        <color theme="1"/>
        <rFont val="Times New Roman"/>
        <family val="1"/>
      </rPr>
      <t>1996;348:1620-1622.</t>
    </r>
  </si>
  <si>
    <r>
      <t>Schortgen F, Lacherade JC, Bruneel F, Cattaneo I, Hemery F, Lemaire F et al. Effects of hydroxyethylstarch and gelatin on renal function in severe sepsis: a multicentre randomised study. Lancet.</t>
    </r>
    <r>
      <rPr>
        <i/>
        <sz val="11"/>
        <color theme="1"/>
        <rFont val="Arial"/>
        <family val="2"/>
      </rPr>
      <t xml:space="preserve"> </t>
    </r>
    <r>
      <rPr>
        <sz val="11"/>
        <color theme="1"/>
        <rFont val="Arial"/>
        <family val="2"/>
      </rPr>
      <t>2001;357:911-916.</t>
    </r>
  </si>
  <si>
    <r>
      <t>Brunkhorst FM, Engel C, Bloos F, Meier-Hellmann A, Ragaller M, Weiler N et al. Intensive insulin therapy and pentastarch resuscitation in severe sepsis. N Engl J Med.</t>
    </r>
    <r>
      <rPr>
        <i/>
        <sz val="10"/>
        <color theme="1"/>
        <rFont val="Times New Roman"/>
        <family val="1"/>
      </rPr>
      <t xml:space="preserve"> </t>
    </r>
    <r>
      <rPr>
        <sz val="10"/>
        <color theme="1"/>
        <rFont val="Times New Roman"/>
        <family val="1"/>
      </rPr>
      <t>2008;358:125-139.</t>
    </r>
  </si>
  <si>
    <r>
      <t>Hajjar LA, Vincent JL, Galas FR, Nakamura RE, Silva CM, Santos MH et al. Transfusion requirements after cardiac surgery: the TRACS randomized controlled trial. JAMA.</t>
    </r>
    <r>
      <rPr>
        <i/>
        <sz val="10"/>
        <color theme="1"/>
        <rFont val="Times New Roman"/>
        <family val="1"/>
      </rPr>
      <t xml:space="preserve"> </t>
    </r>
    <r>
      <rPr>
        <sz val="10"/>
        <color theme="1"/>
        <rFont val="Times New Roman"/>
        <family val="1"/>
      </rPr>
      <t>2010;304:1559-1567.</t>
    </r>
  </si>
  <si>
    <r>
      <t>Gadek JE, DeMichele SJ, Karlstad MD, Pacht ER, Donahoe M, Albertson TE et al. Effect of enteral feeding with eicosapentaenoic acid, gamma-linolenic acid, and antioxidants in patients with acute respiratory distress syndrome. Enteral Nutrition in ARDS Study Group. Crit Care Med.</t>
    </r>
    <r>
      <rPr>
        <i/>
        <sz val="10"/>
        <color theme="1"/>
        <rFont val="Times New Roman"/>
        <family val="1"/>
      </rPr>
      <t xml:space="preserve"> </t>
    </r>
    <r>
      <rPr>
        <sz val="10"/>
        <color theme="1"/>
        <rFont val="Times New Roman"/>
        <family val="1"/>
      </rPr>
      <t>1999;27:1409-1420.</t>
    </r>
  </si>
  <si>
    <r>
      <t>Meduri GU, Headley AS, Golden E, Carson SJ, Umberger RA, Kelso T et al. Effect of prolonged methylprednisolone therapy in unresolving acute respiratory distress syndrome: a randomized controlled trial. JAMA.</t>
    </r>
    <r>
      <rPr>
        <i/>
        <sz val="11"/>
        <color theme="1"/>
        <rFont val="Arial"/>
        <family val="2"/>
      </rPr>
      <t xml:space="preserve"> </t>
    </r>
    <r>
      <rPr>
        <sz val="11"/>
        <color theme="1"/>
        <rFont val="Arial"/>
        <family val="2"/>
      </rPr>
      <t>1998;280:159-165.</t>
    </r>
  </si>
  <si>
    <r>
      <t>Rumbak MJ, Newton M, Truncale T, Schwartz SW, Adams JW, Hazard PB. A prospective, randomized, study comparing early percutaneous dilational tracheotomy to prolonged translaryngeal intubation (delayed tracheotomy) in critically ill medical patients*. Crit Care Med.</t>
    </r>
    <r>
      <rPr>
        <i/>
        <sz val="10"/>
        <color theme="1"/>
        <rFont val="Times New Roman"/>
        <family val="1"/>
      </rPr>
      <t xml:space="preserve"> </t>
    </r>
    <r>
      <rPr>
        <sz val="10"/>
        <color theme="1"/>
        <rFont val="Times New Roman"/>
        <family val="1"/>
      </rPr>
      <t>2004;32:1689-1694.</t>
    </r>
  </si>
  <si>
    <r>
      <t>Rivers E, Nguyen B, Havstad S, Ressler J, Muzzin A, Knoblich B et al. Early goal-directed therapy in the treatment of severe sepsis and septic shock. N Engl J Med.</t>
    </r>
    <r>
      <rPr>
        <i/>
        <sz val="10"/>
        <color theme="1"/>
        <rFont val="Times New Roman"/>
        <family val="1"/>
      </rPr>
      <t xml:space="preserve"> </t>
    </r>
    <r>
      <rPr>
        <sz val="10"/>
        <color theme="1"/>
        <rFont val="Times New Roman"/>
        <family val="1"/>
      </rPr>
      <t>2001;345:1368-1377.</t>
    </r>
  </si>
  <si>
    <r>
      <t>Bernard GR, Vincent JL, Laterre PF, LaRosa SP, Dhainaut JF, Lopez-Rodriguez A et al. Efficacy and safety of recombinant human activated protein C for severe sepsis. N Engl J Med.</t>
    </r>
    <r>
      <rPr>
        <i/>
        <sz val="10"/>
        <color theme="1"/>
        <rFont val="Times New Roman"/>
        <family val="1"/>
      </rPr>
      <t xml:space="preserve"> </t>
    </r>
    <r>
      <rPr>
        <sz val="10"/>
        <color theme="1"/>
        <rFont val="Times New Roman"/>
        <family val="1"/>
      </rPr>
      <t>2001;344:699-709.</t>
    </r>
  </si>
  <si>
    <r>
      <t>Cruz DN, Antonelli M, Fumagalli R, Foltran F, Brienza N, Donati A et al. Early use of polymyxin B hemoperfusion in abdominal septic shock: the EUPHAS randomized controlled trial. JAMA.</t>
    </r>
    <r>
      <rPr>
        <i/>
        <sz val="10"/>
        <color theme="1"/>
        <rFont val="Times New Roman"/>
        <family val="1"/>
      </rPr>
      <t xml:space="preserve"> </t>
    </r>
    <r>
      <rPr>
        <sz val="10"/>
        <color theme="1"/>
        <rFont val="Times New Roman"/>
        <family val="1"/>
      </rPr>
      <t>2009;301:2445-2452.</t>
    </r>
  </si>
  <si>
    <r>
      <t>Drakulovic MB, Torres A, Bauer TT, Nicolas JM, Nogue S, Ferrer M. Supine body position as a risk factor for nosocomial pneumonia in mechanically ventilated patients: a randomised trial. Lancet.</t>
    </r>
    <r>
      <rPr>
        <i/>
        <sz val="10"/>
        <color theme="1"/>
        <rFont val="Times New Roman"/>
        <family val="1"/>
      </rPr>
      <t xml:space="preserve"> </t>
    </r>
    <r>
      <rPr>
        <sz val="10"/>
        <color theme="1"/>
        <rFont val="Times New Roman"/>
        <family val="1"/>
      </rPr>
      <t>1999;354:1851-1858.</t>
    </r>
  </si>
  <si>
    <r>
      <t>Timsit JF, Sebille V, Farkas JC, Misset B, Martin JB, Chevret S et al. Effect of subcutaneous tunneling on internal jugular catheter-related sepsis in critically ill patients: a prospective randomized multicenter study. JAMA.</t>
    </r>
    <r>
      <rPr>
        <i/>
        <sz val="11"/>
        <color theme="1"/>
        <rFont val="Arial"/>
        <family val="2"/>
      </rPr>
      <t xml:space="preserve"> </t>
    </r>
    <r>
      <rPr>
        <sz val="11"/>
        <color theme="1"/>
        <rFont val="Arial"/>
        <family val="2"/>
      </rPr>
      <t>1996;276:1416-1420.</t>
    </r>
  </si>
  <si>
    <r>
      <t>Climo MW, Yokoe DS, Warren DK, Perl TM, Bolon M, Herwaldt LA et al. Effect of daily chlorhexidine bathing on hospital-acquired infection.[Erratum appears in N Engl J Med. 2013 Jun 13;368(24):2341]. N Engl J Med.</t>
    </r>
    <r>
      <rPr>
        <i/>
        <sz val="10"/>
        <color theme="1"/>
        <rFont val="Times New Roman"/>
        <family val="1"/>
      </rPr>
      <t xml:space="preserve"> </t>
    </r>
    <r>
      <rPr>
        <sz val="10"/>
        <color theme="1"/>
        <rFont val="Times New Roman"/>
        <family val="1"/>
      </rPr>
      <t>2013;368:533-542.</t>
    </r>
  </si>
  <si>
    <r>
      <t>Bernard SA, Gray TW, Buist MD, Jones BM, Silvester W, Gutteridge G et al. Treatment of comatose survivors of out-of-hospital cardiac arrest with induced hypothermia. N Engl J Med.</t>
    </r>
    <r>
      <rPr>
        <i/>
        <sz val="10"/>
        <color theme="1"/>
        <rFont val="Times New Roman"/>
        <family val="1"/>
      </rPr>
      <t xml:space="preserve"> </t>
    </r>
    <r>
      <rPr>
        <sz val="10"/>
        <color theme="1"/>
        <rFont val="Times New Roman"/>
        <family val="1"/>
      </rPr>
      <t>2002;346:557-563.</t>
    </r>
  </si>
  <si>
    <r>
      <t>Ronco C, Bellomo R, Homel P, Brendolan A, Dan M, Piccinni P et al. Effects of different doses in continuous veno-venous haemofiltration on outcomes of acute renal failure: a prospective randomised trial. Lancet.</t>
    </r>
    <r>
      <rPr>
        <i/>
        <sz val="10"/>
        <color theme="1"/>
        <rFont val="Times New Roman"/>
        <family val="1"/>
      </rPr>
      <t xml:space="preserve"> </t>
    </r>
    <r>
      <rPr>
        <sz val="10"/>
        <color theme="1"/>
        <rFont val="Times New Roman"/>
        <family val="1"/>
      </rPr>
      <t>2000;356:26-30.</t>
    </r>
  </si>
  <si>
    <t>Journal of Cardiothoracic and Vascular Anesthesia</t>
  </si>
  <si>
    <r>
      <t>Cogliati AA, Vellutini R, Nardini A, Urovi S, Hamdan M, Landoni G et al. Fenoldopam infusion for renal protection in high-risk cardiac surgery patients: a randomized clinical study. J Cardiothorac Vasc Anesth.</t>
    </r>
    <r>
      <rPr>
        <i/>
        <sz val="11"/>
        <color theme="1"/>
        <rFont val="Arial"/>
        <family val="2"/>
      </rPr>
      <t xml:space="preserve"> </t>
    </r>
    <r>
      <rPr>
        <sz val="11"/>
        <color theme="1"/>
        <rFont val="Arial"/>
        <family val="2"/>
      </rPr>
      <t>2007;21:847-850.</t>
    </r>
  </si>
  <si>
    <r>
      <t>P</t>
    </r>
    <r>
      <rPr>
        <sz val="8"/>
        <color theme="1"/>
        <rFont val="Times New Roman"/>
        <family val="1"/>
      </rPr>
      <t xml:space="preserve"> &lt; .001 </t>
    </r>
  </si>
  <si>
    <r>
      <t>Marik PE, Mohedin M. The contrasting effects of dopamine and norepinephrine on systemic and splanchnic oxygen utilization in hyperdynamic sepsis. JAMA.</t>
    </r>
    <r>
      <rPr>
        <i/>
        <sz val="11"/>
        <color theme="1"/>
        <rFont val="Arial"/>
        <family val="2"/>
      </rPr>
      <t xml:space="preserve"> </t>
    </r>
    <r>
      <rPr>
        <sz val="11"/>
        <color theme="1"/>
        <rFont val="Arial"/>
        <family val="2"/>
      </rPr>
      <t>1994;272:1354-1357.</t>
    </r>
  </si>
  <si>
    <r>
      <t>Keenan SP, Powers C, McCormack DG, Block G. Noninvasive positive-pressure ventilation for postextubation respiratory distress: a randomized controlled trial. JAMA.</t>
    </r>
    <r>
      <rPr>
        <i/>
        <sz val="10"/>
        <color theme="1"/>
        <rFont val="Times New Roman"/>
        <family val="1"/>
      </rPr>
      <t xml:space="preserve"> </t>
    </r>
    <r>
      <rPr>
        <sz val="10"/>
        <color theme="1"/>
        <rFont val="Times New Roman"/>
        <family val="1"/>
      </rPr>
      <t>2002;287:3238-3244.</t>
    </r>
  </si>
  <si>
    <r>
      <t>Zapol WM, Snider MT, Hill JD, Fallat RJ, Bartlett RH, Edmunds LH et al. Extracorporeal membrane oxygenation in severe acute respiratory failure. A randomized prospective study. JAMA.</t>
    </r>
    <r>
      <rPr>
        <i/>
        <sz val="11"/>
        <color theme="1"/>
        <rFont val="Arial"/>
        <family val="2"/>
      </rPr>
      <t xml:space="preserve"> </t>
    </r>
    <r>
      <rPr>
        <sz val="11"/>
        <color theme="1"/>
        <rFont val="Arial"/>
        <family val="2"/>
      </rPr>
      <t>1979;242:2193-2196</t>
    </r>
  </si>
  <si>
    <r>
      <t>Stewart TE, Meade MO, Cook DJ, Granton JT, Hodder RV, Lapinsky SE et al. Evaluation of a ventilation strategy to prevent barotrauma in patients at high risk for acute respiratory distress syndrome. Pressure- and Volume-Limited Ventilation Strategy Group. N Engl J Med.</t>
    </r>
    <r>
      <rPr>
        <i/>
        <sz val="11"/>
        <color theme="1"/>
        <rFont val="Arial"/>
        <family val="2"/>
      </rPr>
      <t xml:space="preserve"> </t>
    </r>
    <r>
      <rPr>
        <sz val="11"/>
        <color theme="1"/>
        <rFont val="Arial"/>
        <family val="2"/>
      </rPr>
      <t>1998;338:355-361</t>
    </r>
  </si>
  <si>
    <r>
      <t>Riker RR, Shehabi Y, Bokesch PM, Ceraso D, Wisemandle W, Koura F et al. Dexmedetomidine vs midazolam for sedation of critically ill patients: a randomized trial. JAMA.</t>
    </r>
    <r>
      <rPr>
        <i/>
        <sz val="10"/>
        <color theme="1"/>
        <rFont val="Times New Roman"/>
        <family val="1"/>
      </rPr>
      <t xml:space="preserve"> </t>
    </r>
    <r>
      <rPr>
        <sz val="10"/>
        <color theme="1"/>
        <rFont val="Times New Roman"/>
        <family val="1"/>
      </rPr>
      <t>2009;301:489-499.</t>
    </r>
  </si>
  <si>
    <r>
      <t>Ho LI, Harn HJ, Lien TC, Hu PY, Wang JH. Postextubation laryngeal edema in adults risk factor evaluation and prevention by hydrocortisone. Intensive Care Med.</t>
    </r>
    <r>
      <rPr>
        <i/>
        <sz val="10"/>
        <color theme="1"/>
        <rFont val="Times New Roman"/>
        <family val="1"/>
      </rPr>
      <t xml:space="preserve"> </t>
    </r>
    <r>
      <rPr>
        <sz val="10"/>
        <color theme="1"/>
        <rFont val="Times New Roman"/>
        <family val="1"/>
      </rPr>
      <t>1996;22:933-936.</t>
    </r>
  </si>
  <si>
    <t xml:space="preserve">P &lt; .001 </t>
  </si>
  <si>
    <r>
      <t>Fisher CJ, Jr., Agosti JM, Opal SM, Lowry SF, Balk RA, Sadoff JC et al. Treatment of septic shock with the tumor necrosis factor receptor:Fc fusion protein. The Soluble TNF Receptor Sepsis Study Group. N Engl J Med.</t>
    </r>
    <r>
      <rPr>
        <i/>
        <sz val="11"/>
        <color theme="1"/>
        <rFont val="Arial"/>
        <family val="2"/>
      </rPr>
      <t xml:space="preserve"> </t>
    </r>
    <r>
      <rPr>
        <sz val="11"/>
        <color theme="1"/>
        <rFont val="Arial"/>
        <family val="2"/>
      </rPr>
      <t>1996;334:1697-1702.</t>
    </r>
  </si>
  <si>
    <r>
      <t>Driks MR, Craven DE, Celli BR, Manning M, Burke RA, Garvin GM et al. Nosocomial pneumonia in intubated patients given sucralfate as compared with antacids or histamine type 2 blockers. The role of gastric colonization. N Engl J Med.</t>
    </r>
    <r>
      <rPr>
        <i/>
        <sz val="10"/>
        <color theme="1"/>
        <rFont val="Times New Roman"/>
        <family val="1"/>
      </rPr>
      <t xml:space="preserve"> </t>
    </r>
    <r>
      <rPr>
        <sz val="10"/>
        <color theme="1"/>
        <rFont val="Times New Roman"/>
        <family val="1"/>
      </rPr>
      <t>1987;317:1376-1382.</t>
    </r>
  </si>
  <si>
    <r>
      <t>Schiffl H, Lang SM, Konig A, Strasser T, Haider MC, Held E. Biocompatible membranes in acute renal failure: prospective case-controlled study. Lancet.</t>
    </r>
    <r>
      <rPr>
        <i/>
        <sz val="10"/>
        <color theme="1"/>
        <rFont val="Times New Roman"/>
        <family val="1"/>
      </rPr>
      <t xml:space="preserve"> </t>
    </r>
    <r>
      <rPr>
        <sz val="10"/>
        <color theme="1"/>
        <rFont val="Times New Roman"/>
        <family val="1"/>
      </rPr>
      <t>1994;344:570-572.</t>
    </r>
  </si>
  <si>
    <r>
      <t>van den Berghe G, Wouters P, Weekers F, Verwaest C, Bruyninckx F, Schetz M et al. Intensive insulin therapy in critically ill patients. N Engl J Med.</t>
    </r>
    <r>
      <rPr>
        <i/>
        <sz val="10"/>
        <color theme="1"/>
        <rFont val="Times New Roman"/>
        <family val="1"/>
      </rPr>
      <t xml:space="preserve"> </t>
    </r>
    <r>
      <rPr>
        <sz val="10"/>
        <color theme="1"/>
        <rFont val="Times New Roman"/>
        <family val="1"/>
      </rPr>
      <t>2001;345:1359-1367.</t>
    </r>
  </si>
  <si>
    <r>
      <t>Boyd O, Grounds RM, Bennett ED. A randomized clinical trial of the effect of deliberate perioperative increase of oxygen delivery on mortality in high-risk surgical patients. JAMA.</t>
    </r>
    <r>
      <rPr>
        <i/>
        <sz val="10"/>
        <color theme="1"/>
        <rFont val="Times New Roman"/>
        <family val="1"/>
      </rPr>
      <t xml:space="preserve"> </t>
    </r>
    <r>
      <rPr>
        <sz val="10"/>
        <color theme="1"/>
        <rFont val="Times New Roman"/>
        <family val="1"/>
      </rPr>
      <t>1993;270:2699-2707.</t>
    </r>
  </si>
  <si>
    <r>
      <t>P</t>
    </r>
    <r>
      <rPr>
        <sz val="8"/>
        <color theme="1"/>
        <rFont val="Times New Roman"/>
        <family val="1"/>
      </rPr>
      <t xml:space="preserve"> &lt; .002</t>
    </r>
  </si>
  <si>
    <r>
      <t>Corwin HL, Gettinger A, Rodriguez RM, Pearl RG, Gubler KD, Enny C et al. Efficacy of recombinant human erythropoietin in the critically ill patient: a randomized, double-blind, placebo-controlled trial. Crit Care Med.</t>
    </r>
    <r>
      <rPr>
        <i/>
        <sz val="10"/>
        <color theme="1"/>
        <rFont val="Times New Roman"/>
        <family val="1"/>
      </rPr>
      <t xml:space="preserve"> </t>
    </r>
    <r>
      <rPr>
        <sz val="10"/>
        <color theme="1"/>
        <rFont val="Times New Roman"/>
        <family val="1"/>
      </rPr>
      <t>1999;27:2346-2350.</t>
    </r>
  </si>
  <si>
    <r>
      <t>Derdak S, Mehta S, Stewart TE, Smith T, Rogers M, Buchman TG et al. High-Frequency Oscillatory Ventilation for Acute Respiratory Distress Syndrome in Adults. Am J Resp Crit Care Med.</t>
    </r>
    <r>
      <rPr>
        <i/>
        <sz val="10"/>
        <color theme="1"/>
        <rFont val="Times New Roman"/>
        <family val="1"/>
      </rPr>
      <t xml:space="preserve"> </t>
    </r>
    <r>
      <rPr>
        <sz val="10"/>
        <color theme="1"/>
        <rFont val="Times New Roman"/>
        <family val="1"/>
      </rPr>
      <t>2002;166:801-808.</t>
    </r>
  </si>
  <si>
    <r>
      <t>Gattinoni L, Tognoni G, Pesenti A, Taccone P, Mascheroni D, Labarta V et al. Effect of prone positioning on the survival of patients with acute respiratory failure. N Engl J Med.</t>
    </r>
    <r>
      <rPr>
        <i/>
        <sz val="11"/>
        <color theme="1"/>
        <rFont val="Arial"/>
        <family val="2"/>
      </rPr>
      <t xml:space="preserve"> </t>
    </r>
    <r>
      <rPr>
        <sz val="11"/>
        <color theme="1"/>
        <rFont val="Arial"/>
        <family val="2"/>
      </rPr>
      <t>2001;345:568-573.</t>
    </r>
  </si>
  <si>
    <r>
      <t>Antonelli M, Conti G, Bufi M, Costa MG, Lappa A, Rocco M et al. Noninvasive ventilation for treatment of acute respiratory failure in patients undergoing solid organ transplantation: a randomized trial. JAMA.</t>
    </r>
    <r>
      <rPr>
        <i/>
        <sz val="10"/>
        <color theme="1"/>
        <rFont val="Times New Roman"/>
        <family val="1"/>
      </rPr>
      <t xml:space="preserve"> </t>
    </r>
    <r>
      <rPr>
        <sz val="10"/>
        <color theme="1"/>
        <rFont val="Times New Roman"/>
        <family val="1"/>
      </rPr>
      <t>2000;283:235-241.</t>
    </r>
  </si>
  <si>
    <r>
      <t>Lachman E, Pitsoe SB, Gaffin SL. Anti-lipopolysaccharide immunotherapy in management of septic shock of obstetric and gynaecological origin. Lancet.</t>
    </r>
    <r>
      <rPr>
        <i/>
        <sz val="10"/>
        <color theme="1"/>
        <rFont val="Times New Roman"/>
        <family val="1"/>
      </rPr>
      <t xml:space="preserve"> </t>
    </r>
    <r>
      <rPr>
        <sz val="10"/>
        <color theme="1"/>
        <rFont val="Times New Roman"/>
        <family val="1"/>
      </rPr>
      <t>1984;1:981-983.</t>
    </r>
  </si>
  <si>
    <r>
      <t>P</t>
    </r>
    <r>
      <rPr>
        <sz val="8"/>
        <color theme="1"/>
        <rFont val="Times New Roman"/>
        <family val="1"/>
      </rPr>
      <t xml:space="preserve"> &lt; .01</t>
    </r>
  </si>
  <si>
    <r>
      <t>Sprung CL, Caralis PV, Marcial EH, Pierce M, Gelbard MA, Long WM et al. The effects of high-dose corticosteroids in patients with septic shock. A prospective, controlled study. N Engl J Med.</t>
    </r>
    <r>
      <rPr>
        <i/>
        <sz val="10"/>
        <color theme="1"/>
        <rFont val="Times New Roman"/>
        <family val="1"/>
      </rPr>
      <t xml:space="preserve"> </t>
    </r>
    <r>
      <rPr>
        <sz val="10"/>
        <color theme="1"/>
        <rFont val="Times New Roman"/>
        <family val="1"/>
      </rPr>
      <t>1984;311:1137-1143.</t>
    </r>
  </si>
  <si>
    <t>p &lt; .0001</t>
  </si>
  <si>
    <r>
      <t>Pugin J, Auckenthaler R, Lew DP, Suter PM. Oropharyngeal decontamination decreases incidence of ventilator-associated pneumonia. A randomized, placebo-controlled, double-blind clinical trial. JAMA.</t>
    </r>
    <r>
      <rPr>
        <i/>
        <sz val="10"/>
        <color theme="1"/>
        <rFont val="Times New Roman"/>
        <family val="1"/>
      </rPr>
      <t xml:space="preserve"> </t>
    </r>
    <r>
      <rPr>
        <sz val="10"/>
        <color theme="1"/>
        <rFont val="Times New Roman"/>
        <family val="1"/>
      </rPr>
      <t>1991;265:2704-2710.</t>
    </r>
  </si>
  <si>
    <r>
      <t>Priebe HJ, Skillman JJ, Bushnell LS, Long PC, Silen W. Antacid versus cimetidine in preventing acute gastrointestinal bleeding. A randomized trial in 75 critically ill patients. N Engl J Med.</t>
    </r>
    <r>
      <rPr>
        <i/>
        <sz val="11"/>
        <color theme="1"/>
        <rFont val="Arial"/>
        <family val="2"/>
      </rPr>
      <t xml:space="preserve"> </t>
    </r>
    <r>
      <rPr>
        <sz val="11"/>
        <color theme="1"/>
        <rFont val="Arial"/>
        <family val="2"/>
      </rPr>
      <t>1980;302:426-430.</t>
    </r>
  </si>
  <si>
    <r>
      <t>Marion DW, Penrod LE, Kelsey SF, Obrist WD, Kochanek PM, Palmer AM et al. Treatment of traumatic brain injury with moderate hypothermia. N Engl J Med.</t>
    </r>
    <r>
      <rPr>
        <i/>
        <sz val="10"/>
        <color theme="1"/>
        <rFont val="Times New Roman"/>
        <family val="1"/>
      </rPr>
      <t xml:space="preserve"> </t>
    </r>
    <r>
      <rPr>
        <sz val="10"/>
        <color theme="1"/>
        <rFont val="Times New Roman"/>
        <family val="1"/>
      </rPr>
      <t>1997;336:540-546.</t>
    </r>
  </si>
  <si>
    <r>
      <t>Juttler E, Schwab S, Schmiedek P, Unterberg A, Hennerici M, Woitzik J et al. Decompressive Surgery for the Treatment of Malignant Infarction of the Middle Cerebral Artery (DESTINY): A Randomized, Controlled Trial. Stroke.</t>
    </r>
    <r>
      <rPr>
        <i/>
        <sz val="10"/>
        <color theme="1"/>
        <rFont val="Times New Roman"/>
        <family val="1"/>
      </rPr>
      <t xml:space="preserve"> </t>
    </r>
    <r>
      <rPr>
        <sz val="10"/>
        <color theme="1"/>
        <rFont val="Times New Roman"/>
        <family val="1"/>
      </rPr>
      <t>2007;38:2518-2525.</t>
    </r>
  </si>
  <si>
    <t>Stroke</t>
  </si>
  <si>
    <r>
      <t>Van den Berghe G, Wilmer A, Hermans G, Meersseman W, Wouters PJ, Milants I et al. Intensive insulin therapy in the medical ICU. N Engl J Med.</t>
    </r>
    <r>
      <rPr>
        <i/>
        <sz val="10"/>
        <color theme="1"/>
        <rFont val="Times New Roman"/>
        <family val="1"/>
      </rPr>
      <t xml:space="preserve"> </t>
    </r>
    <r>
      <rPr>
        <sz val="10"/>
        <color theme="1"/>
        <rFont val="Times New Roman"/>
        <family val="1"/>
      </rPr>
      <t>2006;354:449-461.</t>
    </r>
  </si>
  <si>
    <r>
      <t>Hypothermia after Cardiac Arrest Study Group. Mild therapeutic hypothermia to improve the neurologic outcome after cardiac arrest.[Erratum appears in N Engl J Med 2002 May 30;346(22):1756]. N Engl J Med.</t>
    </r>
    <r>
      <rPr>
        <i/>
        <sz val="11"/>
        <color theme="1"/>
        <rFont val="Arial"/>
        <family val="2"/>
      </rPr>
      <t xml:space="preserve"> </t>
    </r>
    <r>
      <rPr>
        <sz val="11"/>
        <color theme="1"/>
        <rFont val="Arial"/>
        <family val="2"/>
      </rPr>
      <t>2002;346:549-556.</t>
    </r>
  </si>
  <si>
    <r>
      <t>Merrer J, De Jonghe B, Golliot F, Lefrant JY, Raffy B, Barre E et al. Complications of femoral and subclavian venous catheterization in critically ill patients: a randomized controlled trial. JAMA.</t>
    </r>
    <r>
      <rPr>
        <i/>
        <sz val="10"/>
        <color theme="1"/>
        <rFont val="Times New Roman"/>
        <family val="1"/>
      </rPr>
      <t xml:space="preserve"> </t>
    </r>
    <r>
      <rPr>
        <sz val="10"/>
        <color theme="1"/>
        <rFont val="Times New Roman"/>
        <family val="1"/>
      </rPr>
      <t>2001;286:700-707.</t>
    </r>
  </si>
  <si>
    <t>BMC Medicine</t>
  </si>
  <si>
    <t>The sound of power: conveying and detecting hierarchical rank through voice.</t>
  </si>
  <si>
    <t>The pen is mightier than the keyboard: advantages of longhand over laptop note taking.</t>
  </si>
  <si>
    <t>We take care of our own: caregiving salience increases out-group bias in response to out-group threat.</t>
  </si>
  <si>
    <t>Pain as social glue: shared pain increases cooperation.</t>
  </si>
  <si>
    <t>People overestimate their willingness to reject potential romantic partners by overlooking their concern for other people.</t>
  </si>
  <si>
    <t>Right-oriented bias: a comment on Roskes, Sligte, Shalvi, and De Dreu (2011).</t>
  </si>
  <si>
    <t>In search of an association between conception risk and prejudice.</t>
  </si>
  <si>
    <t>The rules of implicit evaluation by race, religion, and age.</t>
  </si>
  <si>
    <t>A "present" for the future: the unexpected value of rediscovery.</t>
  </si>
  <si>
    <t>Dietary self-control is related to the speed with which attributes of healthfulness and tastiness are processed.</t>
  </si>
  <si>
    <t>Learned helplessness and learned prevalence: exploring the causal relations among perceived controllability, reward prevalence, and exploration.</t>
  </si>
  <si>
    <t>Bogus visual feedback alters onset of movement-evoked pain in people with neck pain.</t>
  </si>
  <si>
    <t>When you think about it, your past is in front of you: how culture shapes spatial conceptions of time.</t>
  </si>
  <si>
    <t>What is typical is good: the influence of face typicality on perceived trustworthiness.</t>
  </si>
  <si>
    <t>Multisensory integration in complete unawareness: evidence from audiovisual congruency priming.</t>
  </si>
  <si>
    <t>Scarcity frames value.</t>
  </si>
  <si>
    <t>Differences in the effects of crowding on size perception and grip scaling in densely cluttered 3-D scenes.</t>
  </si>
  <si>
    <t>Spatial orientation shrinks and expands psychological distance.</t>
  </si>
  <si>
    <t>Anticipatory control through associative learning of subliminal relations: invisible may be better than visible.</t>
  </si>
  <si>
    <t>Blind insight: metacognitive discrimination despite chance task performance.</t>
  </si>
  <si>
    <t>Not so innocent: toddlers' inferences about costs and culpability.</t>
  </si>
  <si>
    <t>Visual environment, attention allocation, and learning in young children: when too much of a good thing may be bad.</t>
  </si>
  <si>
    <t>Exploring Solomon's Paradox: Self-Distancing Eliminates the Self-Other Asymmetry in Wise Reasoning About Close Relationships in Younger and Older Adults.</t>
  </si>
  <si>
    <t>Amnesia for object attributes: failure to report attended information that had just reached conscious awareness.</t>
  </si>
  <si>
    <t>Inferring character from faces: a developmental study.</t>
  </si>
  <si>
    <t>How the head liberates the heart: Projection of communal responsiveness guides relationship promotion.</t>
  </si>
  <si>
    <t>The nonverbal expression of pride: Evidence for cross-cultural recognition.</t>
  </si>
  <si>
    <t>Dynamics of self-regulation: How (un) accomplished goal actions affect motivation.</t>
  </si>
  <si>
    <t>__p^2 = .18</t>
  </si>
  <si>
    <t>d = .52</t>
  </si>
  <si>
    <t>__p^2 = 0.550</t>
  </si>
  <si>
    <t>d = 0.198</t>
  </si>
  <si>
    <t>__p^2 = 0.186</t>
  </si>
  <si>
    <t>__p^2 = .31</t>
  </si>
  <si>
    <t>_^2=.05</t>
  </si>
  <si>
    <t>MSE = .009</t>
  </si>
  <si>
    <t>d = 1.51</t>
  </si>
  <si>
    <t>_^2 = .026</t>
  </si>
  <si>
    <t>__p^2 = .143</t>
  </si>
  <si>
    <t>d=0.74</t>
  </si>
  <si>
    <t>__p^2 = .09</t>
  </si>
  <si>
    <t>__p^2 = .427</t>
  </si>
  <si>
    <t>d=0.6</t>
  </si>
  <si>
    <t>__p^2 = .51</t>
  </si>
  <si>
    <t>__p^2 = .3037</t>
  </si>
  <si>
    <t>__p^2 = 0.241</t>
  </si>
  <si>
    <t>_R^2=.09</t>
  </si>
  <si>
    <t>pr^2 = 0.224</t>
  </si>
  <si>
    <t>__p^2 = 0.143</t>
  </si>
  <si>
    <t>__p^2 = 0.087</t>
  </si>
  <si>
    <t>_^2 = -.04</t>
  </si>
  <si>
    <t>__p^2 = .16</t>
  </si>
  <si>
    <t>__p^2 = 0.11</t>
  </si>
  <si>
    <t>__p^2 = 0.1433</t>
  </si>
  <si>
    <t>__p^2 = 0.028</t>
  </si>
  <si>
    <t>level 1 R2 = .68</t>
  </si>
  <si>
    <t>d = .45</t>
  </si>
  <si>
    <t>d=.56</t>
  </si>
  <si>
    <t>__p^2 = .362</t>
  </si>
  <si>
    <t>__p^2 = .186</t>
  </si>
  <si>
    <t>__p^2 = 0.035</t>
  </si>
  <si>
    <t>Av. Proportion = 0.78</t>
  </si>
  <si>
    <t>d = 0.493</t>
  </si>
  <si>
    <t>__p^2 = .042</t>
  </si>
  <si>
    <t>cramer's v = .322</t>
  </si>
  <si>
    <t>__p^2 = 0.041</t>
  </si>
  <si>
    <t>__p^2 = 0.135</t>
  </si>
  <si>
    <t>__p2 = .07</t>
  </si>
  <si>
    <t>r = .30</t>
  </si>
  <si>
    <t>d = 1.1653</t>
  </si>
  <si>
    <t>__p^2 =.09</t>
  </si>
  <si>
    <t>r = .04</t>
  </si>
  <si>
    <t>sr^2 = .07</t>
  </si>
  <si>
    <t>d = .736</t>
  </si>
  <si>
    <t>__p^2 = .1431</t>
  </si>
  <si>
    <t>phi = .13</t>
  </si>
  <si>
    <t>d = 0.82</t>
  </si>
  <si>
    <t>__p^2 = .326</t>
  </si>
  <si>
    <t>_2 = .02</t>
  </si>
  <si>
    <t>r = -0.7</t>
  </si>
  <si>
    <t>d =.93</t>
  </si>
  <si>
    <t>__p^2= 0.326</t>
  </si>
  <si>
    <t>d = .571</t>
  </si>
  <si>
    <t>d = 0.47</t>
  </si>
  <si>
    <t>__p^2 = .308</t>
  </si>
  <si>
    <t>__p^2 = .045</t>
  </si>
  <si>
    <t>F not calculable (no effect size, no SD on means); |rho| = .38</t>
  </si>
  <si>
    <t>d = 3.25</t>
  </si>
  <si>
    <t>dz = 0.976</t>
  </si>
  <si>
    <t>__p^2 = 0.147</t>
  </si>
  <si>
    <t>d = -.94</t>
  </si>
  <si>
    <t>d = 0.80</t>
  </si>
  <si>
    <t>__p^2 = .20</t>
  </si>
  <si>
    <t>pr = .21</t>
  </si>
  <si>
    <t>d = -.004</t>
  </si>
  <si>
    <t>d = .88</t>
  </si>
  <si>
    <t>_^2 = .74</t>
  </si>
  <si>
    <t>__p^2 =.11</t>
  </si>
  <si>
    <t>_^2 =.12</t>
  </si>
  <si>
    <t>__p^2 = .59</t>
  </si>
  <si>
    <t>d = 1.71</t>
  </si>
  <si>
    <t>f = 0.19</t>
  </si>
  <si>
    <t>__p^2 = 0.522</t>
  </si>
  <si>
    <t>d = 1.573</t>
  </si>
  <si>
    <t>r = -0.43</t>
  </si>
  <si>
    <t>r = -.31</t>
  </si>
  <si>
    <t>__p^2 = .14</t>
  </si>
  <si>
    <t>__p^2 = . 23</t>
  </si>
  <si>
    <t>w = .3386167</t>
  </si>
  <si>
    <t>_^2 =.7</t>
  </si>
  <si>
    <t>Patil et al. (2016)</t>
  </si>
  <si>
    <t>Tumor</t>
  </si>
  <si>
    <t>Self-Control</t>
  </si>
  <si>
    <t>FSD</t>
  </si>
  <si>
    <t>Misattribution</t>
  </si>
  <si>
    <t>Minimal Groups</t>
  </si>
  <si>
    <t>Orientation</t>
  </si>
  <si>
    <t>Prediction</t>
  </si>
  <si>
    <t>Redemption</t>
  </si>
  <si>
    <t>Cookies</t>
  </si>
  <si>
    <t>Referrals</t>
  </si>
  <si>
    <t>Fairness</t>
  </si>
  <si>
    <t>Worse</t>
  </si>
  <si>
    <t>Labels</t>
  </si>
  <si>
    <t>Ads</t>
  </si>
  <si>
    <t>Ostracism</t>
  </si>
  <si>
    <t>Misreporting</t>
  </si>
  <si>
    <t>Albarracín et al. (2008), Experiment 5</t>
  </si>
  <si>
    <t>Albarracín et al. (2008), Experiment 7</t>
  </si>
  <si>
    <t>Crosby, Monin, &amp; Richardson (2008)</t>
  </si>
  <si>
    <t>Förster, Liberman, &amp; Kuschel (2008)</t>
  </si>
  <si>
    <t>LoBue &amp; DeLoache (2008)</t>
  </si>
  <si>
    <t>Payne, Burkley, &amp; Stokes (2008)</t>
  </si>
  <si>
    <t>Risen &amp; Gilovich (2008)</t>
  </si>
  <si>
    <t>Shnabel &amp; Nadler (2008)</t>
  </si>
  <si>
    <t>van Dijk, van Kleef, Steinel, &amp; van Beest (2008)</t>
  </si>
  <si>
    <t>Vohs &amp; Schooler (2008)</t>
  </si>
  <si>
    <t>&lt; .001</t>
  </si>
  <si>
    <t>10.1037/a0026147</t>
  </si>
  <si>
    <t>10.1037/a0021017</t>
  </si>
  <si>
    <t>10.1037/a0021908</t>
  </si>
  <si>
    <t>10.1037/a0025354</t>
  </si>
  <si>
    <t>10.1037/a0023626</t>
  </si>
  <si>
    <t>10.1037/a0026739</t>
  </si>
  <si>
    <t>10.1037/a0023222</t>
  </si>
  <si>
    <t>10.1037/a0024395</t>
  </si>
  <si>
    <t>10.1037/a0022147</t>
  </si>
  <si>
    <t>10.1037/a0024844</t>
  </si>
  <si>
    <t>10.1037/a0027930</t>
  </si>
  <si>
    <t>10.1037/a0022141</t>
  </si>
  <si>
    <t>10.1037/a0023304</t>
  </si>
  <si>
    <t>10.1037/a0021663</t>
  </si>
  <si>
    <t>10.1037/a0026556</t>
  </si>
  <si>
    <t>10.1037/a0021149</t>
  </si>
  <si>
    <t>10.1037/a0024355</t>
  </si>
  <si>
    <t>10.1037/a0026769</t>
  </si>
  <si>
    <t>10.1037/a0023557</t>
  </si>
  <si>
    <t>10.1037/a0022064</t>
  </si>
  <si>
    <t>10.1037/a0025855</t>
  </si>
  <si>
    <t>10.1037/a0021890</t>
  </si>
  <si>
    <t>10.1037/h0093964</t>
  </si>
  <si>
    <t>10.1037/a0029571</t>
  </si>
  <si>
    <t>10.1037/a0028329</t>
  </si>
  <si>
    <t>10.1037/a0021528</t>
  </si>
  <si>
    <t>10.1037/a0021794</t>
  </si>
  <si>
    <t>10.1037/a0025767</t>
  </si>
  <si>
    <t>10.1037/a0024343</t>
  </si>
  <si>
    <t>10.1037/a0027600</t>
  </si>
  <si>
    <t>10.1037/a0023791</t>
  </si>
  <si>
    <t>10.1037/a0024348</t>
  </si>
  <si>
    <t>10.1037/a0021128</t>
  </si>
  <si>
    <t>Reproducibility of individual effect sizes in meta-analyses in psychology</t>
  </si>
  <si>
    <t>Journal of Educational Psychology</t>
  </si>
  <si>
    <t>Neuropsychology</t>
  </si>
  <si>
    <t>Psychological Bulletin</t>
  </si>
  <si>
    <t>Journal of Counseling Psychology</t>
  </si>
  <si>
    <t>Journal of Family Psychology</t>
  </si>
  <si>
    <t>Psychotherapy</t>
  </si>
  <si>
    <t>Psychological Assessment</t>
  </si>
  <si>
    <t>Law and Human Behavior</t>
  </si>
  <si>
    <t>Journal of Consulting and Clinical Psychology</t>
  </si>
  <si>
    <t>Developmental Psychology</t>
  </si>
  <si>
    <t>Review of General Psychology</t>
  </si>
  <si>
    <t>Galinsky, A. D., Magee, J. C., Inesi, M. E., &amp; Gruenfeld, D. H. (2006). Power and perspectives not taken. Psychological Science, 17(12), 1068-1074</t>
  </si>
  <si>
    <t>Monin, B., &amp; Miller, D. T. (2001). Moral credentials and the expression of prejudice. Journal of personality and social psychology, 81(1), 33.</t>
  </si>
  <si>
    <t>Ross, M., &amp; Wilson, A. E. (2002). It feels like yesterday: self-esteem, valence of personal past experiences, and judgments of subjective distance. Journal of personality and social psychology, 82(5), 792.</t>
  </si>
  <si>
    <t>Tversky, A., &amp; Kahneman, D. (1973). Availability: A heuristic for judging frequency and probability. Cognitive psychology, 5(2), 207-232.</t>
  </si>
  <si>
    <t>Stroop Task (originally from Stroop, 1935, adapted for this project from Inzlicht, M., &amp; Gutsell, J. N. (2007). Running on empty neural signals for self-control failure. Psychological Science, 18(11), 933-937.)</t>
  </si>
  <si>
    <t>Szymkow, A., Chandler, J., IJzerman, H., Parzuchowski, M., &amp; Wojciszke, B. (2013). Warmer hearts, warmer rooms. Social Psychology, 44(2), 167-176.</t>
  </si>
  <si>
    <t>Cacioppo, J. T., Petty, R. E., &amp; Morris, K. J. (1983). Effects of need for cognition on message evaluation, recall, and persuasion. Journal of personality and social psychology, 45(4), 805.</t>
  </si>
  <si>
    <t>Conceptual replication of De Fruyt, F., Van De Wiele, L., &amp; Van Heeringen, C. (2000).Cloninger's psychobiological model of temperament and character and the five-factormodel of personality. Personality and individual differences, 29(3), 441-452.  Usesunsolvable anagrams task from Aspinwall, L. G., &amp; Richter, L. (1999). Optimism and self-mastery predict more rapid disengagement from unsolvable tasks in the presence ofalternatives. Motivation and Emotion, 23(3), 221-245.</t>
  </si>
  <si>
    <t>Boroditsky, L. (2000). Metaphoric structuring: Understanding time through spatialmetaphors. Cognition, 75(1), 1-28.</t>
  </si>
  <si>
    <t>Jostmann, N. B., Lakens, D., &amp; Schubert, T. W. (2009). Weight as an embodiment ofimportance. Psychological science, 20(9), 1169-1174.</t>
  </si>
  <si>
    <t>Many Labs 3: Evaluating participant pool quality across the academic semester via replication</t>
  </si>
  <si>
    <t>Journal of personality and social psychology</t>
  </si>
  <si>
    <t xml:space="preserve">Germay </t>
  </si>
  <si>
    <t>Personality and individual differences</t>
  </si>
  <si>
    <t>Mannheim: Zentrum für Umfragen, Methoden und Analysen -ZUMA</t>
  </si>
  <si>
    <t>Dreber, A., et al. (2015)</t>
  </si>
  <si>
    <t>Philosophy, Political Science, and Social Sciences</t>
  </si>
  <si>
    <t>Schweinsberg et al. (2016)</t>
  </si>
  <si>
    <t>The pipeline project: Pre-publication independent replications of a single laboratory's research pipeline</t>
  </si>
  <si>
    <t>Moral inversion</t>
  </si>
  <si>
    <t>Bad tipper</t>
  </si>
  <si>
    <t>Belief–act inconsistency</t>
  </si>
  <si>
    <t>Moral cliff</t>
  </si>
  <si>
    <t>Cold hearted prosociality</t>
  </si>
  <si>
    <t>Burn in hell</t>
  </si>
  <si>
    <t>Bigot-misanthrope</t>
  </si>
  <si>
    <t>Presumption of guilt</t>
  </si>
  <si>
    <t>Intuitive economics</t>
  </si>
  <si>
    <t>Higher standards: company condition</t>
  </si>
  <si>
    <t>rep_rate_p_value</t>
  </si>
  <si>
    <t>ES_of_replication_project</t>
  </si>
  <si>
    <t>original_journals</t>
  </si>
  <si>
    <t>original_journals_SJR</t>
  </si>
  <si>
    <t>average_SJR_of_original_papers</t>
  </si>
  <si>
    <t>average_citations_original_papers</t>
  </si>
  <si>
    <t>publication_country_replication_paper</t>
  </si>
  <si>
    <t>Unpublished</t>
  </si>
  <si>
    <t>Naudet et al. (2018)</t>
  </si>
  <si>
    <r>
      <t>Data sharing and reanalysis of randomized controlled trials in leading biomedical journals with a full data sharing policy: survey of studies published in </t>
    </r>
    <r>
      <rPr>
        <b/>
        <i/>
        <sz val="12"/>
        <color rgb="FF333333"/>
        <rFont val="Inherit"/>
      </rPr>
      <t>The BMJ</t>
    </r>
    <r>
      <rPr>
        <b/>
        <sz val="12"/>
        <color rgb="FF333333"/>
        <rFont val="Arial"/>
        <family val="2"/>
      </rPr>
      <t> and </t>
    </r>
    <r>
      <rPr>
        <b/>
        <i/>
        <sz val="12"/>
        <color rgb="FF333333"/>
        <rFont val="Inherit"/>
      </rPr>
      <t>PLOS Medicine</t>
    </r>
  </si>
  <si>
    <t>Luedtke 201527*: transcranial direct current stimulation (TDCs) versus sham TDCs; chronic low back pain</t>
  </si>
  <si>
    <t>BMJ</t>
  </si>
  <si>
    <t>Cohen 201520: epidural steroid injections versus gabapentin; lumbosacral radicular pain</t>
  </si>
  <si>
    <t>Hyttel-Sorensen 201524: near infrared spectroscopy versus usual care; preterm infants</t>
  </si>
  <si>
    <t>Bousema 201618†: hotspot targeted interventions versus usual interventions; malaria</t>
  </si>
  <si>
    <t>PLoS Medicine</t>
  </si>
  <si>
    <t>Gysin-Maillart 201621‡: brief therapy versus usual care; suicide attempt</t>
  </si>
  <si>
    <t>Lombard 201626: low intensity intervention versus general health intervention; obesity</t>
  </si>
  <si>
    <t>Polyak 201630: cotrimoxazole prophylaxis cessation versus continuation; HIV</t>
  </si>
  <si>
    <t>2.27 </t>
  </si>
  <si>
    <t>Robinson 201531: blood stage plus liver stage drugs or blood stage drugs only; malaria</t>
  </si>
  <si>
    <t>Harris 201523: nurse delivered walking intervention versus usual care; older adults</t>
  </si>
  <si>
    <t>Adrion 201616: low dose betahistine versus placebo; Meniere’s disease</t>
  </si>
  <si>
    <t>Selak 201432: fixed dose combination treatment versus usual care; patients at high risk of cardiovascular disease in primary care</t>
  </si>
  <si>
    <t>Chesterton 201319: transcutaneous electrical nerve stimulation versus usual care; tennis elbow</t>
  </si>
  <si>
    <t>Atukunda 201417: sublingual misoprostol versus intramuscular oxytocin; prevention of postpartum haemorrhage</t>
  </si>
  <si>
    <r>
      <t>Paul 201529: trimethoprim-sulfamethoxazole versus vancomycin; severe infections caused by meticillin resistant </t>
    </r>
    <r>
      <rPr>
        <i/>
        <sz val="10"/>
        <color rgb="FF333333"/>
        <rFont val="Arial"/>
        <family val="2"/>
      </rPr>
      <t>Staphylococcus aureus</t>
    </r>
  </si>
  <si>
    <t>Omerod 201528: ciclosporin versus prednisolone; pyoderma gangrenosum</t>
  </si>
  <si>
    <t>Hanson 201522: home based counselling strategy versus usual care; neonatal care</t>
  </si>
  <si>
    <t>Nosek (2015)</t>
  </si>
  <si>
    <t>All Many Labs (Ebersole
et al. 2016a, 2020; Klein et al. 2014, 2018, 2019)</t>
  </si>
  <si>
    <t>Protzko et al. (2021)</t>
  </si>
  <si>
    <t>multiple</t>
  </si>
  <si>
    <t>Replicability, Robustness, and Reproducibility in Psychological Science</t>
  </si>
  <si>
    <t>Nosek et al. (2022)</t>
  </si>
  <si>
    <t>Variace_SE</t>
  </si>
  <si>
    <t>age_rep_paper</t>
  </si>
  <si>
    <t>Proceedings of the National Academy of Sciences</t>
  </si>
  <si>
    <t>Tajika et al. (2015)</t>
  </si>
  <si>
    <t xml:space="preserve">Klein et al. (Many Labs) (2021)  </t>
  </si>
  <si>
    <t>Sobkow et al. (2022)</t>
  </si>
  <si>
    <t>Hardwicke et al. (2021)</t>
  </si>
  <si>
    <t>Protzko et al. (2023)</t>
  </si>
  <si>
    <t>Ebersole et al. (2020)</t>
  </si>
  <si>
    <t>Maassen et al. (2020)</t>
  </si>
  <si>
    <t>Ebersole et al. (2016)</t>
  </si>
  <si>
    <t>Huber et al. (2024)</t>
  </si>
  <si>
    <t>Do experimental asset market results replicate? Highpowered preregistered replications of 17 claims</t>
  </si>
  <si>
    <t>MTRP (2024)</t>
  </si>
  <si>
    <t>Examining the replicability of online experiments selected by a decision market</t>
  </si>
  <si>
    <t>Ames and Fiske (2015)</t>
  </si>
  <si>
    <t>Atir and Ferguson (2018)</t>
  </si>
  <si>
    <t>Baldwin and Lammers (2016)</t>
  </si>
  <si>
    <t>Bear et al. (2017)</t>
  </si>
  <si>
    <t>Boswell et al. (2018)</t>
  </si>
  <si>
    <t>Caruso et al. (2016)</t>
  </si>
  <si>
    <t>Casella et al. (2017)</t>
  </si>
  <si>
    <t>Chao (2017)</t>
  </si>
  <si>
    <t>Cheon and Hong (2016)</t>
  </si>
  <si>
    <t>Clarkson et al. (2015)</t>
  </si>
  <si>
    <t>Cooney et al. (2016)</t>
  </si>
  <si>
    <t>Cote et al. (2015)</t>
  </si>
  <si>
    <t>Flesch et al. (2018)</t>
  </si>
  <si>
    <t>Genschow et al. (2017)</t>
  </si>
  <si>
    <t>Gheorghiu et al. (2017)</t>
  </si>
  <si>
    <t>Guilbeault et al. (2018)</t>
  </si>
  <si>
    <t>Halevy and Halali (2015)</t>
  </si>
  <si>
    <t>Handley et al. (2015)</t>
  </si>
  <si>
    <t>Hoffman et al. (2016)</t>
  </si>
  <si>
    <t>Hofstetter et al. (2017)</t>
  </si>
  <si>
    <t>Horne et al. (2015)</t>
  </si>
  <si>
    <t>Isley et al. (2016)</t>
  </si>
  <si>
    <t>Jachimowicz et al. (2017)</t>
  </si>
  <si>
    <t>John et al. (2015)</t>
  </si>
  <si>
    <t>Jordan et al. (2016)</t>
  </si>
  <si>
    <t>Jun et al. (2017)</t>
  </si>
  <si>
    <t>KC et al. (2018)</t>
  </si>
  <si>
    <t>Klein and O'Brien (2018)</t>
  </si>
  <si>
    <t>Kouchaki and Gino (2016)</t>
  </si>
  <si>
    <t>Kraus et al. (2017)</t>
  </si>
  <si>
    <t>McCall et al. (2017)</t>
  </si>
  <si>
    <t>Morris et al. (2017)</t>
  </si>
  <si>
    <t>Mummolo (2018)</t>
  </si>
  <si>
    <t>Payne et al. (2017)</t>
  </si>
  <si>
    <t>Phillips and Cushman (2017)</t>
  </si>
  <si>
    <t>Rai et al. (2017)</t>
  </si>
  <si>
    <t>Reeck et al. (2017)</t>
  </si>
  <si>
    <t>Schilke et al. (2015)</t>
  </si>
  <si>
    <t>Stern et al. (2015)</t>
  </si>
  <si>
    <t>Vacharkulksemsuk et al. (2016)</t>
  </si>
  <si>
    <t>Williams et al. (2016)</t>
  </si>
  <si>
    <t>AOL (2016)</t>
  </si>
  <si>
    <t xml:space="preserve">CDP (2018) </t>
  </si>
  <si>
    <t>EF (2015)</t>
  </si>
  <si>
    <t>KLS (2019)</t>
  </si>
  <si>
    <t>Working Papers in Economics and Statistics</t>
  </si>
  <si>
    <t>Marcoci et al. (2024)</t>
  </si>
  <si>
    <t>Analytic-Thinking Predicts Hoax Beliefs and Helping Behaviors in Response to the COVID-19 Pandemic</t>
  </si>
  <si>
    <t>Fighting COVID-19 misinformation on social media: Experimental evidence for a scalable accuracy nudge intervention</t>
  </si>
  <si>
    <t>Chinese publicâ€™s knowledge, perceived severity, and perceived controllability of the COVID-19 and their associations with emotional and behavioural reactions, social participation, and precautionary behaviour: A national survey</t>
  </si>
  <si>
    <t>COVID-19: Risk perception and Coping strategies.</t>
  </si>
  <si>
    <t>Functional fear predicts public health compliance in the COVID-19 pandemic</t>
  </si>
  <si>
    <t>Framing COVID-19 as an Existential Threat Predicts Anxious Arousal and Prejudice towards Chinese People</t>
  </si>
  <si>
    <t>Psychological Correlates of News Monitoring, Social Distancing, Disinfecting, and Hoarding Behaviors among US Adolescents during the COVID-19 Pandemic</t>
  </si>
  <si>
    <t>Self-control moderates the association between perceived severity of the coronavirus disease 2019 (COVID-19) and mental health problems among the Chinese public</t>
  </si>
  <si>
    <t>Could Attitudes Toward COVID-19 in Spain Render Men More Vulnerable Than Women?</t>
  </si>
  <si>
    <t>Optimistic beliefs about the personal impact of COVID-19</t>
  </si>
  <si>
    <t>The Importance of Cultural Tightness and Government Efficiency For Understanding COVID-19 Growth and Death Rates</t>
  </si>
  <si>
    <t>When in Danger, Turn Right: Covid-19 Threat Promotes Social Conservatism and Right-Wing Presidential Candidates</t>
  </si>
  <si>
    <t>Flow in the Time of COVID-19: Findings from China</t>
  </si>
  <si>
    <t>Differences between health workers and general population in risk perception, behaviors, and psychological distress related to COVID-19 spread in Italy.</t>
  </si>
  <si>
    <t>Mindfulness Buffers the Impact of COVID-19 Outbreak Information on Sleep Duration</t>
  </si>
  <si>
    <t>Will consumption rebound after the COVID-19 pandemic? A structural equation modeling research based on the psychological arousal theory</t>
  </si>
  <si>
    <t>Individual differences in accepting personal restrictions to fight the COVID-19 pandemic: Results from a Danish adult sample</t>
  </si>
  <si>
    <t>Even prosocially oriented individuals save themselves first: Social Value Orientation, subjective effectiveness and the usage of protective measures during the COVID-19 pandemic in Germany</t>
  </si>
  <si>
    <t>The emotional path to action: Empathy promotes physical distancing during the COVID-19 pandemic</t>
  </si>
  <si>
    <t>Measuring Realistic and Symbolic Threats of COVID-19 and their Unique Impacts on Wellbeing and Adherence to Public Health Behaviors</t>
  </si>
  <si>
    <t>When we are worried, what are we thinking? Anxiety, lack of control, and conspiracy beliefs amidst the COVID-19 pandemic</t>
  </si>
  <si>
    <t>Information about pandemic increases negative attitudes toward foreign groups: a case of COVID-19 outbreak</t>
  </si>
  <si>
    <t>The effectiveness of moral messages on public health behavioral intentions during the COVID-19 pandemic</t>
  </si>
  <si>
    <t>Changes in risk perception and protective behavior during the first week of the COVID-19 pandemic in the United States</t>
  </si>
  <si>
    <t>Who Hoards? Honesty-Humility and Behavioural Responses to the 2019/20 Coronavirus Pandemic</t>
  </si>
  <si>
    <t>Fear of the coronavirus (COVID-19): Predictors in an online study conducted in March 2020</t>
  </si>
  <si>
    <t>Adaptive and Dark Personality Traits in the Covid-19 Pandemic: Predicting Health-behavior Endorsement and the Appeal of Public-health Messages</t>
  </si>
  <si>
    <t>Are people excessively pessimistic about the risk of coronavirus infection?</t>
  </si>
  <si>
    <t>Perceived Vulnerability to Disease Predicts Restrictive Policy Supports in Response to the 2019-nCoV Outbreak</t>
  </si>
  <si>
    <t>Emerging infectious outbreak inhibits pain empathy mediated prosocial behaviour</t>
  </si>
  <si>
    <t>Initial Effects of the Coronavirus Pandemic on Racial Prejudice in the United States: Evidence from Google Trends</t>
  </si>
  <si>
    <t>Japanese citizens' behavioral changes and preparedness against COVID-19: How effective is Japan's approach of self-restraint?</t>
  </si>
  <si>
    <t>The impacts of diagnostic capability and prevention measures on transmission dynamics of COVID-19 in Wuhan</t>
  </si>
  <si>
    <t>Widespread use of face masks in public may slow the spread of SARS CoV-2: an ecological study</t>
  </si>
  <si>
    <t>Association of BCG vaccination policy and tuberculosis burden with incidence and mortality of COVID-19</t>
  </si>
  <si>
    <t>COVID-19 related social distancing measures and reduction in city mobility</t>
  </si>
  <si>
    <t>Health seeking behaviors of patients with acute respiratory infections during the outbreak of novel coronavirus disease 2019 in Wuhan, China</t>
  </si>
  <si>
    <t>TRENDS IN PERCEPTION OF COVID-19 IN POLISH INTERNET</t>
  </si>
  <si>
    <t>Work-related Covid-19 transmission</t>
  </si>
  <si>
    <t>Is the spread of COVID-19 across countries influenced by environmental, economic and social factors?</t>
  </si>
  <si>
    <t>Experience with Social Distancing Early in the COVID-19 Pandemic in the United States: Implications for Public Health Messaging</t>
  </si>
  <si>
    <t>Social distancing to slow the U.S. COVID-19 epidemic: an interrupted time-series analysis</t>
  </si>
  <si>
    <t>Association of County-Level Socioeconomic and Political Characteristics with Engagement in Social Distancing for COVID-19</t>
  </si>
  <si>
    <t>Mental health status of the general population, healthcare professionals, and university students during 2019 coronavirus disease outbreak in Jordan: a cross-sectional study</t>
  </si>
  <si>
    <t>The Immediate Effect of COVID-19 Policies on Social Distancing Behavior in the United States</t>
  </si>
  <si>
    <t>Mandated Bacillus Calmette-GuÃ©rin (BCG) vaccination predicts flattened curves for the spread of COVID-19</t>
  </si>
  <si>
    <t>The Social and Economic Factors Underlying the Incidence of COVID-19 Cases and Deaths in US Counties</t>
  </si>
  <si>
    <t>Effects of home confinement on mental health and lifestyle behaviours during the COVID-19 outbreak: Insight from the "ECLB-COVID19" multi countries survey</t>
  </si>
  <si>
    <t>COVID-19 is rapidly changing: Examining public perceptions and behaviors in response to this evolving pandemic</t>
  </si>
  <si>
    <t>Correlation between prevalence of tobacco smoking and risk and severity of COVID-19 at the national level in the European Union: an ecological study.</t>
  </si>
  <si>
    <t>Social distancing and movement constraint as the most likely factors for COVID-19 outbreak control in Brazil</t>
  </si>
  <si>
    <t>Social determinants of COVID-19 mortality at the county level</t>
  </si>
  <si>
    <t>Characteristics of patients presenting, and not presenting, to the emergency department during the early days of COVID-19</t>
  </si>
  <si>
    <t>Effects of COVID-19 home confinement on physical activity and eating behaviour Preliminary results of the ECLB-COVID19 international online-survey</t>
  </si>
  <si>
    <t>Politicizing the COVID-19 Pandemic: Ideological Differences in Adherence to Social Distancing</t>
  </si>
  <si>
    <t>Safe but lonely? Loneliness, mental health symptoms and COVID-19</t>
  </si>
  <si>
    <t>Impact of COVID-19 exposure on punishment responsiveness</t>
  </si>
  <si>
    <t>A bioweapon or a hoax? The link between distinct conspiracy beliefs about the Coronavirus disease (COVID-19) outbreak and pandemic behavior</t>
  </si>
  <si>
    <t>Political Ideology and the Outbreak of COVID-19 in the United States</t>
  </si>
  <si>
    <t>Funny but aversive: A large-scale survey on the emotional response to Covid-19 humor in the Italian population during the lockdown</t>
  </si>
  <si>
    <t>Modeling compliance with COVID-19 prevention guidelines: The critical role of trust in science</t>
  </si>
  <si>
    <t>Why are Conservatives Less Concerned about the Coronavirus (COVID-19) than Liberals? Testing Experiential Versus Political Explanations</t>
  </si>
  <si>
    <t>Preliminary Investigation of the Association Between COVID-19 and Suicidal Thoughts and Behaviors in the U.S.</t>
  </si>
  <si>
    <t>Misbehaving in the Corona Crisis: The Role of Anxiety and Unfounded Beliefs</t>
  </si>
  <si>
    <t>COVID-19 Increases Online Emotional and Health-Related Searches</t>
  </si>
  <si>
    <t>Psychological Correlates of COVID-19 Conspiracy Beliefs and Preventive Measures: Evidence from Turkey</t>
  </si>
  <si>
    <t>Adolescentsâ€™ Prosocial Experiences During the COVID-19 Pandemic: Associations with Mental Health and Community Attachments</t>
  </si>
  <si>
    <t>Neuroticism and Emotional Risk During the Covid-19 Pandemic</t>
  </si>
  <si>
    <t>Predictors of attitudes and misperceptions about COVID-19 in Canada, the U.K., and the U.S.A.</t>
  </si>
  <si>
    <t>Knowledge of COVID-19 Symptoms and Prevention among Pakistani Adults:  A Cross-sectional Descriptive Study</t>
  </si>
  <si>
    <t>COVID-19 Social Distancing</t>
  </si>
  <si>
    <t>Personality Traits, Risk Perception and Social Distancing During COVID-19</t>
  </si>
  <si>
    <t>Covid-19 by Race and Ethnicity: A National Cohort Study of 6 Million United States Veterans</t>
  </si>
  <si>
    <t>Unequal impact of structural health determinants and comorbidity on COVID-19 severity and lethality in older Mexican adults: Looking beyond chronological aging</t>
  </si>
  <si>
    <t>Is sleep apnoea a risk factor for Covid-19? Findings from a retrospective cohort study</t>
  </si>
  <si>
    <t>Is it Just About Physical Health? An Internet-Based Cross-Sectional Study Exploring the Psychological Impacts of COVID-19 Pandemic on University Students in Jordan Using Kessler Psychological Distress Scale</t>
  </si>
  <si>
    <t>Mental wellbeing in the Bangladeshi healthy population during nationwide lockdown over COVID-19: an online cross-sectional survey</t>
  </si>
  <si>
    <t>Decline in Emergent and Urgent Care during the COVID-19 Pandemic</t>
  </si>
  <si>
    <t>Evaluation of the US governors decision when to issue stay-at-home orders [Running title: When to shut down: the Weber-Fechner law describes the timing of U. S. governors decisions to issue stay-at-home orders]</t>
  </si>
  <si>
    <t>The Influence of Contextual Factors on the Initial Phases of the COVID-19 Outbreak across U.S. Counties</t>
  </si>
  <si>
    <t>Association of national Bacille Calmette-GuÃ©rin vaccination policy with COVID-19 epidemiology: an ecological study in 78 countries</t>
  </si>
  <si>
    <t>Number of International Arrivals Predicts Severity of the first Global Wave of the COVID-19 Pandemic</t>
  </si>
  <si>
    <t>Understanding the psychological impact of the COVID-19 pandemic and containment measures: an empirical model of stress.</t>
  </si>
  <si>
    <t>Factors linked to changes in mental health outcomes among Brazilians in quarantine due to COVID-19</t>
  </si>
  <si>
    <t>Behaviors and attitudes in response to the COVID-19 pandemic: Insights from a cross-national Facebook survey</t>
  </si>
  <si>
    <t>Psychological Distress during the COVID-19 pandemic in France: a national assessment of at-risk populations</t>
  </si>
  <si>
    <t>Depression and anxiety during 2019 coronavirus disease pandemic in Saudi Arabia: a cross-sectional study</t>
  </si>
  <si>
    <t>Health literacy of inland population in the mitigation phase 3.2. of COVID-19's pandemic in Portugal - a descriptive cohort study</t>
  </si>
  <si>
    <t>Early estimation of the risk factors for hospitalisation and mortality by COVID-19 in Mexico</t>
  </si>
  <si>
    <t>PSYCHOLOGICAL PREDICTORS OF ANXIETY IN RESPONSE TO THE COVID-19 PANDEMIC: EVIDENCE FROM PAKISTAN</t>
  </si>
  <si>
    <t>Collective narcissism predicts the belief and dissemination of conspiracy theories during the COVID-19 pandemic</t>
  </si>
  <si>
    <t>Conspiracy beliefs, chloroquine, and the rejection of vaccination: A conceptual replication-extension in the COVID-19 pandemic context</t>
  </si>
  <si>
    <t>Irrational beliefs differentially predict adherence to guidelines and pseudoscientific practices during the COVID-19 pandemic</t>
  </si>
  <si>
    <t>Scientific reasoning as a predictor of health-related beliefs and behaviors in the time of COVID-19</t>
  </si>
  <si>
    <t>Stable psychological traits predict perceived stress related to the COVID-19 outbreak</t>
  </si>
  <si>
    <t>Students under lockdown: Assessing change in studentsâ€™ social networks and mental health during the COVID-19 crisis</t>
  </si>
  <si>
    <t>â€œLiberate!â€ â€“ Republicans Are More Willing to Get Back to Social Life Because They Are Less Scared of COVID-19</t>
  </si>
  <si>
    <t>Looking out for Myself: Exploring the Relationship Between Conspiracy Mentality, Perceived Personal Risk and COVID-19 Prevention Measures</t>
  </si>
  <si>
    <t>When Private Optimism meets Public Despair: Dissociable effects on behavior and well-being</t>
  </si>
  <si>
    <t>Anxiety and depression in the Republic of Ireland during the COVID-19 pandemic</t>
  </si>
  <si>
    <t>Predicting the replicability of social and behavioural science claims in COVID-19 preprints</t>
  </si>
  <si>
    <t>Review of Finance</t>
  </si>
  <si>
    <t>Journal of Finance</t>
  </si>
  <si>
    <t>Review of Financial Studies</t>
  </si>
  <si>
    <t>Thinking &amp; Reasoning</t>
  </si>
  <si>
    <t>BMC Public Health</t>
  </si>
  <si>
    <t>International Journal of Disaster Risk Reduction</t>
  </si>
  <si>
    <t>International Journal of Mental Health and Addiction</t>
  </si>
  <si>
    <t>Social and Personality Psychology Compass</t>
  </si>
  <si>
    <t>International Journal of Environmental Research and Public Health</t>
  </si>
  <si>
    <t>Global Public Health</t>
  </si>
  <si>
    <t>Plos One</t>
  </si>
  <si>
    <t>Frontiers in Psychology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</si>
</sst>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sz val="8"/>
      <name val="Aptos Narrow"/>
      <family val="2"/>
      <scheme val="minor"/>
    </font>
    <font>
      <sz val="10"/>
      <color rgb="FF222222"/>
      <name val="Arial"/>
      <family val="2"/>
    </font>
    <font>
      <sz val="10"/>
      <name val="Arial"/>
      <family val="2"/>
      <charset val="1"/>
    </font>
    <font>
      <sz val="11"/>
      <color rgb="FF333132"/>
      <name val="Arial"/>
      <family val="2"/>
    </font>
    <font>
      <sz val="10"/>
      <color rgb="FF000000"/>
      <name val="Arial"/>
      <family val="2"/>
    </font>
    <font>
      <sz val="8"/>
      <color theme="1"/>
      <name val="Times New Roman"/>
      <family val="1"/>
    </font>
    <font>
      <sz val="11"/>
      <color theme="1"/>
      <name val="Arial"/>
      <family val="2"/>
    </font>
    <font>
      <i/>
      <sz val="11"/>
      <color theme="1"/>
      <name val="Arial"/>
      <family val="2"/>
    </font>
    <font>
      <sz val="10"/>
      <color theme="1"/>
      <name val="Times New Roman"/>
      <family val="1"/>
    </font>
    <font>
      <i/>
      <sz val="10"/>
      <color theme="1"/>
      <name val="Times New Roman"/>
      <family val="1"/>
    </font>
    <font>
      <b/>
      <sz val="11"/>
      <color theme="1"/>
      <name val="Aptos Narrow"/>
      <family val="2"/>
      <scheme val="minor"/>
    </font>
    <font>
      <sz val="12"/>
      <color rgb="FFFF0000"/>
      <name val="Times New Roman"/>
      <family val="1"/>
    </font>
    <font>
      <sz val="14"/>
      <color rgb="FF646464"/>
      <name val="Arial"/>
      <family val="2"/>
    </font>
    <font>
      <b/>
      <sz val="12"/>
      <color rgb="FF333333"/>
      <name val="Arial"/>
      <family val="2"/>
    </font>
    <font>
      <b/>
      <i/>
      <sz val="12"/>
      <color rgb="FF333333"/>
      <name val="Inherit"/>
    </font>
    <font>
      <i/>
      <sz val="10"/>
      <color rgb="FF333333"/>
      <name val="Arial"/>
      <family val="2"/>
    </font>
    <font>
      <sz val="10"/>
      <color rgb="FF333333"/>
      <name val="Arial"/>
      <family val="2"/>
    </font>
    <font>
      <sz val="12"/>
      <color rgb="FF000000"/>
      <name val="Arial"/>
      <family val="2"/>
    </font>
    <font>
      <sz val="10"/>
      <color rgb="FF222222"/>
      <name val="Segoe UI"/>
      <family val="2"/>
    </font>
    <font>
      <b/>
      <sz val="10"/>
      <color rgb="FF10147E"/>
      <name val="Times New Roman"/>
      <family val="1"/>
    </font>
    <font>
      <sz val="17"/>
      <color rgb="FF1F1F1F"/>
      <name val="Arial"/>
      <family val="2"/>
    </font>
  </fonts>
  <fills count="4">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s>
  <borders count="1">
    <border>
      <left/>
      <right/>
      <top/>
      <bottom/>
      <diagonal/>
    </border>
  </borders>
  <cellStyleXfs count="3">
    <xf numFmtId="0" fontId="0" fillId="0" borderId="0"/>
    <xf numFmtId="0" fontId="3" fillId="0" borderId="0"/>
    <xf numFmtId="0" fontId="5" fillId="0" borderId="0"/>
  </cellStyleXfs>
  <cellXfs count="20">
    <xf numFmtId="0" fontId="0" fillId="0" borderId="0" xfId="0"/>
    <xf numFmtId="11" fontId="0" fillId="0" borderId="0" xfId="0" applyNumberFormat="1"/>
    <xf numFmtId="0" fontId="0" fillId="2" borderId="0" xfId="0" applyFill="1"/>
    <xf numFmtId="0" fontId="0" fillId="3" borderId="0" xfId="0" applyFill="1"/>
    <xf numFmtId="0" fontId="11" fillId="0" borderId="0" xfId="0" applyFont="1"/>
    <xf numFmtId="0" fontId="12" fillId="0" borderId="0" xfId="0" applyFont="1"/>
    <xf numFmtId="0" fontId="13" fillId="0" borderId="0" xfId="0" applyFont="1"/>
    <xf numFmtId="0" fontId="17" fillId="0" borderId="0" xfId="0" applyFont="1"/>
    <xf numFmtId="0" fontId="0" fillId="3" borderId="0" xfId="0" applyFill="1" applyAlignment="1">
      <alignment wrapText="1"/>
    </xf>
    <xf numFmtId="11" fontId="0" fillId="3" borderId="0" xfId="0" applyNumberFormat="1" applyFill="1"/>
    <xf numFmtId="0" fontId="17" fillId="3" borderId="0" xfId="0" applyFont="1" applyFill="1"/>
    <xf numFmtId="0" fontId="12" fillId="3" borderId="0" xfId="0" applyFont="1" applyFill="1"/>
    <xf numFmtId="0" fontId="18" fillId="0" borderId="0" xfId="0" applyFont="1"/>
    <xf numFmtId="0" fontId="19" fillId="0" borderId="0" xfId="0" applyFont="1"/>
    <xf numFmtId="2" fontId="0" fillId="0" borderId="0" xfId="0" applyNumberFormat="1"/>
    <xf numFmtId="0" fontId="18" fillId="3" borderId="0" xfId="0" applyFont="1" applyFill="1"/>
    <xf numFmtId="2" fontId="0" fillId="3" borderId="0" xfId="0" applyNumberFormat="1" applyFill="1"/>
    <xf numFmtId="0" fontId="20" fillId="0" borderId="0" xfId="0" applyFont="1"/>
    <xf numFmtId="0" fontId="0" fillId="0" borderId="0" xfId="0" applyFill="1"/>
    <xf numFmtId="0" fontId="21" fillId="0" borderId="0" xfId="0" applyFont="1" applyAlignment="1">
      <alignment vertical="center" wrapText="1"/>
    </xf>
  </cellXfs>
  <cellStyles count="3">
    <cellStyle name="Normal" xfId="0" builtinId="0"/>
    <cellStyle name="Normal 2" xfId="1" xr:uid="{562ED273-9CA0-4084-A098-301DC3A2772F}"/>
    <cellStyle name="Normal 3" xfId="2" xr:uid="{205A3DBA-F5C4-4666-BE9B-F5FC0201420D}"/>
  </cellStyles>
  <dxfs count="0"/>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eetMetadata" Target="metadata.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Jose Rolando Villaseñor Agundez" id="{9B593292-E989-4F3E-A7C7-3E7C0695D1B9}" userId="S::joserolando.villasenoragundez@uzh.ch::17aba3fd-6c75-41ea-8269-594ddecb508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843" dT="2024-08-09T12:44:47.55" personId="{9B593292-E989-4F3E-A7C7-3E7C0695D1B9}" id="{B7FB8C14-0A52-4345-8CD3-A63C0159F4A2}">
    <text>The replicated or the total?</text>
  </threadedComment>
  <threadedComment ref="K843" dT="2024-08-19T19:52:18.05" personId="{9B593292-E989-4F3E-A7C7-3E7C0695D1B9}" id="{577D7674-34F6-4517-B8A6-07D0A5198DD2}">
    <text xml:space="preserve">New England Journal of Medicine
Lancet
American Journal of Respiratory and Critical Care Medicine
Critical Care Medicine
JAMA
Intensive Care Med
American Journal of Respiratory and Critical Care Medicine
Journal of Cardiothoracic and Vascular Anesthesia
Stroke
</text>
  </threadedComment>
  <threadedComment ref="D926" dT="2024-08-09T14:33:50.01" personId="{9B593292-E989-4F3E-A7C7-3E7C0695D1B9}" id="{8697AF6D-32AD-4310-AD31-707838D85B0E}">
    <text xml:space="preserve">Not exactly the method for the replication
</text>
  </threadedComment>
  <threadedComment ref="D1067" dT="2024-08-09T17:18:43.83" personId="{9B593292-E989-4F3E-A7C7-3E7C0695D1B9}" id="{41063299-2EFA-4ABD-B8D1-B209E3D94E31}">
    <text>reread</text>
  </threadedComment>
  <threadedComment ref="D1077" dT="2024-08-09T17:18:43.83" personId="{9B593292-E989-4F3E-A7C7-3E7C0695D1B9}" id="{13EF08DA-3978-4F1A-B0CD-2932728085B8}">
    <text>reread</text>
  </threadedComment>
  <threadedComment ref="J1125" dT="2024-07-18T20:59:44.48" personId="{9B593292-E989-4F3E-A7C7-3E7C0695D1B9}" id="{0BC066D5-F7AA-4436-B17B-CF9F0737CE12}">
    <text>https://link.springer.com/article/10.1007/s11301-022-00269-6</text>
    <extLst>
      <x:ext xmlns:xltc2="http://schemas.microsoft.com/office/spreadsheetml/2020/threadedcomments2" uri="{F7C98A9C-CBB3-438F-8F68-D28B6AF4A901}">
        <xltc2:checksum>143430927</xltc2:checksum>
        <xltc2:hyperlink startIndex="0" length="60" url="https://link.springer.com/article/10.1007/s11301-022-00269-6"/>
      </x:ext>
    </extLs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journals.sagepub.com/home/MRJ" TargetMode="External"/><Relationship Id="rId7" Type="http://schemas.microsoft.com/office/2017/10/relationships/threadedComment" Target="../threadedComments/threadedComment1.xml"/><Relationship Id="rId2" Type="http://schemas.openxmlformats.org/officeDocument/2006/relationships/hyperlink" Target="https://www.sciencedirect.com/journal/cognitive-psychology" TargetMode="External"/><Relationship Id="rId1" Type="http://schemas.openxmlformats.org/officeDocument/2006/relationships/hyperlink" Target="https://philpapers.org/asearch.pl?pub=621"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AB3D4-5798-485A-8E5C-AB0BD4DA18FC}">
  <dimension ref="A1:BW1292"/>
  <sheetViews>
    <sheetView tabSelected="1" topLeftCell="N1" zoomScale="81" zoomScaleNormal="100" workbookViewId="0">
      <pane ySplit="1" topLeftCell="A1181" activePane="bottomLeft" state="frozen"/>
      <selection pane="bottomLeft" activeCell="Y1200" sqref="Y1200"/>
    </sheetView>
  </sheetViews>
  <sheetFormatPr defaultRowHeight="14.4"/>
  <cols>
    <col min="1" max="1" width="9.109375" bestFit="1" customWidth="1"/>
    <col min="2" max="2" width="26" customWidth="1"/>
    <col min="3" max="3" width="65.5546875" customWidth="1"/>
    <col min="4" max="4" width="14.6640625" style="3" bestFit="1" customWidth="1"/>
    <col min="5" max="5" width="21.77734375" style="3" customWidth="1"/>
    <col min="6" max="6" width="33.77734375" bestFit="1" customWidth="1"/>
    <col min="7" max="7" width="33.77734375" customWidth="1"/>
    <col min="8" max="8" width="12" bestFit="1" customWidth="1"/>
    <col min="9" max="9" width="11" bestFit="1" customWidth="1"/>
    <col min="10" max="10" width="18.77734375" customWidth="1"/>
    <col min="11" max="11" width="9.109375" bestFit="1" customWidth="1"/>
    <col min="12" max="13" width="23.5546875" customWidth="1"/>
    <col min="14" max="14" width="10" bestFit="1" customWidth="1"/>
    <col min="15" max="15" width="12" bestFit="1" customWidth="1"/>
    <col min="16" max="16" width="34.88671875" customWidth="1"/>
    <col min="17" max="17" width="17.77734375" customWidth="1"/>
    <col min="18" max="18" width="18.77734375" bestFit="1" customWidth="1"/>
    <col min="19" max="19" width="12" bestFit="1" customWidth="1"/>
    <col min="21" max="21" width="9.109375" bestFit="1" customWidth="1"/>
    <col min="23" max="23" width="12" bestFit="1" customWidth="1"/>
    <col min="25" max="25" width="31.21875" bestFit="1" customWidth="1"/>
    <col min="26" max="26" width="21.77734375" customWidth="1"/>
    <col min="27" max="28" width="9.109375" bestFit="1" customWidth="1"/>
    <col min="29" max="29" width="11" bestFit="1" customWidth="1"/>
    <col min="30" max="30" width="21.5546875" style="3" customWidth="1"/>
    <col min="31" max="31" width="9.33203125" bestFit="1" customWidth="1"/>
    <col min="33" max="33" width="17.33203125" customWidth="1"/>
    <col min="34" max="34" width="11.77734375" customWidth="1"/>
    <col min="35" max="35" width="28.21875" customWidth="1"/>
    <col min="36" max="36" width="21.77734375" bestFit="1" customWidth="1"/>
    <col min="37" max="37" width="121.21875" customWidth="1"/>
    <col min="38" max="38" width="18.77734375" bestFit="1" customWidth="1"/>
    <col min="40" max="40" width="23.5546875" customWidth="1"/>
  </cols>
  <sheetData>
    <row r="1" spans="1:51">
      <c r="A1" t="s">
        <v>0</v>
      </c>
      <c r="B1" t="s">
        <v>1</v>
      </c>
      <c r="C1" t="s">
        <v>2</v>
      </c>
      <c r="D1" s="3" t="s">
        <v>1156</v>
      </c>
      <c r="E1" s="3" t="s">
        <v>370</v>
      </c>
      <c r="F1" t="s">
        <v>110</v>
      </c>
      <c r="G1" t="s">
        <v>1192</v>
      </c>
      <c r="H1" t="s">
        <v>1157</v>
      </c>
      <c r="I1" t="s">
        <v>411</v>
      </c>
      <c r="J1" t="s">
        <v>107</v>
      </c>
      <c r="K1" t="s">
        <v>163</v>
      </c>
      <c r="L1" t="s">
        <v>217</v>
      </c>
      <c r="M1" t="s">
        <v>1191</v>
      </c>
      <c r="N1" t="s">
        <v>106</v>
      </c>
      <c r="O1" t="s">
        <v>105</v>
      </c>
      <c r="P1" t="s">
        <v>109</v>
      </c>
      <c r="Q1" t="s">
        <v>1158</v>
      </c>
      <c r="R1" t="s">
        <v>1159</v>
      </c>
      <c r="S1" t="s">
        <v>1160</v>
      </c>
      <c r="T1" t="s">
        <v>104</v>
      </c>
      <c r="U1" t="s">
        <v>413</v>
      </c>
      <c r="V1" t="s">
        <v>746</v>
      </c>
      <c r="W1" t="s">
        <v>1161</v>
      </c>
      <c r="X1" t="s">
        <v>376</v>
      </c>
      <c r="Y1" t="s">
        <v>260</v>
      </c>
      <c r="Z1" t="s">
        <v>368</v>
      </c>
      <c r="AA1" t="s">
        <v>382</v>
      </c>
      <c r="AB1" t="s">
        <v>387</v>
      </c>
      <c r="AC1" t="s">
        <v>410</v>
      </c>
      <c r="AD1" s="3" t="s">
        <v>381</v>
      </c>
      <c r="AE1" t="s">
        <v>108</v>
      </c>
      <c r="AF1" t="s">
        <v>1162</v>
      </c>
      <c r="AG1" t="s">
        <v>374</v>
      </c>
      <c r="AH1" t="s">
        <v>100</v>
      </c>
      <c r="AI1" t="s">
        <v>375</v>
      </c>
      <c r="AJ1" t="s">
        <v>369</v>
      </c>
      <c r="AK1" t="s">
        <v>111</v>
      </c>
      <c r="AL1" t="s">
        <v>113</v>
      </c>
      <c r="AM1" t="s">
        <v>114</v>
      </c>
      <c r="AN1" t="s">
        <v>116</v>
      </c>
      <c r="AO1" t="s">
        <v>117</v>
      </c>
    </row>
    <row r="2" spans="1:51" ht="15.6">
      <c r="A2">
        <v>1</v>
      </c>
      <c r="B2" t="s">
        <v>4</v>
      </c>
      <c r="C2" t="s">
        <v>3</v>
      </c>
      <c r="D2" s="3">
        <f>100*(35/97)</f>
        <v>36.082474226804123</v>
      </c>
      <c r="E2" s="3">
        <v>47.7</v>
      </c>
      <c r="F2">
        <v>2015</v>
      </c>
      <c r="G2">
        <f>2025-F2</f>
        <v>10</v>
      </c>
      <c r="H2">
        <f>AVERAGE($AD$2:$AD$98)</f>
        <v>0.19699645297938143</v>
      </c>
      <c r="I2">
        <v>0.40300000000000002</v>
      </c>
      <c r="J2">
        <v>97</v>
      </c>
      <c r="K2">
        <v>3</v>
      </c>
      <c r="L2">
        <v>270</v>
      </c>
      <c r="M2" s="12">
        <f>_xlfn.VAR.P($AD$2:$AD$98)</f>
        <v>6.5302343936490675E-2</v>
      </c>
      <c r="N2">
        <f t="shared" ref="N2:N33" si="0">$O$2/SQRT($J$2)</f>
        <v>2.6094396443934013E-2</v>
      </c>
      <c r="O2">
        <v>0.25700000000000001</v>
      </c>
      <c r="P2" t="s">
        <v>5</v>
      </c>
      <c r="Q2" t="s">
        <v>371</v>
      </c>
      <c r="R2" cm="1">
        <f t="array" ref="R2">_xlfn.IFS(Q2="PS",3.607,Q2="JEPLMC",6.096,Q2="JPSP",2.579)</f>
        <v>3.6070000000000002</v>
      </c>
      <c r="S2" s="1">
        <f>AVERAGE($R$2:$R$98)</f>
        <v>4.0181340206185618</v>
      </c>
      <c r="T2" t="s">
        <v>101</v>
      </c>
      <c r="U2">
        <v>22</v>
      </c>
      <c r="V2" t="s">
        <v>138</v>
      </c>
      <c r="W2">
        <f>AVERAGE($U$2:$U$98)</f>
        <v>84.030927835051543</v>
      </c>
      <c r="X2" t="s">
        <v>377</v>
      </c>
      <c r="Y2">
        <v>2008</v>
      </c>
      <c r="Z2">
        <f>2025-AVERAGE($Y$2:$Y$98)</f>
        <v>17</v>
      </c>
      <c r="AA2" t="s">
        <v>388</v>
      </c>
      <c r="AB2">
        <v>0.19700000000000001</v>
      </c>
      <c r="AC2">
        <v>0.50179907499999998</v>
      </c>
      <c r="AD2" s="3">
        <v>-0.450187899</v>
      </c>
      <c r="AE2">
        <v>1</v>
      </c>
      <c r="AF2" t="s">
        <v>138</v>
      </c>
      <c r="AG2">
        <v>2</v>
      </c>
      <c r="AH2">
        <v>9</v>
      </c>
      <c r="AI2">
        <f>AVERAGE($AG$2:$AG$98)</f>
        <v>2.865979381443299</v>
      </c>
      <c r="AJ2">
        <f>AVERAGE($AH$2:$AH$98)</f>
        <v>2.1855670103092781</v>
      </c>
      <c r="AK2" t="s">
        <v>112</v>
      </c>
      <c r="AL2">
        <v>37</v>
      </c>
      <c r="AM2" t="s">
        <v>115</v>
      </c>
      <c r="AN2" t="s">
        <v>111</v>
      </c>
      <c r="AO2">
        <v>12.872</v>
      </c>
      <c r="AY2" s="1"/>
    </row>
    <row r="3" spans="1:51" ht="15.6">
      <c r="A3">
        <v>1</v>
      </c>
      <c r="B3" t="s">
        <v>4</v>
      </c>
      <c r="C3" t="s">
        <v>3</v>
      </c>
      <c r="D3" s="3">
        <f t="shared" ref="D3:D66" si="1">100*(35/97)</f>
        <v>36.082474226804123</v>
      </c>
      <c r="E3" s="3">
        <v>47.7</v>
      </c>
      <c r="F3">
        <v>2015</v>
      </c>
      <c r="G3">
        <f t="shared" ref="G3:G66" si="2">2025-F3</f>
        <v>10</v>
      </c>
      <c r="H3">
        <f t="shared" ref="H3:H33" si="3">AVERAGE($AD$2:$AD$98)</f>
        <v>0.19699645297938143</v>
      </c>
      <c r="I3">
        <v>0.40300000000000002</v>
      </c>
      <c r="J3">
        <v>97</v>
      </c>
      <c r="K3">
        <v>3</v>
      </c>
      <c r="L3">
        <v>270</v>
      </c>
      <c r="M3" s="12">
        <f t="shared" ref="M3:M66" si="4">_xlfn.VAR.P($AD$2:$AD$98)</f>
        <v>6.5302343936490675E-2</v>
      </c>
      <c r="N3">
        <f t="shared" si="0"/>
        <v>2.6094396443934013E-2</v>
      </c>
      <c r="O3">
        <v>0.25700000000000001</v>
      </c>
      <c r="P3" t="s">
        <v>6</v>
      </c>
      <c r="Q3" t="s">
        <v>371</v>
      </c>
      <c r="R3" cm="1">
        <f t="array" ref="R3">_xlfn.IFS(Q3="PS",3.607,Q3="JEPLMC",6.096,Q3="JPSP",2.579)</f>
        <v>3.6070000000000002</v>
      </c>
      <c r="S3">
        <f t="shared" ref="S3:S66" si="5">AVERAGE($R$2:$R$98)</f>
        <v>4.0181340206185618</v>
      </c>
      <c r="T3" t="s">
        <v>101</v>
      </c>
      <c r="U3">
        <v>52</v>
      </c>
      <c r="V3" t="s">
        <v>138</v>
      </c>
      <c r="W3">
        <f t="shared" ref="W3:W66" si="6">AVERAGE($U$2:$U$98)</f>
        <v>84.030927835051543</v>
      </c>
      <c r="X3" t="s">
        <v>377</v>
      </c>
      <c r="Y3">
        <v>2008</v>
      </c>
      <c r="Z3">
        <f>2025-AVERAGE($Y$2:$Y$98)</f>
        <v>17</v>
      </c>
      <c r="AA3" t="s">
        <v>389</v>
      </c>
      <c r="AB3">
        <v>0.13200000000000001</v>
      </c>
      <c r="AC3">
        <v>0.38174421200000003</v>
      </c>
      <c r="AD3" s="3">
        <v>-0.222920955</v>
      </c>
      <c r="AE3">
        <v>1</v>
      </c>
      <c r="AF3" t="s">
        <v>138</v>
      </c>
      <c r="AG3">
        <v>2</v>
      </c>
      <c r="AH3">
        <v>1</v>
      </c>
      <c r="AI3">
        <f t="shared" ref="AI3:AI66" si="7">AVERAGE($AG$2:$AG$98)</f>
        <v>2.865979381443299</v>
      </c>
      <c r="AJ3">
        <f t="shared" ref="AJ3:AJ66" si="8">AVERAGE($AH$2:$AH$98)</f>
        <v>2.1855670103092781</v>
      </c>
      <c r="AK3" t="s">
        <v>112</v>
      </c>
      <c r="AL3">
        <v>37</v>
      </c>
      <c r="AM3" t="s">
        <v>115</v>
      </c>
      <c r="AN3" t="s">
        <v>111</v>
      </c>
      <c r="AO3">
        <v>12.872</v>
      </c>
    </row>
    <row r="4" spans="1:51" ht="15.6">
      <c r="A4">
        <v>1</v>
      </c>
      <c r="B4" t="s">
        <v>4</v>
      </c>
      <c r="C4" t="s">
        <v>3</v>
      </c>
      <c r="D4" s="3">
        <f t="shared" si="1"/>
        <v>36.082474226804123</v>
      </c>
      <c r="E4" s="3">
        <v>47.7</v>
      </c>
      <c r="F4">
        <v>2015</v>
      </c>
      <c r="G4">
        <f t="shared" si="2"/>
        <v>10</v>
      </c>
      <c r="H4">
        <f t="shared" si="3"/>
        <v>0.19699645297938143</v>
      </c>
      <c r="I4">
        <v>0.40300000000000002</v>
      </c>
      <c r="J4">
        <v>97</v>
      </c>
      <c r="K4">
        <v>3</v>
      </c>
      <c r="L4">
        <v>270</v>
      </c>
      <c r="M4" s="12">
        <f t="shared" si="4"/>
        <v>6.5302343936490675E-2</v>
      </c>
      <c r="N4">
        <f t="shared" si="0"/>
        <v>2.6094396443934013E-2</v>
      </c>
      <c r="O4">
        <v>0.25700000000000001</v>
      </c>
      <c r="P4" t="s">
        <v>7</v>
      </c>
      <c r="Q4" t="s">
        <v>372</v>
      </c>
      <c r="R4" cm="1">
        <f t="array" ref="R4">_xlfn.IFS(Q4="PS",3.607,Q4="JEPLMC",6.096,Q4="JPSP",2.579)</f>
        <v>6.0960000000000001</v>
      </c>
      <c r="S4" s="1">
        <f t="shared" si="5"/>
        <v>4.0181340206185618</v>
      </c>
      <c r="T4" t="s">
        <v>101</v>
      </c>
      <c r="U4">
        <v>55</v>
      </c>
      <c r="V4" t="s">
        <v>138</v>
      </c>
      <c r="W4">
        <f t="shared" si="6"/>
        <v>84.030927835051543</v>
      </c>
      <c r="X4" t="s">
        <v>377</v>
      </c>
      <c r="Y4">
        <v>2008</v>
      </c>
      <c r="Z4">
        <f>2025-AVERAGE($Y$2:$Y$98)</f>
        <v>17</v>
      </c>
      <c r="AA4" t="s">
        <v>390</v>
      </c>
      <c r="AB4">
        <v>0.22900000000000001</v>
      </c>
      <c r="AC4">
        <v>0.42497966500000001</v>
      </c>
      <c r="AD4" s="3">
        <v>-0.21524383499999999</v>
      </c>
      <c r="AE4">
        <v>1</v>
      </c>
      <c r="AF4" t="s">
        <v>138</v>
      </c>
      <c r="AG4">
        <v>4</v>
      </c>
      <c r="AH4">
        <v>1</v>
      </c>
      <c r="AI4">
        <f t="shared" si="7"/>
        <v>2.865979381443299</v>
      </c>
      <c r="AJ4">
        <f t="shared" si="8"/>
        <v>2.1855670103092781</v>
      </c>
      <c r="AK4" t="s">
        <v>112</v>
      </c>
      <c r="AL4">
        <v>37</v>
      </c>
      <c r="AM4" t="s">
        <v>115</v>
      </c>
      <c r="AN4" t="s">
        <v>111</v>
      </c>
      <c r="AO4">
        <v>12.872</v>
      </c>
      <c r="AY4" s="1"/>
    </row>
    <row r="5" spans="1:51" ht="15.6">
      <c r="A5">
        <v>1</v>
      </c>
      <c r="B5" t="s">
        <v>4</v>
      </c>
      <c r="C5" t="s">
        <v>3</v>
      </c>
      <c r="D5" s="3">
        <f t="shared" si="1"/>
        <v>36.082474226804123</v>
      </c>
      <c r="E5" s="3">
        <v>47.7</v>
      </c>
      <c r="F5">
        <v>2015</v>
      </c>
      <c r="G5">
        <f t="shared" si="2"/>
        <v>10</v>
      </c>
      <c r="H5">
        <f t="shared" si="3"/>
        <v>0.19699645297938143</v>
      </c>
      <c r="I5">
        <v>0.40300000000000002</v>
      </c>
      <c r="J5">
        <v>97</v>
      </c>
      <c r="K5">
        <v>3</v>
      </c>
      <c r="L5">
        <v>270</v>
      </c>
      <c r="M5" s="12">
        <f t="shared" si="4"/>
        <v>6.5302343936490675E-2</v>
      </c>
      <c r="N5">
        <f t="shared" si="0"/>
        <v>2.6094396443934013E-2</v>
      </c>
      <c r="O5">
        <v>0.25700000000000001</v>
      </c>
      <c r="P5" t="s">
        <v>8</v>
      </c>
      <c r="Q5" t="s">
        <v>371</v>
      </c>
      <c r="R5" cm="1">
        <f t="array" ref="R5">_xlfn.IFS(Q5="PS",3.607,Q5="JEPLMC",6.096,Q5="JPSP",2.579)</f>
        <v>3.6070000000000002</v>
      </c>
      <c r="S5" s="1">
        <f t="shared" si="5"/>
        <v>4.0181340206185618</v>
      </c>
      <c r="T5" t="s">
        <v>101</v>
      </c>
      <c r="U5">
        <v>28</v>
      </c>
      <c r="V5" t="s">
        <v>138</v>
      </c>
      <c r="W5">
        <f t="shared" si="6"/>
        <v>84.030927835051543</v>
      </c>
      <c r="X5" t="s">
        <v>377</v>
      </c>
      <c r="Y5">
        <v>2008</v>
      </c>
      <c r="Z5">
        <f>2025-AVERAGE($Y$2:$Y$98)</f>
        <v>17</v>
      </c>
      <c r="AA5">
        <v>3.6999999999999998E-2</v>
      </c>
      <c r="AB5">
        <v>0.21</v>
      </c>
      <c r="AC5">
        <v>0.28378815000000002</v>
      </c>
      <c r="AD5" s="3">
        <v>-0.17545459199999999</v>
      </c>
      <c r="AE5">
        <v>1</v>
      </c>
      <c r="AF5" t="s">
        <v>138</v>
      </c>
      <c r="AG5">
        <v>3</v>
      </c>
      <c r="AH5">
        <v>3</v>
      </c>
      <c r="AI5">
        <f t="shared" si="7"/>
        <v>2.865979381443299</v>
      </c>
      <c r="AJ5">
        <f t="shared" si="8"/>
        <v>2.1855670103092781</v>
      </c>
      <c r="AK5" t="s">
        <v>112</v>
      </c>
      <c r="AL5">
        <v>37</v>
      </c>
      <c r="AM5" t="s">
        <v>115</v>
      </c>
      <c r="AN5" t="s">
        <v>111</v>
      </c>
      <c r="AO5">
        <v>12.872</v>
      </c>
      <c r="AY5" s="1"/>
    </row>
    <row r="6" spans="1:51" ht="15.6">
      <c r="A6">
        <v>1</v>
      </c>
      <c r="B6" t="s">
        <v>4</v>
      </c>
      <c r="C6" t="s">
        <v>3</v>
      </c>
      <c r="D6" s="3">
        <f t="shared" si="1"/>
        <v>36.082474226804123</v>
      </c>
      <c r="E6" s="3">
        <v>47.7</v>
      </c>
      <c r="F6">
        <v>2015</v>
      </c>
      <c r="G6">
        <f t="shared" si="2"/>
        <v>10</v>
      </c>
      <c r="H6">
        <f t="shared" si="3"/>
        <v>0.19699645297938143</v>
      </c>
      <c r="I6">
        <v>0.40300000000000002</v>
      </c>
      <c r="J6">
        <v>97</v>
      </c>
      <c r="K6">
        <v>3</v>
      </c>
      <c r="L6">
        <v>270</v>
      </c>
      <c r="M6" s="12">
        <f t="shared" si="4"/>
        <v>6.5302343936490675E-2</v>
      </c>
      <c r="N6">
        <f t="shared" si="0"/>
        <v>2.6094396443934013E-2</v>
      </c>
      <c r="O6">
        <v>0.25700000000000001</v>
      </c>
      <c r="P6" t="s">
        <v>9</v>
      </c>
      <c r="Q6" t="s">
        <v>373</v>
      </c>
      <c r="R6" cm="1">
        <f t="array" ref="R6">_xlfn.IFS(Q6="PS",3.607,Q6="JEPLMC",6.096,Q6="JPSP",2.579)</f>
        <v>2.5790000000000002</v>
      </c>
      <c r="S6" s="1">
        <f t="shared" si="5"/>
        <v>4.0181340206185618</v>
      </c>
      <c r="T6" t="s">
        <v>101</v>
      </c>
      <c r="U6">
        <v>117</v>
      </c>
      <c r="V6" t="s">
        <v>138</v>
      </c>
      <c r="W6">
        <f t="shared" si="6"/>
        <v>84.030927835051543</v>
      </c>
      <c r="X6" t="s">
        <v>377</v>
      </c>
      <c r="Y6">
        <v>2008</v>
      </c>
      <c r="Z6">
        <f>2025-AVERAGE($Y$2:$Y$98)</f>
        <v>17</v>
      </c>
      <c r="AA6" t="s">
        <v>391</v>
      </c>
      <c r="AB6">
        <v>0.26500000000000001</v>
      </c>
      <c r="AC6">
        <v>0.317462994</v>
      </c>
      <c r="AD6" s="3">
        <v>-0.1351</v>
      </c>
      <c r="AE6">
        <v>1</v>
      </c>
      <c r="AF6" t="s">
        <v>138</v>
      </c>
      <c r="AG6">
        <v>4</v>
      </c>
      <c r="AH6">
        <v>4</v>
      </c>
      <c r="AI6">
        <f t="shared" si="7"/>
        <v>2.865979381443299</v>
      </c>
      <c r="AJ6">
        <f t="shared" si="8"/>
        <v>2.1855670103092781</v>
      </c>
      <c r="AK6" t="s">
        <v>112</v>
      </c>
      <c r="AL6">
        <v>37</v>
      </c>
      <c r="AM6" t="s">
        <v>115</v>
      </c>
      <c r="AN6" t="s">
        <v>111</v>
      </c>
      <c r="AO6">
        <v>12.872</v>
      </c>
      <c r="AY6" s="1"/>
    </row>
    <row r="7" spans="1:51" ht="15.6">
      <c r="A7">
        <v>1</v>
      </c>
      <c r="B7" t="s">
        <v>4</v>
      </c>
      <c r="C7" t="s">
        <v>3</v>
      </c>
      <c r="D7" s="3">
        <f t="shared" si="1"/>
        <v>36.082474226804123</v>
      </c>
      <c r="E7" s="3">
        <v>47.7</v>
      </c>
      <c r="F7">
        <v>2015</v>
      </c>
      <c r="G7">
        <f t="shared" si="2"/>
        <v>10</v>
      </c>
      <c r="H7">
        <f t="shared" si="3"/>
        <v>0.19699645297938143</v>
      </c>
      <c r="I7">
        <v>0.40300000000000002</v>
      </c>
      <c r="J7">
        <v>97</v>
      </c>
      <c r="K7">
        <v>3</v>
      </c>
      <c r="L7">
        <v>270</v>
      </c>
      <c r="M7" s="12">
        <f t="shared" si="4"/>
        <v>6.5302343936490675E-2</v>
      </c>
      <c r="N7">
        <f t="shared" si="0"/>
        <v>2.6094396443934013E-2</v>
      </c>
      <c r="O7">
        <v>0.25700000000000001</v>
      </c>
      <c r="P7" t="s">
        <v>10</v>
      </c>
      <c r="Q7" t="s">
        <v>372</v>
      </c>
      <c r="R7" cm="1">
        <f t="array" ref="R7">_xlfn.IFS(Q7="PS",3.607,Q7="JEPLMC",6.096,Q7="JPSP",2.579)</f>
        <v>6.0960000000000001</v>
      </c>
      <c r="S7">
        <f t="shared" si="5"/>
        <v>4.0181340206185618</v>
      </c>
      <c r="T7" t="s">
        <v>101</v>
      </c>
      <c r="U7">
        <v>14</v>
      </c>
      <c r="V7" t="s">
        <v>138</v>
      </c>
      <c r="W7">
        <f t="shared" si="6"/>
        <v>84.030927835051543</v>
      </c>
      <c r="X7" t="s">
        <v>377</v>
      </c>
      <c r="Y7">
        <v>2008</v>
      </c>
      <c r="Z7">
        <f>2025-AVERAGE($Y$2:$Y$98)</f>
        <v>17</v>
      </c>
      <c r="AA7" t="s">
        <v>392</v>
      </c>
      <c r="AB7">
        <v>0.54</v>
      </c>
      <c r="AC7">
        <v>0.56142253399999997</v>
      </c>
      <c r="AD7" s="3">
        <v>-0.110614348</v>
      </c>
      <c r="AE7">
        <v>1</v>
      </c>
      <c r="AF7" t="s">
        <v>138</v>
      </c>
      <c r="AG7">
        <v>3</v>
      </c>
      <c r="AH7">
        <v>1</v>
      </c>
      <c r="AI7">
        <f t="shared" si="7"/>
        <v>2.865979381443299</v>
      </c>
      <c r="AJ7">
        <f t="shared" si="8"/>
        <v>2.1855670103092781</v>
      </c>
      <c r="AK7" t="s">
        <v>112</v>
      </c>
      <c r="AL7">
        <v>37</v>
      </c>
      <c r="AM7" t="s">
        <v>115</v>
      </c>
      <c r="AN7" t="s">
        <v>111</v>
      </c>
      <c r="AO7">
        <v>12.872</v>
      </c>
    </row>
    <row r="8" spans="1:51" ht="15.6">
      <c r="A8">
        <v>1</v>
      </c>
      <c r="B8" t="s">
        <v>4</v>
      </c>
      <c r="C8" t="s">
        <v>3</v>
      </c>
      <c r="D8" s="3">
        <f t="shared" si="1"/>
        <v>36.082474226804123</v>
      </c>
      <c r="E8" s="3">
        <v>47.7</v>
      </c>
      <c r="F8">
        <v>2015</v>
      </c>
      <c r="G8">
        <f t="shared" si="2"/>
        <v>10</v>
      </c>
      <c r="H8">
        <f t="shared" si="3"/>
        <v>0.19699645297938143</v>
      </c>
      <c r="I8">
        <v>0.40300000000000002</v>
      </c>
      <c r="J8">
        <v>97</v>
      </c>
      <c r="K8">
        <v>3</v>
      </c>
      <c r="L8">
        <v>270</v>
      </c>
      <c r="M8" s="12">
        <f t="shared" si="4"/>
        <v>6.5302343936490675E-2</v>
      </c>
      <c r="N8">
        <f t="shared" si="0"/>
        <v>2.6094396443934013E-2</v>
      </c>
      <c r="O8">
        <v>0.25700000000000001</v>
      </c>
      <c r="P8" t="s">
        <v>11</v>
      </c>
      <c r="Q8" t="s">
        <v>373</v>
      </c>
      <c r="R8" cm="1">
        <f t="array" ref="R8">_xlfn.IFS(Q8="PS",3.607,Q8="JEPLMC",6.096,Q8="JPSP",2.579)</f>
        <v>2.5790000000000002</v>
      </c>
      <c r="S8">
        <f t="shared" si="5"/>
        <v>4.0181340206185618</v>
      </c>
      <c r="T8" t="s">
        <v>101</v>
      </c>
      <c r="U8">
        <v>138</v>
      </c>
      <c r="V8" t="s">
        <v>138</v>
      </c>
      <c r="W8">
        <f t="shared" si="6"/>
        <v>84.030927835051543</v>
      </c>
      <c r="X8" t="s">
        <v>377</v>
      </c>
      <c r="Y8">
        <v>2008</v>
      </c>
      <c r="Z8">
        <f>2025-AVERAGE($Y$2:$Y$98)</f>
        <v>17</v>
      </c>
      <c r="AA8" t="s">
        <v>389</v>
      </c>
      <c r="AB8">
        <v>0.23499999999999999</v>
      </c>
      <c r="AC8">
        <v>0.26827896499999998</v>
      </c>
      <c r="AD8" s="3">
        <v>-0.101637251</v>
      </c>
      <c r="AE8">
        <v>1</v>
      </c>
      <c r="AF8" t="s">
        <v>138</v>
      </c>
      <c r="AG8">
        <v>2</v>
      </c>
      <c r="AH8">
        <v>1</v>
      </c>
      <c r="AI8">
        <f t="shared" si="7"/>
        <v>2.865979381443299</v>
      </c>
      <c r="AJ8">
        <f t="shared" si="8"/>
        <v>2.1855670103092781</v>
      </c>
      <c r="AK8" t="s">
        <v>112</v>
      </c>
      <c r="AL8">
        <v>37</v>
      </c>
      <c r="AM8" t="s">
        <v>115</v>
      </c>
      <c r="AN8" t="s">
        <v>111</v>
      </c>
      <c r="AO8">
        <v>12.872</v>
      </c>
    </row>
    <row r="9" spans="1:51" ht="15.6">
      <c r="A9">
        <v>1</v>
      </c>
      <c r="B9" t="s">
        <v>4</v>
      </c>
      <c r="C9" t="s">
        <v>3</v>
      </c>
      <c r="D9" s="3">
        <f t="shared" si="1"/>
        <v>36.082474226804123</v>
      </c>
      <c r="E9" s="3">
        <v>47.7</v>
      </c>
      <c r="F9">
        <v>2015</v>
      </c>
      <c r="G9">
        <f t="shared" si="2"/>
        <v>10</v>
      </c>
      <c r="H9">
        <f t="shared" si="3"/>
        <v>0.19699645297938143</v>
      </c>
      <c r="I9">
        <v>0.40300000000000002</v>
      </c>
      <c r="J9">
        <v>97</v>
      </c>
      <c r="K9">
        <v>3</v>
      </c>
      <c r="L9">
        <v>270</v>
      </c>
      <c r="M9" s="12">
        <f t="shared" si="4"/>
        <v>6.5302343936490675E-2</v>
      </c>
      <c r="N9">
        <f t="shared" si="0"/>
        <v>2.6094396443934013E-2</v>
      </c>
      <c r="O9">
        <v>0.25700000000000001</v>
      </c>
      <c r="P9" t="s">
        <v>12</v>
      </c>
      <c r="Q9" t="s">
        <v>373</v>
      </c>
      <c r="R9" cm="1">
        <f t="array" ref="R9">_xlfn.IFS(Q9="PS",3.607,Q9="JEPLMC",6.096,Q9="JPSP",2.579)</f>
        <v>2.5790000000000002</v>
      </c>
      <c r="S9">
        <f t="shared" si="5"/>
        <v>4.0181340206185618</v>
      </c>
      <c r="T9" t="s">
        <v>101</v>
      </c>
      <c r="U9">
        <v>74</v>
      </c>
      <c r="V9" t="s">
        <v>138</v>
      </c>
      <c r="W9">
        <f t="shared" si="6"/>
        <v>84.030927835051543</v>
      </c>
      <c r="X9" t="s">
        <v>377</v>
      </c>
      <c r="Y9">
        <v>2008</v>
      </c>
      <c r="Z9">
        <f>2025-AVERAGE($Y$2:$Y$98)</f>
        <v>17</v>
      </c>
      <c r="AA9">
        <v>0.03</v>
      </c>
      <c r="AB9">
        <v>0.47</v>
      </c>
      <c r="AC9">
        <v>0.22549008600000001</v>
      </c>
      <c r="AD9" s="3">
        <v>-5.2290282E-2</v>
      </c>
      <c r="AE9">
        <v>1</v>
      </c>
      <c r="AF9" t="s">
        <v>138</v>
      </c>
      <c r="AG9">
        <v>6</v>
      </c>
      <c r="AH9">
        <v>6</v>
      </c>
      <c r="AI9">
        <f t="shared" si="7"/>
        <v>2.865979381443299</v>
      </c>
      <c r="AJ9">
        <f t="shared" si="8"/>
        <v>2.1855670103092781</v>
      </c>
      <c r="AK9" t="s">
        <v>112</v>
      </c>
      <c r="AL9">
        <v>37</v>
      </c>
      <c r="AM9" t="s">
        <v>115</v>
      </c>
      <c r="AN9" t="s">
        <v>111</v>
      </c>
      <c r="AO9">
        <v>12.872</v>
      </c>
    </row>
    <row r="10" spans="1:51" ht="15.6">
      <c r="A10">
        <v>1</v>
      </c>
      <c r="B10" t="s">
        <v>4</v>
      </c>
      <c r="C10" t="s">
        <v>3</v>
      </c>
      <c r="D10" s="3">
        <f t="shared" si="1"/>
        <v>36.082474226804123</v>
      </c>
      <c r="E10" s="3">
        <v>47.7</v>
      </c>
      <c r="F10">
        <v>2015</v>
      </c>
      <c r="G10">
        <f>2025-F10</f>
        <v>10</v>
      </c>
      <c r="H10">
        <f t="shared" si="3"/>
        <v>0.19699645297938143</v>
      </c>
      <c r="I10">
        <v>0.40300000000000002</v>
      </c>
      <c r="J10">
        <v>97</v>
      </c>
      <c r="K10">
        <v>3</v>
      </c>
      <c r="L10">
        <v>270</v>
      </c>
      <c r="M10" s="12">
        <f t="shared" si="4"/>
        <v>6.5302343936490675E-2</v>
      </c>
      <c r="N10">
        <f t="shared" si="0"/>
        <v>2.6094396443934013E-2</v>
      </c>
      <c r="O10">
        <v>0.25700000000000001</v>
      </c>
      <c r="P10" t="s">
        <v>13</v>
      </c>
      <c r="Q10" t="s">
        <v>371</v>
      </c>
      <c r="R10" cm="1">
        <f t="array" ref="R10">_xlfn.IFS(Q10="PS",3.607,Q10="JEPLMC",6.096,Q10="JPSP",2.579)</f>
        <v>3.6070000000000002</v>
      </c>
      <c r="S10">
        <f t="shared" si="5"/>
        <v>4.0181340206185618</v>
      </c>
      <c r="T10" t="s">
        <v>101</v>
      </c>
      <c r="U10">
        <v>202</v>
      </c>
      <c r="V10" t="s">
        <v>138</v>
      </c>
      <c r="W10">
        <f t="shared" si="6"/>
        <v>84.030927835051543</v>
      </c>
      <c r="X10" t="s">
        <v>377</v>
      </c>
      <c r="Y10">
        <v>2008</v>
      </c>
      <c r="Z10">
        <f>2025-AVERAGE($Y$2:$Y$98)</f>
        <v>17</v>
      </c>
      <c r="AA10">
        <v>0.92</v>
      </c>
      <c r="AB10">
        <v>0.53900000000000003</v>
      </c>
      <c r="AC10">
        <v>0.21368682999999999</v>
      </c>
      <c r="AD10" s="3">
        <v>-4.8918238000000003E-2</v>
      </c>
      <c r="AE10">
        <v>1</v>
      </c>
      <c r="AF10" t="s">
        <v>138</v>
      </c>
      <c r="AG10">
        <v>2</v>
      </c>
      <c r="AH10">
        <v>3</v>
      </c>
      <c r="AI10">
        <f t="shared" si="7"/>
        <v>2.865979381443299</v>
      </c>
      <c r="AJ10">
        <f t="shared" si="8"/>
        <v>2.1855670103092781</v>
      </c>
      <c r="AK10" t="s">
        <v>112</v>
      </c>
      <c r="AL10">
        <v>37</v>
      </c>
      <c r="AM10" t="s">
        <v>115</v>
      </c>
      <c r="AN10" t="s">
        <v>111</v>
      </c>
      <c r="AO10">
        <v>12.872</v>
      </c>
    </row>
    <row r="11" spans="1:51" ht="15.6">
      <c r="A11">
        <v>1</v>
      </c>
      <c r="B11" t="s">
        <v>4</v>
      </c>
      <c r="C11" t="s">
        <v>3</v>
      </c>
      <c r="D11" s="3">
        <f t="shared" si="1"/>
        <v>36.082474226804123</v>
      </c>
      <c r="E11" s="3">
        <v>47.7</v>
      </c>
      <c r="F11">
        <v>2015</v>
      </c>
      <c r="G11">
        <f t="shared" si="2"/>
        <v>10</v>
      </c>
      <c r="H11">
        <f t="shared" si="3"/>
        <v>0.19699645297938143</v>
      </c>
      <c r="I11">
        <v>0.40300000000000002</v>
      </c>
      <c r="J11">
        <v>97</v>
      </c>
      <c r="K11">
        <v>3</v>
      </c>
      <c r="L11">
        <v>270</v>
      </c>
      <c r="M11" s="12">
        <f t="shared" si="4"/>
        <v>6.5302343936490675E-2</v>
      </c>
      <c r="N11">
        <f t="shared" si="0"/>
        <v>2.6094396443934013E-2</v>
      </c>
      <c r="O11">
        <v>0.25700000000000001</v>
      </c>
      <c r="P11" t="s">
        <v>14</v>
      </c>
      <c r="Q11" t="s">
        <v>373</v>
      </c>
      <c r="R11" cm="1">
        <f t="array" ref="R11">_xlfn.IFS(Q11="PS",3.607,Q11="JEPLMC",6.096,Q11="JPSP",2.579)</f>
        <v>2.5790000000000002</v>
      </c>
      <c r="S11">
        <f t="shared" si="5"/>
        <v>4.0181340206185618</v>
      </c>
      <c r="T11" t="s">
        <v>101</v>
      </c>
      <c r="U11">
        <v>97</v>
      </c>
      <c r="V11" t="s">
        <v>138</v>
      </c>
      <c r="W11">
        <f t="shared" si="6"/>
        <v>84.030927835051543</v>
      </c>
      <c r="X11" t="s">
        <v>377</v>
      </c>
      <c r="Y11">
        <v>2008</v>
      </c>
      <c r="Z11">
        <f>2025-AVERAGE($Y$2:$Y$98)</f>
        <v>17</v>
      </c>
      <c r="AA11" t="s">
        <v>394</v>
      </c>
      <c r="AB11">
        <v>0.79600000000000004</v>
      </c>
      <c r="AC11">
        <v>0.37913949499999999</v>
      </c>
      <c r="AD11" s="3">
        <v>-4.2140103999999998E-2</v>
      </c>
      <c r="AE11">
        <v>1</v>
      </c>
      <c r="AF11" t="s">
        <v>138</v>
      </c>
      <c r="AG11">
        <v>4</v>
      </c>
      <c r="AH11">
        <v>2</v>
      </c>
      <c r="AI11">
        <f t="shared" si="7"/>
        <v>2.865979381443299</v>
      </c>
      <c r="AJ11">
        <f t="shared" si="8"/>
        <v>2.1855670103092781</v>
      </c>
      <c r="AK11" t="s">
        <v>112</v>
      </c>
      <c r="AL11">
        <v>37</v>
      </c>
      <c r="AM11" t="s">
        <v>115</v>
      </c>
      <c r="AN11" t="s">
        <v>111</v>
      </c>
      <c r="AO11">
        <v>12.872</v>
      </c>
    </row>
    <row r="12" spans="1:51" ht="15.6">
      <c r="A12">
        <v>1</v>
      </c>
      <c r="B12" t="s">
        <v>4</v>
      </c>
      <c r="C12" t="s">
        <v>3</v>
      </c>
      <c r="D12" s="3">
        <f t="shared" si="1"/>
        <v>36.082474226804123</v>
      </c>
      <c r="E12" s="3">
        <v>47.7</v>
      </c>
      <c r="F12">
        <v>2015</v>
      </c>
      <c r="G12">
        <f t="shared" si="2"/>
        <v>10</v>
      </c>
      <c r="H12">
        <f t="shared" si="3"/>
        <v>0.19699645297938143</v>
      </c>
      <c r="I12">
        <v>0.40300000000000002</v>
      </c>
      <c r="J12">
        <v>97</v>
      </c>
      <c r="K12">
        <v>3</v>
      </c>
      <c r="L12">
        <v>270</v>
      </c>
      <c r="M12" s="12">
        <f t="shared" si="4"/>
        <v>6.5302343936490675E-2</v>
      </c>
      <c r="N12">
        <f t="shared" si="0"/>
        <v>2.6094396443934013E-2</v>
      </c>
      <c r="O12">
        <v>0.25700000000000001</v>
      </c>
      <c r="P12" t="s">
        <v>15</v>
      </c>
      <c r="Q12" t="s">
        <v>373</v>
      </c>
      <c r="R12" cm="1">
        <f t="array" ref="R12">_xlfn.IFS(Q12="PS",3.607,Q12="JEPLMC",6.096,Q12="JPSP",2.579)</f>
        <v>2.5790000000000002</v>
      </c>
      <c r="S12">
        <f t="shared" si="5"/>
        <v>4.0181340206185618</v>
      </c>
      <c r="T12" t="s">
        <v>102</v>
      </c>
      <c r="U12">
        <v>240</v>
      </c>
      <c r="V12" t="s">
        <v>138</v>
      </c>
      <c r="W12">
        <f t="shared" si="6"/>
        <v>84.030927835051543</v>
      </c>
      <c r="X12" t="s">
        <v>377</v>
      </c>
      <c r="Y12">
        <v>2008</v>
      </c>
      <c r="Z12">
        <f>2025-AVERAGE($Y$2:$Y$98)</f>
        <v>17</v>
      </c>
      <c r="AA12">
        <v>1E-3</v>
      </c>
      <c r="AB12">
        <v>0.154</v>
      </c>
      <c r="AC12">
        <v>0.37827491600000002</v>
      </c>
      <c r="AD12" s="3">
        <v>-3.6935346000000001E-2</v>
      </c>
      <c r="AE12">
        <v>1</v>
      </c>
      <c r="AF12" t="s">
        <v>138</v>
      </c>
      <c r="AG12">
        <v>5</v>
      </c>
      <c r="AH12">
        <v>1</v>
      </c>
      <c r="AI12">
        <f t="shared" si="7"/>
        <v>2.865979381443299</v>
      </c>
      <c r="AJ12">
        <f t="shared" si="8"/>
        <v>2.1855670103092781</v>
      </c>
      <c r="AK12" t="s">
        <v>112</v>
      </c>
      <c r="AL12">
        <v>37</v>
      </c>
      <c r="AM12" t="s">
        <v>115</v>
      </c>
      <c r="AN12" t="s">
        <v>111</v>
      </c>
      <c r="AO12">
        <v>12.872</v>
      </c>
    </row>
    <row r="13" spans="1:51" ht="15.6">
      <c r="A13">
        <v>1</v>
      </c>
      <c r="B13" t="s">
        <v>4</v>
      </c>
      <c r="C13" t="s">
        <v>3</v>
      </c>
      <c r="D13" s="3">
        <f t="shared" si="1"/>
        <v>36.082474226804123</v>
      </c>
      <c r="E13" s="3">
        <v>47.7</v>
      </c>
      <c r="F13">
        <v>2015</v>
      </c>
      <c r="G13">
        <f t="shared" si="2"/>
        <v>10</v>
      </c>
      <c r="H13">
        <f t="shared" si="3"/>
        <v>0.19699645297938143</v>
      </c>
      <c r="I13">
        <v>0.40300000000000002</v>
      </c>
      <c r="J13">
        <v>97</v>
      </c>
      <c r="K13">
        <v>3</v>
      </c>
      <c r="L13">
        <v>270</v>
      </c>
      <c r="M13" s="12">
        <f t="shared" si="4"/>
        <v>6.5302343936490675E-2</v>
      </c>
      <c r="N13">
        <f t="shared" si="0"/>
        <v>2.6094396443934013E-2</v>
      </c>
      <c r="O13">
        <v>0.25700000000000001</v>
      </c>
      <c r="P13" t="s">
        <v>16</v>
      </c>
      <c r="Q13" t="s">
        <v>371</v>
      </c>
      <c r="R13" cm="1">
        <f t="array" ref="R13">_xlfn.IFS(Q13="PS",3.607,Q13="JEPLMC",6.096,Q13="JPSP",2.579)</f>
        <v>3.6070000000000002</v>
      </c>
      <c r="S13">
        <f t="shared" si="5"/>
        <v>4.0181340206185618</v>
      </c>
      <c r="T13" t="s">
        <v>101</v>
      </c>
      <c r="U13">
        <v>54</v>
      </c>
      <c r="V13" t="s">
        <v>138</v>
      </c>
      <c r="W13">
        <f t="shared" si="6"/>
        <v>84.030927835051543</v>
      </c>
      <c r="X13" t="s">
        <v>377</v>
      </c>
      <c r="Y13">
        <v>2008</v>
      </c>
      <c r="Z13">
        <f>2025-AVERAGE($Y$2:$Y$98)</f>
        <v>17</v>
      </c>
      <c r="AA13" t="s">
        <v>395</v>
      </c>
      <c r="AB13">
        <v>0.79</v>
      </c>
      <c r="AC13">
        <v>0.38426039899999997</v>
      </c>
      <c r="AD13" s="3">
        <v>-3.4279559000000001E-2</v>
      </c>
      <c r="AE13">
        <v>1</v>
      </c>
      <c r="AF13" t="s">
        <v>138</v>
      </c>
      <c r="AG13">
        <v>3</v>
      </c>
      <c r="AH13">
        <v>1</v>
      </c>
      <c r="AI13">
        <f t="shared" si="7"/>
        <v>2.865979381443299</v>
      </c>
      <c r="AJ13">
        <f t="shared" si="8"/>
        <v>2.1855670103092781</v>
      </c>
      <c r="AK13" t="s">
        <v>112</v>
      </c>
      <c r="AL13">
        <v>37</v>
      </c>
      <c r="AM13" t="s">
        <v>115</v>
      </c>
      <c r="AN13" t="s">
        <v>111</v>
      </c>
      <c r="AO13">
        <v>12.872</v>
      </c>
    </row>
    <row r="14" spans="1:51" ht="15.6">
      <c r="A14">
        <v>1</v>
      </c>
      <c r="B14" t="s">
        <v>4</v>
      </c>
      <c r="C14" t="s">
        <v>3</v>
      </c>
      <c r="D14" s="3">
        <f t="shared" si="1"/>
        <v>36.082474226804123</v>
      </c>
      <c r="E14" s="3">
        <v>47.7</v>
      </c>
      <c r="F14">
        <v>2015</v>
      </c>
      <c r="G14">
        <f t="shared" si="2"/>
        <v>10</v>
      </c>
      <c r="H14">
        <f t="shared" si="3"/>
        <v>0.19699645297938143</v>
      </c>
      <c r="I14">
        <v>0.40300000000000002</v>
      </c>
      <c r="J14">
        <v>97</v>
      </c>
      <c r="K14">
        <v>3</v>
      </c>
      <c r="L14">
        <v>270</v>
      </c>
      <c r="M14" s="12">
        <f t="shared" si="4"/>
        <v>6.5302343936490675E-2</v>
      </c>
      <c r="N14">
        <f t="shared" si="0"/>
        <v>2.6094396443934013E-2</v>
      </c>
      <c r="O14">
        <v>0.25700000000000001</v>
      </c>
      <c r="P14" t="s">
        <v>17</v>
      </c>
      <c r="Q14" t="s">
        <v>371</v>
      </c>
      <c r="R14" cm="1">
        <f t="array" ref="R14">_xlfn.IFS(Q14="PS",3.607,Q14="JEPLMC",6.096,Q14="JPSP",2.579)</f>
        <v>3.6070000000000002</v>
      </c>
      <c r="S14">
        <f t="shared" si="5"/>
        <v>4.0181340206185618</v>
      </c>
      <c r="T14" t="s">
        <v>101</v>
      </c>
      <c r="U14">
        <v>33</v>
      </c>
      <c r="V14" t="s">
        <v>138</v>
      </c>
      <c r="W14">
        <f t="shared" si="6"/>
        <v>84.030927835051543</v>
      </c>
      <c r="X14" t="s">
        <v>377</v>
      </c>
      <c r="Y14">
        <v>2008</v>
      </c>
      <c r="Z14">
        <f>2025-AVERAGE($Y$2:$Y$98)</f>
        <v>17</v>
      </c>
      <c r="AA14" t="s">
        <v>389</v>
      </c>
      <c r="AB14">
        <v>0.78</v>
      </c>
      <c r="AC14">
        <v>0.31</v>
      </c>
      <c r="AD14" s="3">
        <v>-3.4000000000000002E-2</v>
      </c>
      <c r="AE14">
        <v>1</v>
      </c>
      <c r="AF14" t="s">
        <v>138</v>
      </c>
      <c r="AG14">
        <v>3</v>
      </c>
      <c r="AH14">
        <v>2</v>
      </c>
      <c r="AI14">
        <f t="shared" si="7"/>
        <v>2.865979381443299</v>
      </c>
      <c r="AJ14">
        <f t="shared" si="8"/>
        <v>2.1855670103092781</v>
      </c>
      <c r="AK14" t="s">
        <v>112</v>
      </c>
      <c r="AL14">
        <v>37</v>
      </c>
      <c r="AM14" t="s">
        <v>115</v>
      </c>
      <c r="AN14" t="s">
        <v>111</v>
      </c>
      <c r="AO14">
        <v>12.872</v>
      </c>
    </row>
    <row r="15" spans="1:51" ht="15.6">
      <c r="A15">
        <v>1</v>
      </c>
      <c r="B15" t="s">
        <v>4</v>
      </c>
      <c r="C15" t="s">
        <v>3</v>
      </c>
      <c r="D15" s="3">
        <f t="shared" si="1"/>
        <v>36.082474226804123</v>
      </c>
      <c r="E15" s="3">
        <v>47.7</v>
      </c>
      <c r="F15">
        <v>2015</v>
      </c>
      <c r="G15">
        <f t="shared" si="2"/>
        <v>10</v>
      </c>
      <c r="H15">
        <f t="shared" si="3"/>
        <v>0.19699645297938143</v>
      </c>
      <c r="I15">
        <v>0.40300000000000002</v>
      </c>
      <c r="J15">
        <v>97</v>
      </c>
      <c r="K15">
        <v>3</v>
      </c>
      <c r="L15">
        <v>270</v>
      </c>
      <c r="M15" s="12">
        <f t="shared" si="4"/>
        <v>6.5302343936490675E-2</v>
      </c>
      <c r="N15">
        <f t="shared" si="0"/>
        <v>2.6094396443934013E-2</v>
      </c>
      <c r="O15">
        <v>0.25700000000000001</v>
      </c>
      <c r="P15" t="s">
        <v>18</v>
      </c>
      <c r="Q15" t="s">
        <v>373</v>
      </c>
      <c r="R15" cm="1">
        <f t="array" ref="R15">_xlfn.IFS(Q15="PS",3.607,Q15="JEPLMC",6.096,Q15="JPSP",2.579)</f>
        <v>2.5790000000000002</v>
      </c>
      <c r="S15">
        <f t="shared" si="5"/>
        <v>4.0181340206185618</v>
      </c>
      <c r="T15" t="s">
        <v>101</v>
      </c>
      <c r="U15">
        <v>46</v>
      </c>
      <c r="V15" t="s">
        <v>138</v>
      </c>
      <c r="W15">
        <f t="shared" si="6"/>
        <v>84.030927835051543</v>
      </c>
      <c r="X15" t="s">
        <v>377</v>
      </c>
      <c r="Y15">
        <v>2008</v>
      </c>
      <c r="Z15">
        <f>2025-AVERAGE($Y$2:$Y$98)</f>
        <v>17</v>
      </c>
      <c r="AA15">
        <v>0.02</v>
      </c>
      <c r="AB15">
        <v>0.77</v>
      </c>
      <c r="AC15">
        <v>0.378345294</v>
      </c>
      <c r="AD15" s="3">
        <v>-3.0485538E-2</v>
      </c>
      <c r="AE15">
        <v>1</v>
      </c>
      <c r="AF15" t="s">
        <v>138</v>
      </c>
      <c r="AG15">
        <v>9</v>
      </c>
      <c r="AH15">
        <v>3</v>
      </c>
      <c r="AI15">
        <f t="shared" si="7"/>
        <v>2.865979381443299</v>
      </c>
      <c r="AJ15">
        <f t="shared" si="8"/>
        <v>2.1855670103092781</v>
      </c>
      <c r="AK15" t="s">
        <v>112</v>
      </c>
      <c r="AL15">
        <v>37</v>
      </c>
      <c r="AM15" t="s">
        <v>115</v>
      </c>
      <c r="AN15" t="s">
        <v>111</v>
      </c>
      <c r="AO15">
        <v>12.872</v>
      </c>
    </row>
    <row r="16" spans="1:51" ht="15.6">
      <c r="A16">
        <v>1</v>
      </c>
      <c r="B16" t="s">
        <v>4</v>
      </c>
      <c r="C16" t="s">
        <v>3</v>
      </c>
      <c r="D16" s="3">
        <f t="shared" si="1"/>
        <v>36.082474226804123</v>
      </c>
      <c r="E16" s="3">
        <v>47.7</v>
      </c>
      <c r="F16">
        <v>2015</v>
      </c>
      <c r="G16">
        <f t="shared" si="2"/>
        <v>10</v>
      </c>
      <c r="H16">
        <f t="shared" si="3"/>
        <v>0.19699645297938143</v>
      </c>
      <c r="I16">
        <v>0.40300000000000002</v>
      </c>
      <c r="J16">
        <v>97</v>
      </c>
      <c r="K16">
        <v>3</v>
      </c>
      <c r="L16">
        <v>270</v>
      </c>
      <c r="M16" s="12">
        <f t="shared" si="4"/>
        <v>6.5302343936490675E-2</v>
      </c>
      <c r="N16">
        <f t="shared" si="0"/>
        <v>2.6094396443934013E-2</v>
      </c>
      <c r="O16">
        <v>0.25700000000000001</v>
      </c>
      <c r="P16" t="s">
        <v>19</v>
      </c>
      <c r="Q16" t="s">
        <v>371</v>
      </c>
      <c r="R16" cm="1">
        <f t="array" ref="R16">_xlfn.IFS(Q16="PS",3.607,Q16="JEPLMC",6.096,Q16="JPSP",2.579)</f>
        <v>3.6070000000000002</v>
      </c>
      <c r="S16">
        <f t="shared" si="5"/>
        <v>4.0181340206185618</v>
      </c>
      <c r="T16" t="s">
        <v>101</v>
      </c>
      <c r="U16">
        <v>20</v>
      </c>
      <c r="V16" t="s">
        <v>138</v>
      </c>
      <c r="W16">
        <f t="shared" si="6"/>
        <v>84.030927835051543</v>
      </c>
      <c r="X16" t="s">
        <v>377</v>
      </c>
      <c r="Y16">
        <v>2008</v>
      </c>
      <c r="Z16">
        <f>2025-AVERAGE($Y$2:$Y$98)</f>
        <v>17</v>
      </c>
      <c r="AA16">
        <v>8.0000000000000002E-3</v>
      </c>
      <c r="AB16">
        <v>0.628</v>
      </c>
      <c r="AC16">
        <v>0.18866254900000001</v>
      </c>
      <c r="AD16" s="3">
        <v>-3.0172294999999998E-2</v>
      </c>
      <c r="AE16">
        <v>1</v>
      </c>
      <c r="AF16" t="s">
        <v>138</v>
      </c>
      <c r="AG16">
        <v>2</v>
      </c>
      <c r="AH16">
        <v>2</v>
      </c>
      <c r="AI16">
        <f t="shared" si="7"/>
        <v>2.865979381443299</v>
      </c>
      <c r="AJ16">
        <f t="shared" si="8"/>
        <v>2.1855670103092781</v>
      </c>
      <c r="AK16" t="s">
        <v>112</v>
      </c>
      <c r="AL16">
        <v>37</v>
      </c>
      <c r="AM16" t="s">
        <v>115</v>
      </c>
      <c r="AN16" t="s">
        <v>111</v>
      </c>
      <c r="AO16">
        <v>12.872</v>
      </c>
    </row>
    <row r="17" spans="1:51" ht="15.6">
      <c r="A17">
        <v>1</v>
      </c>
      <c r="B17" t="s">
        <v>4</v>
      </c>
      <c r="C17" t="s">
        <v>3</v>
      </c>
      <c r="D17" s="3">
        <f t="shared" si="1"/>
        <v>36.082474226804123</v>
      </c>
      <c r="E17" s="3">
        <v>47.7</v>
      </c>
      <c r="F17">
        <v>2015</v>
      </c>
      <c r="G17">
        <f t="shared" si="2"/>
        <v>10</v>
      </c>
      <c r="H17">
        <f t="shared" si="3"/>
        <v>0.19699645297938143</v>
      </c>
      <c r="I17">
        <v>0.40300000000000002</v>
      </c>
      <c r="J17">
        <v>97</v>
      </c>
      <c r="K17">
        <v>3</v>
      </c>
      <c r="L17">
        <v>270</v>
      </c>
      <c r="M17" s="12">
        <f t="shared" si="4"/>
        <v>6.5302343936490675E-2</v>
      </c>
      <c r="N17">
        <f t="shared" si="0"/>
        <v>2.6094396443934013E-2</v>
      </c>
      <c r="O17">
        <v>0.25700000000000001</v>
      </c>
      <c r="P17" t="s">
        <v>20</v>
      </c>
      <c r="Q17" t="s">
        <v>372</v>
      </c>
      <c r="R17" cm="1">
        <f t="array" ref="R17">_xlfn.IFS(Q17="PS",3.607,Q17="JEPLMC",6.096,Q17="JPSP",2.579)</f>
        <v>6.0960000000000001</v>
      </c>
      <c r="S17">
        <f t="shared" si="5"/>
        <v>4.0181340206185618</v>
      </c>
      <c r="T17" t="s">
        <v>101</v>
      </c>
      <c r="U17">
        <v>39</v>
      </c>
      <c r="V17" t="s">
        <v>138</v>
      </c>
      <c r="W17">
        <f t="shared" si="6"/>
        <v>84.030927835051543</v>
      </c>
      <c r="X17" t="s">
        <v>377</v>
      </c>
      <c r="Y17">
        <v>2008</v>
      </c>
      <c r="Z17">
        <f>2025-AVERAGE($Y$2:$Y$98)</f>
        <v>17</v>
      </c>
      <c r="AA17" t="s">
        <v>396</v>
      </c>
      <c r="AB17">
        <v>0.94</v>
      </c>
      <c r="AC17">
        <v>0.22873961500000001</v>
      </c>
      <c r="AD17" s="3">
        <v>-6.1083580000000004E-3</v>
      </c>
      <c r="AE17">
        <v>1</v>
      </c>
      <c r="AF17" t="s">
        <v>138</v>
      </c>
      <c r="AG17">
        <v>3</v>
      </c>
      <c r="AH17">
        <v>1</v>
      </c>
      <c r="AI17">
        <f t="shared" si="7"/>
        <v>2.865979381443299</v>
      </c>
      <c r="AJ17">
        <f t="shared" si="8"/>
        <v>2.1855670103092781</v>
      </c>
      <c r="AK17" t="s">
        <v>112</v>
      </c>
      <c r="AL17">
        <v>37</v>
      </c>
      <c r="AM17" t="s">
        <v>115</v>
      </c>
      <c r="AN17" t="s">
        <v>111</v>
      </c>
      <c r="AO17">
        <v>12.872</v>
      </c>
    </row>
    <row r="18" spans="1:51" ht="15.6">
      <c r="A18">
        <v>1</v>
      </c>
      <c r="B18" t="s">
        <v>4</v>
      </c>
      <c r="C18" t="s">
        <v>3</v>
      </c>
      <c r="D18" s="3">
        <f t="shared" si="1"/>
        <v>36.082474226804123</v>
      </c>
      <c r="E18" s="3">
        <v>47.7</v>
      </c>
      <c r="F18">
        <v>2015</v>
      </c>
      <c r="G18">
        <f t="shared" si="2"/>
        <v>10</v>
      </c>
      <c r="H18">
        <f t="shared" si="3"/>
        <v>0.19699645297938143</v>
      </c>
      <c r="I18">
        <v>0.40300000000000002</v>
      </c>
      <c r="J18">
        <v>97</v>
      </c>
      <c r="K18">
        <v>3</v>
      </c>
      <c r="L18">
        <v>270</v>
      </c>
      <c r="M18" s="12">
        <f t="shared" si="4"/>
        <v>6.5302343936490675E-2</v>
      </c>
      <c r="N18">
        <f t="shared" si="0"/>
        <v>2.6094396443934013E-2</v>
      </c>
      <c r="O18">
        <v>0.25700000000000001</v>
      </c>
      <c r="P18" t="s">
        <v>21</v>
      </c>
      <c r="Q18" t="s">
        <v>373</v>
      </c>
      <c r="R18" cm="1">
        <f t="array" ref="R18">_xlfn.IFS(Q18="PS",3.607,Q18="JEPLMC",6.096,Q18="JPSP",2.579)</f>
        <v>2.5790000000000002</v>
      </c>
      <c r="S18">
        <f t="shared" si="5"/>
        <v>4.0181340206185618</v>
      </c>
      <c r="T18" t="s">
        <v>101</v>
      </c>
      <c r="U18">
        <v>80</v>
      </c>
      <c r="V18" t="s">
        <v>138</v>
      </c>
      <c r="W18">
        <f t="shared" si="6"/>
        <v>84.030927835051543</v>
      </c>
      <c r="X18" t="s">
        <v>377</v>
      </c>
      <c r="Y18">
        <v>2008</v>
      </c>
      <c r="Z18">
        <f>2025-AVERAGE($Y$2:$Y$98)</f>
        <v>17</v>
      </c>
      <c r="AA18" t="s">
        <v>389</v>
      </c>
      <c r="AB18">
        <v>0.94</v>
      </c>
      <c r="AC18">
        <v>0.219666896</v>
      </c>
      <c r="AD18" s="3">
        <v>-4.7193460000000001E-3</v>
      </c>
      <c r="AE18">
        <v>1</v>
      </c>
      <c r="AF18" t="s">
        <v>138</v>
      </c>
      <c r="AG18">
        <v>4</v>
      </c>
      <c r="AH18">
        <v>3</v>
      </c>
      <c r="AI18">
        <f t="shared" si="7"/>
        <v>2.865979381443299</v>
      </c>
      <c r="AJ18">
        <f t="shared" si="8"/>
        <v>2.1855670103092781</v>
      </c>
      <c r="AK18" t="s">
        <v>112</v>
      </c>
      <c r="AL18">
        <v>37</v>
      </c>
      <c r="AM18" t="s">
        <v>115</v>
      </c>
      <c r="AN18" t="s">
        <v>111</v>
      </c>
      <c r="AO18">
        <v>12.872</v>
      </c>
    </row>
    <row r="19" spans="1:51" ht="15.6">
      <c r="A19">
        <v>1</v>
      </c>
      <c r="B19" t="s">
        <v>4</v>
      </c>
      <c r="C19" t="s">
        <v>3</v>
      </c>
      <c r="D19" s="3">
        <f t="shared" si="1"/>
        <v>36.082474226804123</v>
      </c>
      <c r="E19" s="3">
        <v>47.7</v>
      </c>
      <c r="F19">
        <v>2015</v>
      </c>
      <c r="G19">
        <f t="shared" si="2"/>
        <v>10</v>
      </c>
      <c r="H19">
        <f t="shared" si="3"/>
        <v>0.19699645297938143</v>
      </c>
      <c r="I19">
        <v>0.40300000000000002</v>
      </c>
      <c r="J19">
        <v>97</v>
      </c>
      <c r="K19">
        <v>3</v>
      </c>
      <c r="L19">
        <v>270</v>
      </c>
      <c r="M19" s="12">
        <f t="shared" si="4"/>
        <v>6.5302343936490675E-2</v>
      </c>
      <c r="N19">
        <f t="shared" si="0"/>
        <v>2.6094396443934013E-2</v>
      </c>
      <c r="O19">
        <v>0.25700000000000001</v>
      </c>
      <c r="P19" t="s">
        <v>22</v>
      </c>
      <c r="Q19" t="s">
        <v>371</v>
      </c>
      <c r="R19" cm="1">
        <f t="array" ref="R19">_xlfn.IFS(Q19="PS",3.607,Q19="JEPLMC",6.096,Q19="JPSP",2.579)</f>
        <v>3.6070000000000002</v>
      </c>
      <c r="S19" s="1">
        <f t="shared" si="5"/>
        <v>4.0181340206185618</v>
      </c>
      <c r="T19" t="s">
        <v>101</v>
      </c>
      <c r="U19">
        <v>246</v>
      </c>
      <c r="V19" t="s">
        <v>138</v>
      </c>
      <c r="W19">
        <f t="shared" si="6"/>
        <v>84.030927835051543</v>
      </c>
      <c r="X19" t="s">
        <v>377</v>
      </c>
      <c r="Y19">
        <v>2008</v>
      </c>
      <c r="Z19">
        <f>2025-AVERAGE($Y$2:$Y$98)</f>
        <v>17</v>
      </c>
      <c r="AA19" t="s">
        <v>388</v>
      </c>
      <c r="AB19">
        <v>0.97</v>
      </c>
      <c r="AC19">
        <v>0.40001024400000001</v>
      </c>
      <c r="AD19" s="3">
        <v>2.8397980000000001E-3</v>
      </c>
      <c r="AE19">
        <v>1</v>
      </c>
      <c r="AF19" t="s">
        <v>138</v>
      </c>
      <c r="AG19">
        <v>3</v>
      </c>
      <c r="AH19">
        <v>3</v>
      </c>
      <c r="AI19">
        <f t="shared" si="7"/>
        <v>2.865979381443299</v>
      </c>
      <c r="AJ19">
        <f t="shared" si="8"/>
        <v>2.1855670103092781</v>
      </c>
      <c r="AK19" t="s">
        <v>112</v>
      </c>
      <c r="AL19">
        <v>37</v>
      </c>
      <c r="AM19" t="s">
        <v>115</v>
      </c>
      <c r="AN19" t="s">
        <v>111</v>
      </c>
      <c r="AO19">
        <v>12.872</v>
      </c>
      <c r="AY19" s="1"/>
    </row>
    <row r="20" spans="1:51" ht="15.6">
      <c r="A20">
        <v>1</v>
      </c>
      <c r="B20" t="s">
        <v>4</v>
      </c>
      <c r="C20" t="s">
        <v>3</v>
      </c>
      <c r="D20" s="3">
        <f t="shared" si="1"/>
        <v>36.082474226804123</v>
      </c>
      <c r="E20" s="3">
        <v>47.7</v>
      </c>
      <c r="F20">
        <v>2015</v>
      </c>
      <c r="G20">
        <f t="shared" si="2"/>
        <v>10</v>
      </c>
      <c r="H20">
        <f t="shared" si="3"/>
        <v>0.19699645297938143</v>
      </c>
      <c r="I20">
        <v>0.40300000000000002</v>
      </c>
      <c r="J20">
        <v>97</v>
      </c>
      <c r="K20">
        <v>3</v>
      </c>
      <c r="L20">
        <v>270</v>
      </c>
      <c r="M20" s="12">
        <f t="shared" si="4"/>
        <v>6.5302343936490675E-2</v>
      </c>
      <c r="N20">
        <f t="shared" si="0"/>
        <v>2.6094396443934013E-2</v>
      </c>
      <c r="O20">
        <v>0.25700000000000001</v>
      </c>
      <c r="P20" t="s">
        <v>23</v>
      </c>
      <c r="Q20" t="s">
        <v>373</v>
      </c>
      <c r="R20" cm="1">
        <f t="array" ref="R20">_xlfn.IFS(Q20="PS",3.607,Q20="JEPLMC",6.096,Q20="JPSP",2.579)</f>
        <v>2.5790000000000002</v>
      </c>
      <c r="S20" s="1">
        <f t="shared" si="5"/>
        <v>4.0181340206185618</v>
      </c>
      <c r="T20" t="s">
        <v>102</v>
      </c>
      <c r="U20">
        <v>59</v>
      </c>
      <c r="V20" t="s">
        <v>138</v>
      </c>
      <c r="W20">
        <f t="shared" si="6"/>
        <v>84.030927835051543</v>
      </c>
      <c r="X20" t="s">
        <v>377</v>
      </c>
      <c r="Y20">
        <v>2008</v>
      </c>
      <c r="Z20">
        <f>2025-AVERAGE($Y$2:$Y$98)</f>
        <v>17</v>
      </c>
      <c r="AA20" t="s">
        <v>389</v>
      </c>
      <c r="AB20">
        <v>0.96099999999999997</v>
      </c>
      <c r="AC20">
        <v>0.185849827</v>
      </c>
      <c r="AD20" s="3">
        <v>3.0014880000000001E-3</v>
      </c>
      <c r="AE20">
        <v>1</v>
      </c>
      <c r="AF20" t="s">
        <v>138</v>
      </c>
      <c r="AG20">
        <v>2</v>
      </c>
      <c r="AH20">
        <v>2</v>
      </c>
      <c r="AI20">
        <f t="shared" si="7"/>
        <v>2.865979381443299</v>
      </c>
      <c r="AJ20">
        <f t="shared" si="8"/>
        <v>2.1855670103092781</v>
      </c>
      <c r="AK20" t="s">
        <v>112</v>
      </c>
      <c r="AL20">
        <v>37</v>
      </c>
      <c r="AM20" t="s">
        <v>115</v>
      </c>
      <c r="AN20" t="s">
        <v>111</v>
      </c>
      <c r="AO20">
        <v>12.872</v>
      </c>
      <c r="AY20" s="1"/>
    </row>
    <row r="21" spans="1:51" ht="15.6">
      <c r="A21">
        <v>1</v>
      </c>
      <c r="B21" t="s">
        <v>4</v>
      </c>
      <c r="C21" t="s">
        <v>3</v>
      </c>
      <c r="D21" s="3">
        <f t="shared" si="1"/>
        <v>36.082474226804123</v>
      </c>
      <c r="E21" s="3">
        <v>47.7</v>
      </c>
      <c r="F21">
        <v>2015</v>
      </c>
      <c r="G21">
        <f t="shared" si="2"/>
        <v>10</v>
      </c>
      <c r="H21">
        <f t="shared" si="3"/>
        <v>0.19699645297938143</v>
      </c>
      <c r="I21">
        <v>0.40300000000000002</v>
      </c>
      <c r="J21">
        <v>97</v>
      </c>
      <c r="K21">
        <v>3</v>
      </c>
      <c r="L21">
        <v>270</v>
      </c>
      <c r="M21" s="12">
        <f t="shared" si="4"/>
        <v>6.5302343936490675E-2</v>
      </c>
      <c r="N21">
        <f t="shared" si="0"/>
        <v>2.6094396443934013E-2</v>
      </c>
      <c r="O21">
        <v>0.25700000000000001</v>
      </c>
      <c r="P21" t="s">
        <v>24</v>
      </c>
      <c r="Q21" t="s">
        <v>373</v>
      </c>
      <c r="R21" cm="1">
        <f t="array" ref="R21">_xlfn.IFS(Q21="PS",3.607,Q21="JEPLMC",6.096,Q21="JPSP",2.579)</f>
        <v>2.5790000000000002</v>
      </c>
      <c r="S21" s="1">
        <f t="shared" si="5"/>
        <v>4.0181340206185618</v>
      </c>
      <c r="T21" t="s">
        <v>101</v>
      </c>
      <c r="U21">
        <v>81</v>
      </c>
      <c r="V21" t="s">
        <v>138</v>
      </c>
      <c r="W21">
        <f t="shared" si="6"/>
        <v>84.030927835051543</v>
      </c>
      <c r="X21" t="s">
        <v>377</v>
      </c>
      <c r="Y21">
        <v>2008</v>
      </c>
      <c r="Z21">
        <f>2025-AVERAGE($Y$2:$Y$98)</f>
        <v>17</v>
      </c>
      <c r="AA21" t="s">
        <v>391</v>
      </c>
      <c r="AB21">
        <v>0.89</v>
      </c>
      <c r="AC21">
        <v>0.43186564599999999</v>
      </c>
      <c r="AD21" s="3">
        <v>1.1721165E-2</v>
      </c>
      <c r="AE21">
        <v>1</v>
      </c>
      <c r="AF21" t="s">
        <v>138</v>
      </c>
      <c r="AG21">
        <v>5</v>
      </c>
      <c r="AH21">
        <v>2</v>
      </c>
      <c r="AI21">
        <f t="shared" si="7"/>
        <v>2.865979381443299</v>
      </c>
      <c r="AJ21">
        <f t="shared" si="8"/>
        <v>2.1855670103092781</v>
      </c>
      <c r="AK21" t="s">
        <v>112</v>
      </c>
      <c r="AL21">
        <v>37</v>
      </c>
      <c r="AM21" t="s">
        <v>115</v>
      </c>
      <c r="AN21" t="s">
        <v>111</v>
      </c>
      <c r="AO21">
        <v>12.872</v>
      </c>
      <c r="AY21" s="1"/>
    </row>
    <row r="22" spans="1:51" ht="15.6">
      <c r="A22">
        <v>1</v>
      </c>
      <c r="B22" t="s">
        <v>4</v>
      </c>
      <c r="C22" t="s">
        <v>3</v>
      </c>
      <c r="D22" s="3">
        <f t="shared" si="1"/>
        <v>36.082474226804123</v>
      </c>
      <c r="E22" s="3">
        <v>47.7</v>
      </c>
      <c r="F22">
        <v>2015</v>
      </c>
      <c r="G22">
        <f t="shared" si="2"/>
        <v>10</v>
      </c>
      <c r="H22">
        <f t="shared" si="3"/>
        <v>0.19699645297938143</v>
      </c>
      <c r="I22">
        <v>0.40300000000000002</v>
      </c>
      <c r="J22">
        <v>97</v>
      </c>
      <c r="K22">
        <v>3</v>
      </c>
      <c r="L22">
        <v>270</v>
      </c>
      <c r="M22" s="12">
        <f t="shared" si="4"/>
        <v>6.5302343936490675E-2</v>
      </c>
      <c r="N22">
        <f t="shared" si="0"/>
        <v>2.6094396443934013E-2</v>
      </c>
      <c r="O22">
        <v>0.25700000000000001</v>
      </c>
      <c r="P22" t="s">
        <v>25</v>
      </c>
      <c r="Q22" t="s">
        <v>373</v>
      </c>
      <c r="R22" cm="1">
        <f t="array" ref="R22">_xlfn.IFS(Q22="PS",3.607,Q22="JEPLMC",6.096,Q22="JPSP",2.579)</f>
        <v>2.5790000000000002</v>
      </c>
      <c r="S22">
        <f t="shared" si="5"/>
        <v>4.0181340206185618</v>
      </c>
      <c r="T22" t="s">
        <v>101</v>
      </c>
      <c r="U22">
        <v>165</v>
      </c>
      <c r="V22" t="s">
        <v>138</v>
      </c>
      <c r="W22">
        <f t="shared" si="6"/>
        <v>84.030927835051543</v>
      </c>
      <c r="X22" t="s">
        <v>377</v>
      </c>
      <c r="Y22">
        <v>2008</v>
      </c>
      <c r="Z22">
        <f>2025-AVERAGE($Y$2:$Y$98)</f>
        <v>17</v>
      </c>
      <c r="AA22" t="s">
        <v>391</v>
      </c>
      <c r="AB22">
        <v>0.92800000000000005</v>
      </c>
      <c r="AC22">
        <v>0.395559206</v>
      </c>
      <c r="AD22" s="3">
        <v>1.3045451E-2</v>
      </c>
      <c r="AE22">
        <v>1</v>
      </c>
      <c r="AF22" t="s">
        <v>138</v>
      </c>
      <c r="AG22">
        <v>3</v>
      </c>
      <c r="AH22">
        <v>5</v>
      </c>
      <c r="AI22">
        <f t="shared" si="7"/>
        <v>2.865979381443299</v>
      </c>
      <c r="AJ22">
        <f t="shared" si="8"/>
        <v>2.1855670103092781</v>
      </c>
      <c r="AK22" t="s">
        <v>112</v>
      </c>
      <c r="AL22">
        <v>37</v>
      </c>
      <c r="AM22" t="s">
        <v>115</v>
      </c>
      <c r="AN22" t="s">
        <v>111</v>
      </c>
      <c r="AO22">
        <v>12.872</v>
      </c>
    </row>
    <row r="23" spans="1:51" ht="15.6">
      <c r="A23">
        <v>1</v>
      </c>
      <c r="B23" t="s">
        <v>4</v>
      </c>
      <c r="C23" t="s">
        <v>3</v>
      </c>
      <c r="D23" s="3">
        <f t="shared" si="1"/>
        <v>36.082474226804123</v>
      </c>
      <c r="E23" s="3">
        <v>47.7</v>
      </c>
      <c r="F23">
        <v>2015</v>
      </c>
      <c r="G23">
        <f t="shared" si="2"/>
        <v>10</v>
      </c>
      <c r="H23">
        <f t="shared" si="3"/>
        <v>0.19699645297938143</v>
      </c>
      <c r="I23">
        <v>0.40300000000000002</v>
      </c>
      <c r="J23">
        <v>97</v>
      </c>
      <c r="K23">
        <v>3</v>
      </c>
      <c r="L23">
        <v>270</v>
      </c>
      <c r="M23" s="12">
        <f t="shared" si="4"/>
        <v>6.5302343936490675E-2</v>
      </c>
      <c r="N23">
        <f t="shared" si="0"/>
        <v>2.6094396443934013E-2</v>
      </c>
      <c r="O23">
        <v>0.25700000000000001</v>
      </c>
      <c r="P23" t="s">
        <v>26</v>
      </c>
      <c r="Q23" t="s">
        <v>371</v>
      </c>
      <c r="R23" cm="1">
        <f t="array" ref="R23">_xlfn.IFS(Q23="PS",3.607,Q23="JEPLMC",6.096,Q23="JPSP",2.579)</f>
        <v>3.6070000000000002</v>
      </c>
      <c r="S23">
        <f t="shared" si="5"/>
        <v>4.0181340206185618</v>
      </c>
      <c r="T23" t="s">
        <v>101</v>
      </c>
      <c r="U23">
        <v>75</v>
      </c>
      <c r="V23" t="s">
        <v>138</v>
      </c>
      <c r="W23">
        <f t="shared" si="6"/>
        <v>84.030927835051543</v>
      </c>
      <c r="X23" t="s">
        <v>377</v>
      </c>
      <c r="Y23">
        <v>2008</v>
      </c>
      <c r="Z23">
        <f>2025-AVERAGE($Y$2:$Y$98)</f>
        <v>17</v>
      </c>
      <c r="AA23" t="s">
        <v>393</v>
      </c>
      <c r="AB23">
        <v>0.89</v>
      </c>
      <c r="AC23">
        <v>0.37177516300000002</v>
      </c>
      <c r="AD23" s="3">
        <v>1.7674908E-2</v>
      </c>
      <c r="AE23">
        <v>1</v>
      </c>
      <c r="AF23" t="s">
        <v>138</v>
      </c>
      <c r="AG23">
        <v>2</v>
      </c>
      <c r="AH23">
        <v>1</v>
      </c>
      <c r="AI23">
        <f t="shared" si="7"/>
        <v>2.865979381443299</v>
      </c>
      <c r="AJ23">
        <f t="shared" si="8"/>
        <v>2.1855670103092781</v>
      </c>
      <c r="AK23" t="s">
        <v>112</v>
      </c>
      <c r="AL23">
        <v>37</v>
      </c>
      <c r="AM23" t="s">
        <v>115</v>
      </c>
      <c r="AN23" t="s">
        <v>111</v>
      </c>
      <c r="AO23">
        <v>12.872</v>
      </c>
    </row>
    <row r="24" spans="1:51" ht="15.6">
      <c r="A24">
        <v>1</v>
      </c>
      <c r="B24" t="s">
        <v>4</v>
      </c>
      <c r="C24" t="s">
        <v>3</v>
      </c>
      <c r="D24" s="3">
        <f t="shared" si="1"/>
        <v>36.082474226804123</v>
      </c>
      <c r="E24" s="3">
        <v>47.7</v>
      </c>
      <c r="F24">
        <v>2015</v>
      </c>
      <c r="G24">
        <f t="shared" si="2"/>
        <v>10</v>
      </c>
      <c r="H24">
        <f t="shared" si="3"/>
        <v>0.19699645297938143</v>
      </c>
      <c r="I24">
        <v>0.40300000000000002</v>
      </c>
      <c r="J24">
        <v>97</v>
      </c>
      <c r="K24">
        <v>3</v>
      </c>
      <c r="L24">
        <v>270</v>
      </c>
      <c r="M24" s="12">
        <f t="shared" si="4"/>
        <v>6.5302343936490675E-2</v>
      </c>
      <c r="N24">
        <f t="shared" si="0"/>
        <v>2.6094396443934013E-2</v>
      </c>
      <c r="O24">
        <v>0.25700000000000001</v>
      </c>
      <c r="P24" t="s">
        <v>19</v>
      </c>
      <c r="Q24" t="s">
        <v>371</v>
      </c>
      <c r="R24" cm="1">
        <f t="array" ref="R24">_xlfn.IFS(Q24="PS",3.607,Q24="JEPLMC",6.096,Q24="JPSP",2.579)</f>
        <v>3.6070000000000002</v>
      </c>
      <c r="S24">
        <f t="shared" si="5"/>
        <v>4.0181340206185618</v>
      </c>
      <c r="T24" t="s">
        <v>101</v>
      </c>
      <c r="U24">
        <v>20</v>
      </c>
      <c r="V24" t="s">
        <v>138</v>
      </c>
      <c r="W24">
        <f t="shared" si="6"/>
        <v>84.030927835051543</v>
      </c>
      <c r="X24" t="s">
        <v>377</v>
      </c>
      <c r="Y24">
        <v>2008</v>
      </c>
      <c r="Z24">
        <f>2025-AVERAGE($Y$2:$Y$98)</f>
        <v>17</v>
      </c>
      <c r="AA24">
        <v>8.0000000000000002E-3</v>
      </c>
      <c r="AB24">
        <v>0.746</v>
      </c>
      <c r="AC24">
        <v>0.18866254900000001</v>
      </c>
      <c r="AD24" s="3">
        <v>1.8283410999999999E-2</v>
      </c>
      <c r="AE24">
        <v>1</v>
      </c>
      <c r="AF24" t="s">
        <v>138</v>
      </c>
      <c r="AG24">
        <v>2</v>
      </c>
      <c r="AH24">
        <v>2</v>
      </c>
      <c r="AI24">
        <f t="shared" si="7"/>
        <v>2.865979381443299</v>
      </c>
      <c r="AJ24">
        <f t="shared" si="8"/>
        <v>2.1855670103092781</v>
      </c>
      <c r="AK24" t="s">
        <v>112</v>
      </c>
      <c r="AL24">
        <v>37</v>
      </c>
      <c r="AM24" t="s">
        <v>115</v>
      </c>
      <c r="AN24" t="s">
        <v>111</v>
      </c>
      <c r="AO24">
        <v>12.872</v>
      </c>
    </row>
    <row r="25" spans="1:51" ht="15.6">
      <c r="A25">
        <v>1</v>
      </c>
      <c r="B25" t="s">
        <v>4</v>
      </c>
      <c r="C25" t="s">
        <v>3</v>
      </c>
      <c r="D25" s="3">
        <f t="shared" si="1"/>
        <v>36.082474226804123</v>
      </c>
      <c r="E25" s="3">
        <v>47.7</v>
      </c>
      <c r="F25">
        <v>2015</v>
      </c>
      <c r="G25">
        <f t="shared" si="2"/>
        <v>10</v>
      </c>
      <c r="H25">
        <f t="shared" si="3"/>
        <v>0.19699645297938143</v>
      </c>
      <c r="I25">
        <v>0.40300000000000002</v>
      </c>
      <c r="J25">
        <v>97</v>
      </c>
      <c r="K25">
        <v>3</v>
      </c>
      <c r="L25">
        <v>270</v>
      </c>
      <c r="M25" s="12">
        <f t="shared" si="4"/>
        <v>6.5302343936490675E-2</v>
      </c>
      <c r="N25">
        <f t="shared" si="0"/>
        <v>2.6094396443934013E-2</v>
      </c>
      <c r="O25">
        <v>0.25700000000000001</v>
      </c>
      <c r="P25" t="s">
        <v>27</v>
      </c>
      <c r="Q25" t="s">
        <v>371</v>
      </c>
      <c r="R25" cm="1">
        <f t="array" ref="R25">_xlfn.IFS(Q25="PS",3.607,Q25="JEPLMC",6.096,Q25="JPSP",2.579)</f>
        <v>3.6070000000000002</v>
      </c>
      <c r="S25">
        <f t="shared" si="5"/>
        <v>4.0181340206185618</v>
      </c>
      <c r="T25" t="s">
        <v>101</v>
      </c>
      <c r="U25">
        <v>109</v>
      </c>
      <c r="V25" t="s">
        <v>138</v>
      </c>
      <c r="W25">
        <f t="shared" si="6"/>
        <v>84.030927835051543</v>
      </c>
      <c r="X25" t="s">
        <v>377</v>
      </c>
      <c r="Y25">
        <v>2008</v>
      </c>
      <c r="Z25">
        <f>2025-AVERAGE($Y$2:$Y$98)</f>
        <v>17</v>
      </c>
      <c r="AA25">
        <v>0.05</v>
      </c>
      <c r="AB25">
        <v>0.53</v>
      </c>
      <c r="AC25">
        <v>0.12739236100000001</v>
      </c>
      <c r="AD25" s="3">
        <v>1.8376515999999999E-2</v>
      </c>
      <c r="AE25">
        <v>1</v>
      </c>
      <c r="AF25" t="s">
        <v>138</v>
      </c>
      <c r="AG25">
        <v>2</v>
      </c>
      <c r="AH25">
        <v>1</v>
      </c>
      <c r="AI25">
        <f t="shared" si="7"/>
        <v>2.865979381443299</v>
      </c>
      <c r="AJ25">
        <f t="shared" si="8"/>
        <v>2.1855670103092781</v>
      </c>
      <c r="AK25" t="s">
        <v>112</v>
      </c>
      <c r="AL25">
        <v>37</v>
      </c>
      <c r="AM25" t="s">
        <v>115</v>
      </c>
      <c r="AN25" t="s">
        <v>111</v>
      </c>
      <c r="AO25">
        <v>12.872</v>
      </c>
    </row>
    <row r="26" spans="1:51" ht="15.6">
      <c r="A26">
        <v>1</v>
      </c>
      <c r="B26" t="s">
        <v>4</v>
      </c>
      <c r="C26" t="s">
        <v>3</v>
      </c>
      <c r="D26" s="3">
        <f t="shared" si="1"/>
        <v>36.082474226804123</v>
      </c>
      <c r="E26" s="3">
        <v>47.7</v>
      </c>
      <c r="F26">
        <v>2015</v>
      </c>
      <c r="G26">
        <f t="shared" si="2"/>
        <v>10</v>
      </c>
      <c r="H26">
        <f t="shared" si="3"/>
        <v>0.19699645297938143</v>
      </c>
      <c r="I26">
        <v>0.40300000000000002</v>
      </c>
      <c r="J26">
        <v>97</v>
      </c>
      <c r="K26">
        <v>3</v>
      </c>
      <c r="L26">
        <v>270</v>
      </c>
      <c r="M26" s="12">
        <f t="shared" si="4"/>
        <v>6.5302343936490675E-2</v>
      </c>
      <c r="N26">
        <f t="shared" si="0"/>
        <v>2.6094396443934013E-2</v>
      </c>
      <c r="O26">
        <v>0.25700000000000001</v>
      </c>
      <c r="P26" t="s">
        <v>28</v>
      </c>
      <c r="Q26" t="s">
        <v>372</v>
      </c>
      <c r="R26" cm="1">
        <f t="array" ref="R26">_xlfn.IFS(Q26="PS",3.607,Q26="JEPLMC",6.096,Q26="JPSP",2.579)</f>
        <v>6.0960000000000001</v>
      </c>
      <c r="S26">
        <f t="shared" si="5"/>
        <v>4.0181340206185618</v>
      </c>
      <c r="T26" t="s">
        <v>101</v>
      </c>
      <c r="U26">
        <v>21</v>
      </c>
      <c r="V26" t="s">
        <v>138</v>
      </c>
      <c r="W26">
        <f t="shared" si="6"/>
        <v>84.030927835051543</v>
      </c>
      <c r="X26" t="s">
        <v>377</v>
      </c>
      <c r="Y26">
        <v>2008</v>
      </c>
      <c r="Z26">
        <f>2025-AVERAGE($Y$2:$Y$98)</f>
        <v>17</v>
      </c>
      <c r="AA26" t="s">
        <v>389</v>
      </c>
      <c r="AB26">
        <v>0.84</v>
      </c>
      <c r="AC26">
        <v>0.224092029</v>
      </c>
      <c r="AD26" s="3">
        <v>1.9422053000000002E-2</v>
      </c>
      <c r="AE26">
        <v>1</v>
      </c>
      <c r="AF26" t="s">
        <v>138</v>
      </c>
      <c r="AG26">
        <v>3</v>
      </c>
      <c r="AH26">
        <v>2</v>
      </c>
      <c r="AI26">
        <f t="shared" si="7"/>
        <v>2.865979381443299</v>
      </c>
      <c r="AJ26">
        <f t="shared" si="8"/>
        <v>2.1855670103092781</v>
      </c>
      <c r="AK26" t="s">
        <v>112</v>
      </c>
      <c r="AL26">
        <v>37</v>
      </c>
      <c r="AM26" t="s">
        <v>115</v>
      </c>
      <c r="AN26" t="s">
        <v>111</v>
      </c>
      <c r="AO26">
        <v>12.872</v>
      </c>
    </row>
    <row r="27" spans="1:51" ht="15.6">
      <c r="A27">
        <v>1</v>
      </c>
      <c r="B27" t="s">
        <v>4</v>
      </c>
      <c r="C27" t="s">
        <v>3</v>
      </c>
      <c r="D27" s="3">
        <f t="shared" si="1"/>
        <v>36.082474226804123</v>
      </c>
      <c r="E27" s="3">
        <v>47.7</v>
      </c>
      <c r="F27">
        <v>2015</v>
      </c>
      <c r="G27">
        <f t="shared" si="2"/>
        <v>10</v>
      </c>
      <c r="H27">
        <f t="shared" si="3"/>
        <v>0.19699645297938143</v>
      </c>
      <c r="I27">
        <v>0.40300000000000002</v>
      </c>
      <c r="J27">
        <v>97</v>
      </c>
      <c r="K27">
        <v>3</v>
      </c>
      <c r="L27">
        <v>270</v>
      </c>
      <c r="M27" s="12">
        <f t="shared" si="4"/>
        <v>6.5302343936490675E-2</v>
      </c>
      <c r="N27">
        <f t="shared" si="0"/>
        <v>2.6094396443934013E-2</v>
      </c>
      <c r="O27">
        <v>0.25700000000000001</v>
      </c>
      <c r="P27" t="s">
        <v>29</v>
      </c>
      <c r="Q27" t="s">
        <v>373</v>
      </c>
      <c r="R27" cm="1">
        <f t="array" ref="R27">_xlfn.IFS(Q27="PS",3.607,Q27="JEPLMC",6.096,Q27="JPSP",2.579)</f>
        <v>2.5790000000000002</v>
      </c>
      <c r="S27">
        <f t="shared" si="5"/>
        <v>4.0181340206185618</v>
      </c>
      <c r="T27" t="s">
        <v>103</v>
      </c>
      <c r="U27">
        <v>132</v>
      </c>
      <c r="V27" t="s">
        <v>138</v>
      </c>
      <c r="W27">
        <f t="shared" si="6"/>
        <v>84.030927835051543</v>
      </c>
      <c r="X27" t="s">
        <v>377</v>
      </c>
      <c r="Y27">
        <v>2008</v>
      </c>
      <c r="Z27">
        <f>2025-AVERAGE($Y$2:$Y$98)</f>
        <v>17</v>
      </c>
      <c r="AA27" t="s">
        <v>392</v>
      </c>
      <c r="AB27" t="s">
        <v>383</v>
      </c>
      <c r="AC27">
        <v>2.2542373000000001E-2</v>
      </c>
      <c r="AD27" s="3">
        <v>2.3841536999999999E-2</v>
      </c>
      <c r="AE27">
        <v>1</v>
      </c>
      <c r="AF27" t="s">
        <v>138</v>
      </c>
      <c r="AG27">
        <v>4</v>
      </c>
      <c r="AH27">
        <v>1</v>
      </c>
      <c r="AI27">
        <f t="shared" si="7"/>
        <v>2.865979381443299</v>
      </c>
      <c r="AJ27">
        <f t="shared" si="8"/>
        <v>2.1855670103092781</v>
      </c>
      <c r="AK27" t="s">
        <v>112</v>
      </c>
      <c r="AL27">
        <v>37</v>
      </c>
      <c r="AM27" t="s">
        <v>115</v>
      </c>
      <c r="AN27" t="s">
        <v>111</v>
      </c>
      <c r="AO27">
        <v>12.872</v>
      </c>
    </row>
    <row r="28" spans="1:51" ht="15.6">
      <c r="A28">
        <v>1</v>
      </c>
      <c r="B28" t="s">
        <v>4</v>
      </c>
      <c r="C28" t="s">
        <v>3</v>
      </c>
      <c r="D28" s="3">
        <f t="shared" si="1"/>
        <v>36.082474226804123</v>
      </c>
      <c r="E28" s="3">
        <v>47.7</v>
      </c>
      <c r="F28">
        <v>2015</v>
      </c>
      <c r="G28">
        <f t="shared" si="2"/>
        <v>10</v>
      </c>
      <c r="H28">
        <f t="shared" si="3"/>
        <v>0.19699645297938143</v>
      </c>
      <c r="I28">
        <v>0.40300000000000002</v>
      </c>
      <c r="J28">
        <v>97</v>
      </c>
      <c r="K28">
        <v>3</v>
      </c>
      <c r="L28">
        <v>270</v>
      </c>
      <c r="M28" s="12">
        <f t="shared" si="4"/>
        <v>6.5302343936490675E-2</v>
      </c>
      <c r="N28">
        <f t="shared" si="0"/>
        <v>2.6094396443934013E-2</v>
      </c>
      <c r="O28">
        <v>0.25700000000000001</v>
      </c>
      <c r="P28" t="s">
        <v>30</v>
      </c>
      <c r="Q28" t="s">
        <v>373</v>
      </c>
      <c r="R28" cm="1">
        <f t="array" ref="R28">_xlfn.IFS(Q28="PS",3.607,Q28="JEPLMC",6.096,Q28="JPSP",2.579)</f>
        <v>2.5790000000000002</v>
      </c>
      <c r="S28">
        <f t="shared" si="5"/>
        <v>4.0181340206185618</v>
      </c>
      <c r="T28" t="s">
        <v>103</v>
      </c>
      <c r="U28">
        <v>202</v>
      </c>
      <c r="V28" t="s">
        <v>138</v>
      </c>
      <c r="W28">
        <f t="shared" si="6"/>
        <v>84.030927835051543</v>
      </c>
      <c r="X28" t="s">
        <v>377</v>
      </c>
      <c r="Y28">
        <v>2008</v>
      </c>
      <c r="Z28">
        <f>2025-AVERAGE($Y$2:$Y$98)</f>
        <v>17</v>
      </c>
      <c r="AA28">
        <v>0.48</v>
      </c>
      <c r="AB28">
        <v>0.87</v>
      </c>
      <c r="AC28">
        <v>0.139816632</v>
      </c>
      <c r="AD28" s="3">
        <v>2.9404699999999999E-2</v>
      </c>
      <c r="AE28">
        <v>1</v>
      </c>
      <c r="AF28" t="s">
        <v>138</v>
      </c>
      <c r="AG28">
        <v>2</v>
      </c>
      <c r="AH28">
        <v>2</v>
      </c>
      <c r="AI28">
        <f t="shared" si="7"/>
        <v>2.865979381443299</v>
      </c>
      <c r="AJ28">
        <f t="shared" si="8"/>
        <v>2.1855670103092781</v>
      </c>
      <c r="AK28" t="s">
        <v>112</v>
      </c>
      <c r="AL28">
        <v>37</v>
      </c>
      <c r="AM28" t="s">
        <v>115</v>
      </c>
      <c r="AN28" t="s">
        <v>111</v>
      </c>
      <c r="AO28">
        <v>12.872</v>
      </c>
    </row>
    <row r="29" spans="1:51" ht="15.6">
      <c r="A29">
        <v>1</v>
      </c>
      <c r="B29" t="s">
        <v>4</v>
      </c>
      <c r="C29" t="s">
        <v>3</v>
      </c>
      <c r="D29" s="3">
        <f t="shared" si="1"/>
        <v>36.082474226804123</v>
      </c>
      <c r="E29" s="3">
        <v>47.7</v>
      </c>
      <c r="F29">
        <v>2015</v>
      </c>
      <c r="G29">
        <f t="shared" si="2"/>
        <v>10</v>
      </c>
      <c r="H29">
        <f t="shared" si="3"/>
        <v>0.19699645297938143</v>
      </c>
      <c r="I29">
        <v>0.40300000000000002</v>
      </c>
      <c r="J29">
        <v>97</v>
      </c>
      <c r="K29">
        <v>3</v>
      </c>
      <c r="L29">
        <v>270</v>
      </c>
      <c r="M29" s="12">
        <f t="shared" si="4"/>
        <v>6.5302343936490675E-2</v>
      </c>
      <c r="N29">
        <f t="shared" si="0"/>
        <v>2.6094396443934013E-2</v>
      </c>
      <c r="O29">
        <v>0.25700000000000001</v>
      </c>
      <c r="P29" t="s">
        <v>31</v>
      </c>
      <c r="Q29" t="s">
        <v>373</v>
      </c>
      <c r="R29" cm="1">
        <f t="array" ref="R29">_xlfn.IFS(Q29="PS",3.607,Q29="JEPLMC",6.096,Q29="JPSP",2.579)</f>
        <v>2.5790000000000002</v>
      </c>
      <c r="S29">
        <f t="shared" si="5"/>
        <v>4.0181340206185618</v>
      </c>
      <c r="T29" t="s">
        <v>101</v>
      </c>
      <c r="U29">
        <v>40</v>
      </c>
      <c r="V29" t="s">
        <v>138</v>
      </c>
      <c r="W29">
        <f t="shared" si="6"/>
        <v>84.030927835051543</v>
      </c>
      <c r="X29" t="s">
        <v>377</v>
      </c>
      <c r="Y29">
        <v>2008</v>
      </c>
      <c r="Z29">
        <f>2025-AVERAGE($Y$2:$Y$98)</f>
        <v>17</v>
      </c>
      <c r="AA29" t="s">
        <v>389</v>
      </c>
      <c r="AB29">
        <v>0.54</v>
      </c>
      <c r="AC29">
        <v>0.16728859300000001</v>
      </c>
      <c r="AD29" s="3">
        <v>3.675175E-2</v>
      </c>
      <c r="AE29">
        <v>1</v>
      </c>
      <c r="AF29" t="s">
        <v>138</v>
      </c>
      <c r="AG29">
        <v>2</v>
      </c>
      <c r="AH29">
        <v>1</v>
      </c>
      <c r="AI29">
        <f t="shared" si="7"/>
        <v>2.865979381443299</v>
      </c>
      <c r="AJ29">
        <f t="shared" si="8"/>
        <v>2.1855670103092781</v>
      </c>
      <c r="AK29" t="s">
        <v>112</v>
      </c>
      <c r="AL29">
        <v>37</v>
      </c>
      <c r="AM29" t="s">
        <v>115</v>
      </c>
      <c r="AN29" t="s">
        <v>111</v>
      </c>
      <c r="AO29">
        <v>12.872</v>
      </c>
    </row>
    <row r="30" spans="1:51" ht="15.6">
      <c r="A30">
        <v>1</v>
      </c>
      <c r="B30" t="s">
        <v>4</v>
      </c>
      <c r="C30" t="s">
        <v>3</v>
      </c>
      <c r="D30" s="3">
        <f t="shared" si="1"/>
        <v>36.082474226804123</v>
      </c>
      <c r="E30" s="3">
        <v>47.7</v>
      </c>
      <c r="F30">
        <v>2015</v>
      </c>
      <c r="G30">
        <f t="shared" si="2"/>
        <v>10</v>
      </c>
      <c r="H30">
        <f t="shared" si="3"/>
        <v>0.19699645297938143</v>
      </c>
      <c r="I30">
        <v>0.40300000000000002</v>
      </c>
      <c r="J30">
        <v>97</v>
      </c>
      <c r="K30">
        <v>3</v>
      </c>
      <c r="L30">
        <v>270</v>
      </c>
      <c r="M30" s="12">
        <f t="shared" si="4"/>
        <v>6.5302343936490675E-2</v>
      </c>
      <c r="N30">
        <f t="shared" si="0"/>
        <v>2.6094396443934013E-2</v>
      </c>
      <c r="O30">
        <v>0.25700000000000001</v>
      </c>
      <c r="P30" t="s">
        <v>32</v>
      </c>
      <c r="Q30" t="s">
        <v>371</v>
      </c>
      <c r="R30" cm="1">
        <f t="array" ref="R30">_xlfn.IFS(Q30="PS",3.607,Q30="JEPLMC",6.096,Q30="JPSP",2.579)</f>
        <v>3.6070000000000002</v>
      </c>
      <c r="S30">
        <f t="shared" si="5"/>
        <v>4.0181340206185618</v>
      </c>
      <c r="T30" t="s">
        <v>101</v>
      </c>
      <c r="U30">
        <v>219</v>
      </c>
      <c r="V30" t="s">
        <v>138</v>
      </c>
      <c r="W30">
        <f t="shared" si="6"/>
        <v>84.030927835051543</v>
      </c>
      <c r="X30" t="s">
        <v>377</v>
      </c>
      <c r="Y30">
        <v>2008</v>
      </c>
      <c r="Z30">
        <f>2025-AVERAGE($Y$2:$Y$98)</f>
        <v>17</v>
      </c>
      <c r="AA30" t="s">
        <v>397</v>
      </c>
      <c r="AB30">
        <v>0.78700000000000003</v>
      </c>
      <c r="AC30">
        <v>0.23377642800000001</v>
      </c>
      <c r="AD30" s="3">
        <v>4.4266280999999998E-2</v>
      </c>
      <c r="AE30">
        <v>1</v>
      </c>
      <c r="AF30" t="s">
        <v>138</v>
      </c>
      <c r="AG30">
        <v>2</v>
      </c>
      <c r="AH30">
        <v>3</v>
      </c>
      <c r="AI30">
        <f t="shared" si="7"/>
        <v>2.865979381443299</v>
      </c>
      <c r="AJ30">
        <f t="shared" si="8"/>
        <v>2.1855670103092781</v>
      </c>
      <c r="AK30" t="s">
        <v>112</v>
      </c>
      <c r="AL30">
        <v>37</v>
      </c>
      <c r="AM30" t="s">
        <v>115</v>
      </c>
      <c r="AN30" t="s">
        <v>111</v>
      </c>
      <c r="AO30">
        <v>12.872</v>
      </c>
    </row>
    <row r="31" spans="1:51" ht="15.6">
      <c r="A31">
        <v>1</v>
      </c>
      <c r="B31" t="s">
        <v>4</v>
      </c>
      <c r="C31" t="s">
        <v>3</v>
      </c>
      <c r="D31" s="3">
        <f t="shared" si="1"/>
        <v>36.082474226804123</v>
      </c>
      <c r="E31" s="3">
        <v>47.7</v>
      </c>
      <c r="F31">
        <v>2015</v>
      </c>
      <c r="G31">
        <f t="shared" si="2"/>
        <v>10</v>
      </c>
      <c r="H31">
        <f t="shared" si="3"/>
        <v>0.19699645297938143</v>
      </c>
      <c r="I31">
        <v>0.40300000000000002</v>
      </c>
      <c r="J31">
        <v>97</v>
      </c>
      <c r="K31">
        <v>3</v>
      </c>
      <c r="L31">
        <v>270</v>
      </c>
      <c r="M31" s="12">
        <f t="shared" si="4"/>
        <v>6.5302343936490675E-2</v>
      </c>
      <c r="N31">
        <f t="shared" si="0"/>
        <v>2.6094396443934013E-2</v>
      </c>
      <c r="O31">
        <v>0.25700000000000001</v>
      </c>
      <c r="P31" t="s">
        <v>33</v>
      </c>
      <c r="Q31" t="s">
        <v>373</v>
      </c>
      <c r="R31" cm="1">
        <f t="array" ref="R31">_xlfn.IFS(Q31="PS",3.607,Q31="JEPLMC",6.096,Q31="JPSP",2.579)</f>
        <v>2.5790000000000002</v>
      </c>
      <c r="S31">
        <f t="shared" si="5"/>
        <v>4.0181340206185618</v>
      </c>
      <c r="T31" t="s">
        <v>101</v>
      </c>
      <c r="U31">
        <v>37</v>
      </c>
      <c r="V31" t="s">
        <v>138</v>
      </c>
      <c r="W31">
        <f t="shared" si="6"/>
        <v>84.030927835051543</v>
      </c>
      <c r="X31" t="s">
        <v>377</v>
      </c>
      <c r="Y31">
        <v>2008</v>
      </c>
      <c r="Z31">
        <f>2025-AVERAGE($Y$2:$Y$98)</f>
        <v>17</v>
      </c>
      <c r="AA31">
        <v>2E-3</v>
      </c>
      <c r="AB31">
        <v>0.49</v>
      </c>
      <c r="AC31">
        <v>0.20764307200000001</v>
      </c>
      <c r="AD31" s="3">
        <v>4.4495819999999998E-2</v>
      </c>
      <c r="AE31">
        <v>1</v>
      </c>
      <c r="AF31" t="s">
        <v>138</v>
      </c>
      <c r="AG31">
        <v>2</v>
      </c>
      <c r="AH31">
        <v>1</v>
      </c>
      <c r="AI31">
        <f t="shared" si="7"/>
        <v>2.865979381443299</v>
      </c>
      <c r="AJ31">
        <f t="shared" si="8"/>
        <v>2.1855670103092781</v>
      </c>
      <c r="AK31" t="s">
        <v>112</v>
      </c>
      <c r="AL31">
        <v>37</v>
      </c>
      <c r="AM31" t="s">
        <v>115</v>
      </c>
      <c r="AN31" t="s">
        <v>111</v>
      </c>
      <c r="AO31">
        <v>12.872</v>
      </c>
    </row>
    <row r="32" spans="1:51" ht="15.6">
      <c r="A32">
        <v>1</v>
      </c>
      <c r="B32" t="s">
        <v>4</v>
      </c>
      <c r="C32" t="s">
        <v>3</v>
      </c>
      <c r="D32" s="3">
        <f t="shared" si="1"/>
        <v>36.082474226804123</v>
      </c>
      <c r="E32" s="3">
        <v>47.7</v>
      </c>
      <c r="F32">
        <v>2015</v>
      </c>
      <c r="G32">
        <f t="shared" si="2"/>
        <v>10</v>
      </c>
      <c r="H32">
        <f t="shared" si="3"/>
        <v>0.19699645297938143</v>
      </c>
      <c r="I32">
        <v>0.40300000000000002</v>
      </c>
      <c r="J32">
        <v>97</v>
      </c>
      <c r="K32">
        <v>3</v>
      </c>
      <c r="L32">
        <v>270</v>
      </c>
      <c r="M32" s="12">
        <f t="shared" si="4"/>
        <v>6.5302343936490675E-2</v>
      </c>
      <c r="N32">
        <f t="shared" si="0"/>
        <v>2.6094396443934013E-2</v>
      </c>
      <c r="O32">
        <v>0.25700000000000001</v>
      </c>
      <c r="P32" t="s">
        <v>34</v>
      </c>
      <c r="Q32" t="s">
        <v>371</v>
      </c>
      <c r="R32" cm="1">
        <f t="array" ref="R32">_xlfn.IFS(Q32="PS",3.607,Q32="JEPLMC",6.096,Q32="JPSP",2.579)</f>
        <v>3.6070000000000002</v>
      </c>
      <c r="S32">
        <f t="shared" si="5"/>
        <v>4.0181340206185618</v>
      </c>
      <c r="T32" t="s">
        <v>101</v>
      </c>
      <c r="U32">
        <v>185</v>
      </c>
      <c r="V32" t="s">
        <v>138</v>
      </c>
      <c r="W32">
        <f t="shared" si="6"/>
        <v>84.030927835051543</v>
      </c>
      <c r="X32" t="s">
        <v>377</v>
      </c>
      <c r="Y32">
        <v>2008</v>
      </c>
      <c r="Z32">
        <f>2025-AVERAGE($Y$2:$Y$98)</f>
        <v>17</v>
      </c>
      <c r="AA32">
        <v>0.01</v>
      </c>
      <c r="AB32">
        <v>0.68</v>
      </c>
      <c r="AC32">
        <v>0.17296018799999999</v>
      </c>
      <c r="AD32" s="3">
        <v>6.1707155999999999E-2</v>
      </c>
      <c r="AE32">
        <v>1</v>
      </c>
      <c r="AF32" t="s">
        <v>138</v>
      </c>
      <c r="AG32">
        <v>4</v>
      </c>
      <c r="AH32">
        <v>2</v>
      </c>
      <c r="AI32">
        <f t="shared" si="7"/>
        <v>2.865979381443299</v>
      </c>
      <c r="AJ32">
        <f t="shared" si="8"/>
        <v>2.1855670103092781</v>
      </c>
      <c r="AK32" t="s">
        <v>112</v>
      </c>
      <c r="AL32">
        <v>37</v>
      </c>
      <c r="AM32" t="s">
        <v>115</v>
      </c>
      <c r="AN32" t="s">
        <v>111</v>
      </c>
      <c r="AO32">
        <v>12.872</v>
      </c>
    </row>
    <row r="33" spans="1:41" ht="15.6">
      <c r="A33">
        <v>1</v>
      </c>
      <c r="B33" t="s">
        <v>4</v>
      </c>
      <c r="C33" t="s">
        <v>3</v>
      </c>
      <c r="D33" s="3">
        <f t="shared" si="1"/>
        <v>36.082474226804123</v>
      </c>
      <c r="E33" s="3">
        <v>47.7</v>
      </c>
      <c r="F33">
        <v>2015</v>
      </c>
      <c r="G33">
        <f t="shared" si="2"/>
        <v>10</v>
      </c>
      <c r="H33">
        <f t="shared" si="3"/>
        <v>0.19699645297938143</v>
      </c>
      <c r="I33">
        <v>0.40300000000000002</v>
      </c>
      <c r="J33">
        <v>97</v>
      </c>
      <c r="K33">
        <v>3</v>
      </c>
      <c r="L33">
        <v>270</v>
      </c>
      <c r="M33" s="12">
        <f t="shared" si="4"/>
        <v>6.5302343936490675E-2</v>
      </c>
      <c r="N33">
        <f t="shared" si="0"/>
        <v>2.6094396443934013E-2</v>
      </c>
      <c r="O33">
        <v>0.25700000000000001</v>
      </c>
      <c r="P33" t="s">
        <v>35</v>
      </c>
      <c r="Q33" t="s">
        <v>372</v>
      </c>
      <c r="R33" cm="1">
        <f t="array" ref="R33">_xlfn.IFS(Q33="PS",3.607,Q33="JEPLMC",6.096,Q33="JPSP",2.579)</f>
        <v>6.0960000000000001</v>
      </c>
      <c r="S33">
        <f t="shared" si="5"/>
        <v>4.0181340206185618</v>
      </c>
      <c r="T33" t="s">
        <v>101</v>
      </c>
      <c r="U33">
        <v>176</v>
      </c>
      <c r="V33" t="s">
        <v>138</v>
      </c>
      <c r="W33">
        <f t="shared" si="6"/>
        <v>84.030927835051543</v>
      </c>
      <c r="X33" t="s">
        <v>377</v>
      </c>
      <c r="Y33">
        <v>2008</v>
      </c>
      <c r="Z33">
        <f>2025-AVERAGE($Y$2:$Y$98)</f>
        <v>17</v>
      </c>
      <c r="AA33">
        <v>2E-3</v>
      </c>
      <c r="AB33">
        <v>0.72</v>
      </c>
      <c r="AC33">
        <v>0.21935929900000001</v>
      </c>
      <c r="AD33" s="3">
        <v>6.4661344999999995E-2</v>
      </c>
      <c r="AE33">
        <v>1</v>
      </c>
      <c r="AF33" t="s">
        <v>138</v>
      </c>
      <c r="AG33">
        <v>7</v>
      </c>
      <c r="AH33">
        <v>1</v>
      </c>
      <c r="AI33">
        <f t="shared" si="7"/>
        <v>2.865979381443299</v>
      </c>
      <c r="AJ33">
        <f t="shared" si="8"/>
        <v>2.1855670103092781</v>
      </c>
      <c r="AK33" t="s">
        <v>112</v>
      </c>
      <c r="AL33">
        <v>37</v>
      </c>
      <c r="AM33" t="s">
        <v>115</v>
      </c>
      <c r="AN33" t="s">
        <v>111</v>
      </c>
      <c r="AO33">
        <v>12.872</v>
      </c>
    </row>
    <row r="34" spans="1:41" ht="15.6">
      <c r="A34">
        <v>1</v>
      </c>
      <c r="B34" t="s">
        <v>4</v>
      </c>
      <c r="C34" t="s">
        <v>3</v>
      </c>
      <c r="D34" s="3">
        <f t="shared" si="1"/>
        <v>36.082474226804123</v>
      </c>
      <c r="E34" s="3">
        <v>47.7</v>
      </c>
      <c r="F34">
        <v>2015</v>
      </c>
      <c r="G34">
        <f t="shared" si="2"/>
        <v>10</v>
      </c>
      <c r="H34">
        <f t="shared" ref="H34:H65" si="9">AVERAGE($AD$2:$AD$98)</f>
        <v>0.19699645297938143</v>
      </c>
      <c r="I34">
        <v>0.40300000000000002</v>
      </c>
      <c r="J34">
        <v>97</v>
      </c>
      <c r="K34">
        <v>3</v>
      </c>
      <c r="L34">
        <v>270</v>
      </c>
      <c r="M34" s="12">
        <f t="shared" si="4"/>
        <v>6.5302343936490675E-2</v>
      </c>
      <c r="N34">
        <f t="shared" ref="N34:N65" si="10">$O$2/SQRT($J$2)</f>
        <v>2.6094396443934013E-2</v>
      </c>
      <c r="O34">
        <v>0.25700000000000001</v>
      </c>
      <c r="P34" t="s">
        <v>36</v>
      </c>
      <c r="Q34" t="s">
        <v>373</v>
      </c>
      <c r="R34" cm="1">
        <f t="array" ref="R34">_xlfn.IFS(Q34="PS",3.607,Q34="JEPLMC",6.096,Q34="JPSP",2.579)</f>
        <v>2.5790000000000002</v>
      </c>
      <c r="S34">
        <f t="shared" si="5"/>
        <v>4.0181340206185618</v>
      </c>
      <c r="T34" t="s">
        <v>101</v>
      </c>
      <c r="U34">
        <v>103</v>
      </c>
      <c r="V34" t="s">
        <v>138</v>
      </c>
      <c r="W34">
        <f t="shared" si="6"/>
        <v>84.030927835051543</v>
      </c>
      <c r="X34" t="s">
        <v>377</v>
      </c>
      <c r="Y34">
        <v>2008</v>
      </c>
      <c r="Z34">
        <f>2025-AVERAGE($Y$2:$Y$98)</f>
        <v>17</v>
      </c>
      <c r="AA34" t="s">
        <v>389</v>
      </c>
      <c r="AB34">
        <v>0.74</v>
      </c>
      <c r="AC34">
        <v>0.229852265</v>
      </c>
      <c r="AD34" s="3">
        <v>6.6130007000000005E-2</v>
      </c>
      <c r="AE34">
        <v>1</v>
      </c>
      <c r="AF34" t="s">
        <v>138</v>
      </c>
      <c r="AG34">
        <v>5</v>
      </c>
      <c r="AH34">
        <v>2</v>
      </c>
      <c r="AI34">
        <f t="shared" si="7"/>
        <v>2.865979381443299</v>
      </c>
      <c r="AJ34">
        <f t="shared" si="8"/>
        <v>2.1855670103092781</v>
      </c>
      <c r="AK34" t="s">
        <v>112</v>
      </c>
      <c r="AL34">
        <v>37</v>
      </c>
      <c r="AM34" t="s">
        <v>115</v>
      </c>
      <c r="AN34" t="s">
        <v>111</v>
      </c>
      <c r="AO34">
        <v>12.872</v>
      </c>
    </row>
    <row r="35" spans="1:41" ht="15.6">
      <c r="A35">
        <v>1</v>
      </c>
      <c r="B35" t="s">
        <v>4</v>
      </c>
      <c r="C35" t="s">
        <v>3</v>
      </c>
      <c r="D35" s="3">
        <f t="shared" si="1"/>
        <v>36.082474226804123</v>
      </c>
      <c r="E35" s="3">
        <v>47.7</v>
      </c>
      <c r="F35">
        <v>2015</v>
      </c>
      <c r="G35">
        <f t="shared" si="2"/>
        <v>10</v>
      </c>
      <c r="H35">
        <f t="shared" si="9"/>
        <v>0.19699645297938143</v>
      </c>
      <c r="I35">
        <v>0.40300000000000002</v>
      </c>
      <c r="J35">
        <v>97</v>
      </c>
      <c r="K35">
        <v>3</v>
      </c>
      <c r="L35">
        <v>270</v>
      </c>
      <c r="M35" s="12">
        <f t="shared" si="4"/>
        <v>6.5302343936490675E-2</v>
      </c>
      <c r="N35">
        <f t="shared" si="10"/>
        <v>2.6094396443934013E-2</v>
      </c>
      <c r="O35">
        <v>0.25700000000000001</v>
      </c>
      <c r="P35" t="s">
        <v>37</v>
      </c>
      <c r="Q35" t="s">
        <v>373</v>
      </c>
      <c r="R35" cm="1">
        <f t="array" ref="R35">_xlfn.IFS(Q35="PS",3.607,Q35="JEPLMC",6.096,Q35="JPSP",2.579)</f>
        <v>2.5790000000000002</v>
      </c>
      <c r="S35">
        <f t="shared" si="5"/>
        <v>4.0181340206185618</v>
      </c>
      <c r="T35" t="s">
        <v>101</v>
      </c>
      <c r="U35">
        <v>291</v>
      </c>
      <c r="V35" t="s">
        <v>138</v>
      </c>
      <c r="W35">
        <f t="shared" si="6"/>
        <v>84.030927835051543</v>
      </c>
      <c r="X35" t="s">
        <v>377</v>
      </c>
      <c r="Y35">
        <v>2008</v>
      </c>
      <c r="Z35">
        <f>2025-AVERAGE($Y$2:$Y$98)</f>
        <v>17</v>
      </c>
      <c r="AA35" t="s">
        <v>392</v>
      </c>
      <c r="AB35">
        <v>0.33200000000000002</v>
      </c>
      <c r="AC35">
        <v>0.22213158399999999</v>
      </c>
      <c r="AD35" s="3">
        <v>7.3353737000000002E-2</v>
      </c>
      <c r="AE35">
        <v>1</v>
      </c>
      <c r="AF35" t="s">
        <v>138</v>
      </c>
      <c r="AG35">
        <v>2</v>
      </c>
      <c r="AH35">
        <v>1</v>
      </c>
      <c r="AI35">
        <f t="shared" si="7"/>
        <v>2.865979381443299</v>
      </c>
      <c r="AJ35">
        <f t="shared" si="8"/>
        <v>2.1855670103092781</v>
      </c>
      <c r="AK35" t="s">
        <v>112</v>
      </c>
      <c r="AL35">
        <v>37</v>
      </c>
      <c r="AM35" t="s">
        <v>115</v>
      </c>
      <c r="AN35" t="s">
        <v>111</v>
      </c>
      <c r="AO35">
        <v>12.872</v>
      </c>
    </row>
    <row r="36" spans="1:41" ht="15.6">
      <c r="A36">
        <v>1</v>
      </c>
      <c r="B36" t="s">
        <v>4</v>
      </c>
      <c r="C36" t="s">
        <v>3</v>
      </c>
      <c r="D36" s="3">
        <f t="shared" si="1"/>
        <v>36.082474226804123</v>
      </c>
      <c r="E36" s="3">
        <v>47.7</v>
      </c>
      <c r="F36">
        <v>2015</v>
      </c>
      <c r="G36">
        <f t="shared" si="2"/>
        <v>10</v>
      </c>
      <c r="H36">
        <f t="shared" si="9"/>
        <v>0.19699645297938143</v>
      </c>
      <c r="I36">
        <v>0.40300000000000002</v>
      </c>
      <c r="J36">
        <v>97</v>
      </c>
      <c r="K36">
        <v>3</v>
      </c>
      <c r="L36">
        <v>270</v>
      </c>
      <c r="M36" s="12">
        <f t="shared" si="4"/>
        <v>6.5302343936490675E-2</v>
      </c>
      <c r="N36">
        <f t="shared" si="10"/>
        <v>2.6094396443934013E-2</v>
      </c>
      <c r="O36">
        <v>0.25700000000000001</v>
      </c>
      <c r="P36" t="s">
        <v>38</v>
      </c>
      <c r="Q36" t="s">
        <v>373</v>
      </c>
      <c r="R36" cm="1">
        <f t="array" ref="R36">_xlfn.IFS(Q36="PS",3.607,Q36="JEPLMC",6.096,Q36="JPSP",2.579)</f>
        <v>2.5790000000000002</v>
      </c>
      <c r="S36">
        <f t="shared" si="5"/>
        <v>4.0181340206185618</v>
      </c>
      <c r="T36" t="s">
        <v>101</v>
      </c>
      <c r="U36">
        <v>42</v>
      </c>
      <c r="V36" t="s">
        <v>138</v>
      </c>
      <c r="W36">
        <f t="shared" si="6"/>
        <v>84.030927835051543</v>
      </c>
      <c r="X36" t="s">
        <v>377</v>
      </c>
      <c r="Y36">
        <v>2008</v>
      </c>
      <c r="Z36">
        <f>2025-AVERAGE($Y$2:$Y$98)</f>
        <v>17</v>
      </c>
      <c r="AA36" t="s">
        <v>398</v>
      </c>
      <c r="AB36">
        <v>0.374</v>
      </c>
      <c r="AC36">
        <v>0.27401023800000002</v>
      </c>
      <c r="AD36" s="3">
        <v>7.3797292E-2</v>
      </c>
      <c r="AE36">
        <v>1</v>
      </c>
      <c r="AF36" t="s">
        <v>138</v>
      </c>
      <c r="AG36">
        <v>1</v>
      </c>
      <c r="AH36">
        <v>1</v>
      </c>
      <c r="AI36">
        <f t="shared" si="7"/>
        <v>2.865979381443299</v>
      </c>
      <c r="AJ36">
        <f t="shared" si="8"/>
        <v>2.1855670103092781</v>
      </c>
      <c r="AK36" t="s">
        <v>112</v>
      </c>
      <c r="AL36">
        <v>37</v>
      </c>
      <c r="AM36" t="s">
        <v>115</v>
      </c>
      <c r="AN36" t="s">
        <v>111</v>
      </c>
      <c r="AO36">
        <v>12.872</v>
      </c>
    </row>
    <row r="37" spans="1:41" ht="15.6">
      <c r="A37">
        <v>1</v>
      </c>
      <c r="B37" t="s">
        <v>4</v>
      </c>
      <c r="C37" t="s">
        <v>3</v>
      </c>
      <c r="D37" s="3">
        <f t="shared" si="1"/>
        <v>36.082474226804123</v>
      </c>
      <c r="E37" s="3">
        <v>47.7</v>
      </c>
      <c r="F37">
        <v>2015</v>
      </c>
      <c r="G37">
        <f t="shared" si="2"/>
        <v>10</v>
      </c>
      <c r="H37">
        <f t="shared" si="9"/>
        <v>0.19699645297938143</v>
      </c>
      <c r="I37">
        <v>0.40300000000000002</v>
      </c>
      <c r="J37">
        <v>97</v>
      </c>
      <c r="K37">
        <v>3</v>
      </c>
      <c r="L37">
        <v>270</v>
      </c>
      <c r="M37" s="12">
        <f t="shared" si="4"/>
        <v>6.5302343936490675E-2</v>
      </c>
      <c r="N37">
        <f t="shared" si="10"/>
        <v>2.6094396443934013E-2</v>
      </c>
      <c r="O37">
        <v>0.25700000000000001</v>
      </c>
      <c r="P37" t="s">
        <v>39</v>
      </c>
      <c r="Q37" t="s">
        <v>373</v>
      </c>
      <c r="R37" cm="1">
        <f t="array" ref="R37">_xlfn.IFS(Q37="PS",3.607,Q37="JEPLMC",6.096,Q37="JPSP",2.579)</f>
        <v>2.5790000000000002</v>
      </c>
      <c r="S37">
        <f t="shared" si="5"/>
        <v>4.0181340206185618</v>
      </c>
      <c r="T37" t="s">
        <v>101</v>
      </c>
      <c r="U37">
        <v>136</v>
      </c>
      <c r="V37" t="s">
        <v>138</v>
      </c>
      <c r="W37">
        <f t="shared" si="6"/>
        <v>84.030927835051543</v>
      </c>
      <c r="X37" t="s">
        <v>377</v>
      </c>
      <c r="Y37">
        <v>2008</v>
      </c>
      <c r="Z37">
        <f>2025-AVERAGE($Y$2:$Y$98)</f>
        <v>17</v>
      </c>
      <c r="AA37">
        <v>0.03</v>
      </c>
      <c r="AB37">
        <v>0.51300000000000001</v>
      </c>
      <c r="AC37">
        <v>0.377126878</v>
      </c>
      <c r="AD37" s="3">
        <v>7.6700676999999995E-2</v>
      </c>
      <c r="AE37">
        <v>1</v>
      </c>
      <c r="AF37" t="s">
        <v>138</v>
      </c>
      <c r="AG37">
        <v>3</v>
      </c>
      <c r="AH37">
        <v>3</v>
      </c>
      <c r="AI37">
        <f t="shared" si="7"/>
        <v>2.865979381443299</v>
      </c>
      <c r="AJ37">
        <f t="shared" si="8"/>
        <v>2.1855670103092781</v>
      </c>
      <c r="AK37" t="s">
        <v>112</v>
      </c>
      <c r="AL37">
        <v>37</v>
      </c>
      <c r="AM37" t="s">
        <v>115</v>
      </c>
      <c r="AN37" t="s">
        <v>111</v>
      </c>
      <c r="AO37">
        <v>12.872</v>
      </c>
    </row>
    <row r="38" spans="1:41" ht="15.6">
      <c r="A38">
        <v>1</v>
      </c>
      <c r="B38" t="s">
        <v>4</v>
      </c>
      <c r="C38" t="s">
        <v>3</v>
      </c>
      <c r="D38" s="3">
        <f t="shared" si="1"/>
        <v>36.082474226804123</v>
      </c>
      <c r="E38" s="3">
        <v>47.7</v>
      </c>
      <c r="F38">
        <v>2015</v>
      </c>
      <c r="G38">
        <f t="shared" si="2"/>
        <v>10</v>
      </c>
      <c r="H38">
        <f t="shared" si="9"/>
        <v>0.19699645297938143</v>
      </c>
      <c r="I38">
        <v>0.40300000000000002</v>
      </c>
      <c r="J38">
        <v>97</v>
      </c>
      <c r="K38">
        <v>3</v>
      </c>
      <c r="L38">
        <v>270</v>
      </c>
      <c r="M38" s="12">
        <f t="shared" si="4"/>
        <v>6.5302343936490675E-2</v>
      </c>
      <c r="N38">
        <f t="shared" si="10"/>
        <v>2.6094396443934013E-2</v>
      </c>
      <c r="O38">
        <v>0.25700000000000001</v>
      </c>
      <c r="P38" t="s">
        <v>40</v>
      </c>
      <c r="Q38" t="s">
        <v>372</v>
      </c>
      <c r="R38" cm="1">
        <f t="array" ref="R38">_xlfn.IFS(Q38="PS",3.607,Q38="JEPLMC",6.096,Q38="JPSP",2.579)</f>
        <v>6.0960000000000001</v>
      </c>
      <c r="S38">
        <f t="shared" si="5"/>
        <v>4.0181340206185618</v>
      </c>
      <c r="T38" t="s">
        <v>101</v>
      </c>
      <c r="U38">
        <v>12</v>
      </c>
      <c r="V38" t="s">
        <v>138</v>
      </c>
      <c r="W38">
        <f t="shared" si="6"/>
        <v>84.030927835051543</v>
      </c>
      <c r="X38" t="s">
        <v>377</v>
      </c>
      <c r="Y38">
        <v>2008</v>
      </c>
      <c r="Z38">
        <f>2025-AVERAGE($Y$2:$Y$98)</f>
        <v>17</v>
      </c>
      <c r="AA38" t="s">
        <v>389</v>
      </c>
      <c r="AB38">
        <v>0.1986</v>
      </c>
      <c r="AC38">
        <v>0.178477629</v>
      </c>
      <c r="AD38" s="3">
        <v>8.3237640000000002E-2</v>
      </c>
      <c r="AE38">
        <v>1</v>
      </c>
      <c r="AF38" t="s">
        <v>138</v>
      </c>
      <c r="AG38">
        <v>3</v>
      </c>
      <c r="AH38">
        <v>1</v>
      </c>
      <c r="AI38">
        <f t="shared" si="7"/>
        <v>2.865979381443299</v>
      </c>
      <c r="AJ38">
        <f t="shared" si="8"/>
        <v>2.1855670103092781</v>
      </c>
      <c r="AK38" t="s">
        <v>112</v>
      </c>
      <c r="AL38">
        <v>37</v>
      </c>
      <c r="AM38" t="s">
        <v>115</v>
      </c>
      <c r="AN38" t="s">
        <v>111</v>
      </c>
      <c r="AO38">
        <v>12.872</v>
      </c>
    </row>
    <row r="39" spans="1:41" ht="15.6">
      <c r="A39">
        <v>1</v>
      </c>
      <c r="B39" t="s">
        <v>4</v>
      </c>
      <c r="C39" t="s">
        <v>3</v>
      </c>
      <c r="D39" s="3">
        <f t="shared" si="1"/>
        <v>36.082474226804123</v>
      </c>
      <c r="E39" s="3">
        <v>47.7</v>
      </c>
      <c r="F39">
        <v>2015</v>
      </c>
      <c r="G39">
        <f t="shared" si="2"/>
        <v>10</v>
      </c>
      <c r="H39">
        <f t="shared" si="9"/>
        <v>0.19699645297938143</v>
      </c>
      <c r="I39">
        <v>0.40300000000000002</v>
      </c>
      <c r="J39">
        <v>97</v>
      </c>
      <c r="K39">
        <v>3</v>
      </c>
      <c r="L39">
        <v>270</v>
      </c>
      <c r="M39" s="12">
        <f t="shared" si="4"/>
        <v>6.5302343936490675E-2</v>
      </c>
      <c r="N39">
        <f t="shared" si="10"/>
        <v>2.6094396443934013E-2</v>
      </c>
      <c r="O39">
        <v>0.25700000000000001</v>
      </c>
      <c r="P39" t="s">
        <v>41</v>
      </c>
      <c r="Q39" t="s">
        <v>371</v>
      </c>
      <c r="R39" cm="1">
        <f t="array" ref="R39">_xlfn.IFS(Q39="PS",3.607,Q39="JEPLMC",6.096,Q39="JPSP",2.579)</f>
        <v>3.6070000000000002</v>
      </c>
      <c r="S39">
        <f t="shared" si="5"/>
        <v>4.0181340206185618</v>
      </c>
      <c r="T39" t="s">
        <v>101</v>
      </c>
      <c r="U39">
        <v>37</v>
      </c>
      <c r="V39" t="s">
        <v>138</v>
      </c>
      <c r="W39">
        <f t="shared" si="6"/>
        <v>84.030927835051543</v>
      </c>
      <c r="X39" t="s">
        <v>377</v>
      </c>
      <c r="Y39">
        <v>2008</v>
      </c>
      <c r="Z39">
        <f>2025-AVERAGE($Y$2:$Y$98)</f>
        <v>17</v>
      </c>
      <c r="AA39" t="s">
        <v>392</v>
      </c>
      <c r="AB39">
        <v>0.28000000000000003</v>
      </c>
      <c r="AC39">
        <v>0.55442718700000004</v>
      </c>
      <c r="AD39" s="3">
        <v>9.1162691000000004E-2</v>
      </c>
      <c r="AE39">
        <v>1</v>
      </c>
      <c r="AF39" t="s">
        <v>138</v>
      </c>
      <c r="AG39">
        <v>4</v>
      </c>
      <c r="AH39">
        <v>3</v>
      </c>
      <c r="AI39">
        <f t="shared" si="7"/>
        <v>2.865979381443299</v>
      </c>
      <c r="AJ39">
        <f t="shared" si="8"/>
        <v>2.1855670103092781</v>
      </c>
      <c r="AK39" t="s">
        <v>112</v>
      </c>
      <c r="AL39">
        <v>37</v>
      </c>
      <c r="AM39" t="s">
        <v>115</v>
      </c>
      <c r="AN39" t="s">
        <v>111</v>
      </c>
      <c r="AO39">
        <v>12.872</v>
      </c>
    </row>
    <row r="40" spans="1:41" ht="15.6">
      <c r="A40">
        <v>1</v>
      </c>
      <c r="B40" t="s">
        <v>4</v>
      </c>
      <c r="C40" t="s">
        <v>3</v>
      </c>
      <c r="D40" s="3">
        <f t="shared" si="1"/>
        <v>36.082474226804123</v>
      </c>
      <c r="E40" s="3">
        <v>47.7</v>
      </c>
      <c r="F40">
        <v>2015</v>
      </c>
      <c r="G40">
        <f t="shared" si="2"/>
        <v>10</v>
      </c>
      <c r="H40">
        <f t="shared" si="9"/>
        <v>0.19699645297938143</v>
      </c>
      <c r="I40">
        <v>0.40300000000000002</v>
      </c>
      <c r="J40">
        <v>97</v>
      </c>
      <c r="K40">
        <v>3</v>
      </c>
      <c r="L40">
        <v>270</v>
      </c>
      <c r="M40" s="12">
        <f t="shared" si="4"/>
        <v>6.5302343936490675E-2</v>
      </c>
      <c r="N40">
        <f t="shared" si="10"/>
        <v>2.6094396443934013E-2</v>
      </c>
      <c r="O40">
        <v>0.25700000000000001</v>
      </c>
      <c r="P40" t="s">
        <v>42</v>
      </c>
      <c r="Q40" t="s">
        <v>373</v>
      </c>
      <c r="R40" cm="1">
        <f t="array" ref="R40">_xlfn.IFS(Q40="PS",3.607,Q40="JEPLMC",6.096,Q40="JPSP",2.579)</f>
        <v>2.5790000000000002</v>
      </c>
      <c r="S40">
        <f t="shared" si="5"/>
        <v>4.0181340206185618</v>
      </c>
      <c r="T40" t="s">
        <v>101</v>
      </c>
      <c r="U40">
        <v>35</v>
      </c>
      <c r="V40" t="s">
        <v>138</v>
      </c>
      <c r="W40">
        <f t="shared" si="6"/>
        <v>84.030927835051543</v>
      </c>
      <c r="X40" t="s">
        <v>377</v>
      </c>
      <c r="Y40">
        <v>2008</v>
      </c>
      <c r="Z40">
        <f>2025-AVERAGE($Y$2:$Y$98)</f>
        <v>17</v>
      </c>
      <c r="AA40" t="s">
        <v>398</v>
      </c>
      <c r="AB40">
        <v>0.32200000000000001</v>
      </c>
      <c r="AC40">
        <v>0.20573685999999999</v>
      </c>
      <c r="AD40" s="3">
        <v>9.4021673E-2</v>
      </c>
      <c r="AE40">
        <v>1</v>
      </c>
      <c r="AF40" t="s">
        <v>138</v>
      </c>
      <c r="AG40">
        <v>4</v>
      </c>
      <c r="AH40">
        <v>7</v>
      </c>
      <c r="AI40">
        <f t="shared" si="7"/>
        <v>2.865979381443299</v>
      </c>
      <c r="AJ40">
        <f t="shared" si="8"/>
        <v>2.1855670103092781</v>
      </c>
      <c r="AK40" t="s">
        <v>112</v>
      </c>
      <c r="AL40">
        <v>37</v>
      </c>
      <c r="AM40" t="s">
        <v>115</v>
      </c>
      <c r="AN40" t="s">
        <v>111</v>
      </c>
      <c r="AO40">
        <v>12.872</v>
      </c>
    </row>
    <row r="41" spans="1:41" ht="15.6">
      <c r="A41">
        <v>1</v>
      </c>
      <c r="B41" t="s">
        <v>4</v>
      </c>
      <c r="C41" t="s">
        <v>3</v>
      </c>
      <c r="D41" s="3">
        <f t="shared" si="1"/>
        <v>36.082474226804123</v>
      </c>
      <c r="E41" s="3">
        <v>47.7</v>
      </c>
      <c r="F41">
        <v>2015</v>
      </c>
      <c r="G41">
        <f t="shared" si="2"/>
        <v>10</v>
      </c>
      <c r="H41">
        <f t="shared" si="9"/>
        <v>0.19699645297938143</v>
      </c>
      <c r="I41">
        <v>0.40300000000000002</v>
      </c>
      <c r="J41">
        <v>97</v>
      </c>
      <c r="K41">
        <v>3</v>
      </c>
      <c r="L41">
        <v>270</v>
      </c>
      <c r="M41" s="12">
        <f t="shared" si="4"/>
        <v>6.5302343936490675E-2</v>
      </c>
      <c r="N41">
        <f t="shared" si="10"/>
        <v>2.6094396443934013E-2</v>
      </c>
      <c r="O41">
        <v>0.25700000000000001</v>
      </c>
      <c r="P41" t="s">
        <v>43</v>
      </c>
      <c r="Q41" t="s">
        <v>372</v>
      </c>
      <c r="R41" cm="1">
        <f t="array" ref="R41">_xlfn.IFS(Q41="PS",3.607,Q41="JEPLMC",6.096,Q41="JPSP",2.579)</f>
        <v>6.0960000000000001</v>
      </c>
      <c r="S41">
        <f t="shared" si="5"/>
        <v>4.0181340206185618</v>
      </c>
      <c r="T41" t="s">
        <v>101</v>
      </c>
      <c r="U41">
        <v>40</v>
      </c>
      <c r="V41" t="s">
        <v>138</v>
      </c>
      <c r="W41">
        <f t="shared" si="6"/>
        <v>84.030927835051543</v>
      </c>
      <c r="X41" t="s">
        <v>377</v>
      </c>
      <c r="Y41">
        <v>2008</v>
      </c>
      <c r="Z41">
        <f>2025-AVERAGE($Y$2:$Y$98)</f>
        <v>17</v>
      </c>
      <c r="AA41" t="s">
        <v>389</v>
      </c>
      <c r="AB41">
        <v>0.21</v>
      </c>
      <c r="AC41">
        <v>0.36661571300000001</v>
      </c>
      <c r="AD41" s="3">
        <v>0.10170916100000001</v>
      </c>
      <c r="AE41">
        <v>1</v>
      </c>
      <c r="AF41" t="s">
        <v>138</v>
      </c>
      <c r="AG41">
        <v>1</v>
      </c>
      <c r="AH41">
        <v>4</v>
      </c>
      <c r="AI41">
        <f t="shared" si="7"/>
        <v>2.865979381443299</v>
      </c>
      <c r="AJ41">
        <f t="shared" si="8"/>
        <v>2.1855670103092781</v>
      </c>
      <c r="AK41" t="s">
        <v>112</v>
      </c>
      <c r="AL41">
        <v>37</v>
      </c>
      <c r="AM41" t="s">
        <v>115</v>
      </c>
      <c r="AN41" t="s">
        <v>111</v>
      </c>
      <c r="AO41">
        <v>12.872</v>
      </c>
    </row>
    <row r="42" spans="1:41" ht="15.6">
      <c r="A42">
        <v>1</v>
      </c>
      <c r="B42" t="s">
        <v>4</v>
      </c>
      <c r="C42" t="s">
        <v>3</v>
      </c>
      <c r="D42" s="3">
        <f t="shared" si="1"/>
        <v>36.082474226804123</v>
      </c>
      <c r="E42" s="3">
        <v>47.7</v>
      </c>
      <c r="F42">
        <v>2015</v>
      </c>
      <c r="G42">
        <f t="shared" si="2"/>
        <v>10</v>
      </c>
      <c r="H42">
        <f t="shared" si="9"/>
        <v>0.19699645297938143</v>
      </c>
      <c r="I42">
        <v>0.40300000000000002</v>
      </c>
      <c r="J42">
        <v>97</v>
      </c>
      <c r="K42">
        <v>3</v>
      </c>
      <c r="L42">
        <v>270</v>
      </c>
      <c r="M42" s="12">
        <f t="shared" si="4"/>
        <v>6.5302343936490675E-2</v>
      </c>
      <c r="N42">
        <f t="shared" si="10"/>
        <v>2.6094396443934013E-2</v>
      </c>
      <c r="O42">
        <v>0.25700000000000001</v>
      </c>
      <c r="P42" t="s">
        <v>44</v>
      </c>
      <c r="Q42" t="s">
        <v>371</v>
      </c>
      <c r="R42" cm="1">
        <f t="array" ref="R42">_xlfn.IFS(Q42="PS",3.607,Q42="JEPLMC",6.096,Q42="JPSP",2.579)</f>
        <v>3.6070000000000002</v>
      </c>
      <c r="S42">
        <f t="shared" si="5"/>
        <v>4.0181340206185618</v>
      </c>
      <c r="T42" t="s">
        <v>101</v>
      </c>
      <c r="U42">
        <v>341</v>
      </c>
      <c r="V42" t="s">
        <v>138</v>
      </c>
      <c r="W42">
        <f t="shared" si="6"/>
        <v>84.030927835051543</v>
      </c>
      <c r="X42" t="s">
        <v>377</v>
      </c>
      <c r="Y42">
        <v>2008</v>
      </c>
      <c r="Z42">
        <f>2025-AVERAGE($Y$2:$Y$98)</f>
        <v>17</v>
      </c>
      <c r="AA42" t="s">
        <v>391</v>
      </c>
      <c r="AB42">
        <v>0.44</v>
      </c>
      <c r="AC42">
        <v>0.49814917800000003</v>
      </c>
      <c r="AD42" s="3">
        <v>0.102355162</v>
      </c>
      <c r="AE42">
        <v>1</v>
      </c>
      <c r="AF42" t="s">
        <v>138</v>
      </c>
      <c r="AG42">
        <v>2</v>
      </c>
      <c r="AH42">
        <v>3</v>
      </c>
      <c r="AI42">
        <f t="shared" si="7"/>
        <v>2.865979381443299</v>
      </c>
      <c r="AJ42">
        <f t="shared" si="8"/>
        <v>2.1855670103092781</v>
      </c>
      <c r="AK42" t="s">
        <v>112</v>
      </c>
      <c r="AL42">
        <v>37</v>
      </c>
      <c r="AM42" t="s">
        <v>115</v>
      </c>
      <c r="AN42" t="s">
        <v>111</v>
      </c>
      <c r="AO42">
        <v>12.872</v>
      </c>
    </row>
    <row r="43" spans="1:41" ht="15.6">
      <c r="A43">
        <v>1</v>
      </c>
      <c r="B43" t="s">
        <v>4</v>
      </c>
      <c r="C43" t="s">
        <v>3</v>
      </c>
      <c r="D43" s="3">
        <f t="shared" si="1"/>
        <v>36.082474226804123</v>
      </c>
      <c r="E43" s="3">
        <v>47.7</v>
      </c>
      <c r="F43">
        <v>2015</v>
      </c>
      <c r="G43">
        <f t="shared" si="2"/>
        <v>10</v>
      </c>
      <c r="H43">
        <f t="shared" si="9"/>
        <v>0.19699645297938143</v>
      </c>
      <c r="I43">
        <v>0.40300000000000002</v>
      </c>
      <c r="J43">
        <v>97</v>
      </c>
      <c r="K43">
        <v>3</v>
      </c>
      <c r="L43">
        <v>270</v>
      </c>
      <c r="M43" s="12">
        <f t="shared" si="4"/>
        <v>6.5302343936490675E-2</v>
      </c>
      <c r="N43">
        <f t="shared" si="10"/>
        <v>2.6094396443934013E-2</v>
      </c>
      <c r="O43">
        <v>0.25700000000000001</v>
      </c>
      <c r="P43" t="s">
        <v>45</v>
      </c>
      <c r="Q43" t="s">
        <v>372</v>
      </c>
      <c r="R43" cm="1">
        <f t="array" ref="R43">_xlfn.IFS(Q43="PS",3.607,Q43="JEPLMC",6.096,Q43="JPSP",2.579)</f>
        <v>6.0960000000000001</v>
      </c>
      <c r="S43">
        <f t="shared" si="5"/>
        <v>4.0181340206185618</v>
      </c>
      <c r="T43" t="s">
        <v>101</v>
      </c>
      <c r="U43">
        <v>72</v>
      </c>
      <c r="V43" t="s">
        <v>138</v>
      </c>
      <c r="W43">
        <f t="shared" si="6"/>
        <v>84.030927835051543</v>
      </c>
      <c r="X43" t="s">
        <v>377</v>
      </c>
      <c r="Y43">
        <v>2008</v>
      </c>
      <c r="Z43">
        <f>2025-AVERAGE($Y$2:$Y$98)</f>
        <v>17</v>
      </c>
      <c r="AA43" t="s">
        <v>399</v>
      </c>
      <c r="AB43">
        <v>0.33</v>
      </c>
      <c r="AC43">
        <v>0.34177348800000001</v>
      </c>
      <c r="AD43" s="3">
        <v>0.10326110500000001</v>
      </c>
      <c r="AE43">
        <v>1</v>
      </c>
      <c r="AF43" t="s">
        <v>138</v>
      </c>
      <c r="AG43">
        <v>4</v>
      </c>
      <c r="AH43">
        <v>2</v>
      </c>
      <c r="AI43">
        <f t="shared" si="7"/>
        <v>2.865979381443299</v>
      </c>
      <c r="AJ43">
        <f t="shared" si="8"/>
        <v>2.1855670103092781</v>
      </c>
      <c r="AK43" t="s">
        <v>112</v>
      </c>
      <c r="AL43">
        <v>37</v>
      </c>
      <c r="AM43" t="s">
        <v>115</v>
      </c>
      <c r="AN43" t="s">
        <v>111</v>
      </c>
      <c r="AO43">
        <v>12.872</v>
      </c>
    </row>
    <row r="44" spans="1:41" ht="15.6">
      <c r="A44">
        <v>1</v>
      </c>
      <c r="B44" t="s">
        <v>4</v>
      </c>
      <c r="C44" t="s">
        <v>3</v>
      </c>
      <c r="D44" s="3">
        <f t="shared" si="1"/>
        <v>36.082474226804123</v>
      </c>
      <c r="E44" s="3">
        <v>47.7</v>
      </c>
      <c r="F44">
        <v>2015</v>
      </c>
      <c r="G44">
        <f t="shared" si="2"/>
        <v>10</v>
      </c>
      <c r="H44">
        <f t="shared" si="9"/>
        <v>0.19699645297938143</v>
      </c>
      <c r="I44">
        <v>0.40300000000000002</v>
      </c>
      <c r="J44">
        <v>97</v>
      </c>
      <c r="K44">
        <v>3</v>
      </c>
      <c r="L44">
        <v>270</v>
      </c>
      <c r="M44" s="12">
        <f t="shared" si="4"/>
        <v>6.5302343936490675E-2</v>
      </c>
      <c r="N44">
        <f t="shared" si="10"/>
        <v>2.6094396443934013E-2</v>
      </c>
      <c r="O44">
        <v>0.25700000000000001</v>
      </c>
      <c r="P44" t="s">
        <v>46</v>
      </c>
      <c r="Q44" t="s">
        <v>371</v>
      </c>
      <c r="R44" cm="1">
        <f t="array" ref="R44">_xlfn.IFS(Q44="PS",3.607,Q44="JEPLMC",6.096,Q44="JPSP",2.579)</f>
        <v>3.6070000000000002</v>
      </c>
      <c r="S44">
        <f t="shared" si="5"/>
        <v>4.0181340206185618</v>
      </c>
      <c r="T44" t="s">
        <v>101</v>
      </c>
      <c r="U44">
        <v>66</v>
      </c>
      <c r="V44" t="s">
        <v>138</v>
      </c>
      <c r="W44">
        <f t="shared" si="6"/>
        <v>84.030927835051543</v>
      </c>
      <c r="X44" t="s">
        <v>377</v>
      </c>
      <c r="Y44">
        <v>2008</v>
      </c>
      <c r="Z44">
        <f>2025-AVERAGE($Y$2:$Y$98)</f>
        <v>17</v>
      </c>
      <c r="AA44" t="s">
        <v>393</v>
      </c>
      <c r="AB44">
        <v>0.189</v>
      </c>
      <c r="AC44">
        <v>0.22233023499999999</v>
      </c>
      <c r="AD44" s="3">
        <v>0.104941786</v>
      </c>
      <c r="AE44">
        <v>1</v>
      </c>
      <c r="AF44" t="s">
        <v>138</v>
      </c>
      <c r="AG44">
        <v>3</v>
      </c>
      <c r="AH44">
        <v>2</v>
      </c>
      <c r="AI44">
        <f t="shared" si="7"/>
        <v>2.865979381443299</v>
      </c>
      <c r="AJ44">
        <f t="shared" si="8"/>
        <v>2.1855670103092781</v>
      </c>
      <c r="AK44" t="s">
        <v>112</v>
      </c>
      <c r="AL44">
        <v>37</v>
      </c>
      <c r="AM44" t="s">
        <v>115</v>
      </c>
      <c r="AN44" t="s">
        <v>111</v>
      </c>
      <c r="AO44">
        <v>12.872</v>
      </c>
    </row>
    <row r="45" spans="1:41" ht="15.6">
      <c r="A45">
        <v>1</v>
      </c>
      <c r="B45" t="s">
        <v>4</v>
      </c>
      <c r="C45" t="s">
        <v>3</v>
      </c>
      <c r="D45" s="3">
        <f t="shared" si="1"/>
        <v>36.082474226804123</v>
      </c>
      <c r="E45" s="3">
        <v>47.7</v>
      </c>
      <c r="F45">
        <v>2015</v>
      </c>
      <c r="G45">
        <f t="shared" si="2"/>
        <v>10</v>
      </c>
      <c r="H45">
        <f t="shared" si="9"/>
        <v>0.19699645297938143</v>
      </c>
      <c r="I45">
        <v>0.40300000000000002</v>
      </c>
      <c r="J45">
        <v>97</v>
      </c>
      <c r="K45">
        <v>3</v>
      </c>
      <c r="L45">
        <v>270</v>
      </c>
      <c r="M45" s="12">
        <f t="shared" si="4"/>
        <v>6.5302343936490675E-2</v>
      </c>
      <c r="N45">
        <f t="shared" si="10"/>
        <v>2.6094396443934013E-2</v>
      </c>
      <c r="O45">
        <v>0.25700000000000001</v>
      </c>
      <c r="P45" t="s">
        <v>47</v>
      </c>
      <c r="Q45" t="s">
        <v>371</v>
      </c>
      <c r="R45" cm="1">
        <f t="array" ref="R45">_xlfn.IFS(Q45="PS",3.607,Q45="JEPLMC",6.096,Q45="JPSP",2.579)</f>
        <v>3.6070000000000002</v>
      </c>
      <c r="S45">
        <f t="shared" si="5"/>
        <v>4.0181340206185618</v>
      </c>
      <c r="T45" t="s">
        <v>101</v>
      </c>
      <c r="U45">
        <v>65</v>
      </c>
      <c r="V45" t="s">
        <v>138</v>
      </c>
      <c r="W45">
        <f t="shared" si="6"/>
        <v>84.030927835051543</v>
      </c>
      <c r="X45" t="s">
        <v>377</v>
      </c>
      <c r="Y45">
        <v>2008</v>
      </c>
      <c r="Z45">
        <f>2025-AVERAGE($Y$2:$Y$98)</f>
        <v>17</v>
      </c>
      <c r="AA45" t="s">
        <v>400</v>
      </c>
      <c r="AB45">
        <v>0</v>
      </c>
      <c r="AC45">
        <v>4.6400199999999999E-3</v>
      </c>
      <c r="AD45" s="3">
        <v>0.105891025</v>
      </c>
      <c r="AE45">
        <v>1</v>
      </c>
      <c r="AF45" t="s">
        <v>138</v>
      </c>
      <c r="AG45">
        <v>2</v>
      </c>
      <c r="AH45">
        <v>1</v>
      </c>
      <c r="AI45">
        <f t="shared" si="7"/>
        <v>2.865979381443299</v>
      </c>
      <c r="AJ45">
        <f t="shared" si="8"/>
        <v>2.1855670103092781</v>
      </c>
      <c r="AK45" t="s">
        <v>112</v>
      </c>
      <c r="AL45">
        <v>37</v>
      </c>
      <c r="AM45" t="s">
        <v>115</v>
      </c>
      <c r="AN45" t="s">
        <v>111</v>
      </c>
      <c r="AO45">
        <v>12.872</v>
      </c>
    </row>
    <row r="46" spans="1:41" ht="15.6">
      <c r="A46">
        <v>1</v>
      </c>
      <c r="B46" t="s">
        <v>4</v>
      </c>
      <c r="C46" t="s">
        <v>3</v>
      </c>
      <c r="D46" s="3">
        <f t="shared" si="1"/>
        <v>36.082474226804123</v>
      </c>
      <c r="E46" s="3">
        <v>47.7</v>
      </c>
      <c r="F46">
        <v>2015</v>
      </c>
      <c r="G46">
        <f t="shared" si="2"/>
        <v>10</v>
      </c>
      <c r="H46">
        <f t="shared" si="9"/>
        <v>0.19699645297938143</v>
      </c>
      <c r="I46">
        <v>0.40300000000000002</v>
      </c>
      <c r="J46">
        <v>97</v>
      </c>
      <c r="K46">
        <v>3</v>
      </c>
      <c r="L46">
        <v>270</v>
      </c>
      <c r="M46" s="12">
        <f t="shared" si="4"/>
        <v>6.5302343936490675E-2</v>
      </c>
      <c r="N46">
        <f t="shared" si="10"/>
        <v>2.6094396443934013E-2</v>
      </c>
      <c r="O46">
        <v>0.25700000000000001</v>
      </c>
      <c r="P46" t="s">
        <v>48</v>
      </c>
      <c r="Q46" t="s">
        <v>371</v>
      </c>
      <c r="R46" cm="1">
        <f t="array" ref="R46">_xlfn.IFS(Q46="PS",3.607,Q46="JEPLMC",6.096,Q46="JPSP",2.579)</f>
        <v>3.6070000000000002</v>
      </c>
      <c r="S46">
        <f t="shared" si="5"/>
        <v>4.0181340206185618</v>
      </c>
      <c r="T46" t="s">
        <v>103</v>
      </c>
      <c r="U46">
        <v>105</v>
      </c>
      <c r="V46" t="s">
        <v>138</v>
      </c>
      <c r="W46">
        <f t="shared" si="6"/>
        <v>84.030927835051543</v>
      </c>
      <c r="X46" t="s">
        <v>377</v>
      </c>
      <c r="Y46">
        <v>2008</v>
      </c>
      <c r="Z46">
        <f>2025-AVERAGE($Y$2:$Y$98)</f>
        <v>17</v>
      </c>
      <c r="AA46" t="s">
        <v>384</v>
      </c>
      <c r="AB46" t="s">
        <v>384</v>
      </c>
      <c r="AC46">
        <v>0.43</v>
      </c>
      <c r="AD46" s="3">
        <v>0.11</v>
      </c>
      <c r="AE46">
        <v>1</v>
      </c>
      <c r="AF46" t="s">
        <v>138</v>
      </c>
      <c r="AG46">
        <v>3</v>
      </c>
      <c r="AH46">
        <v>2</v>
      </c>
      <c r="AI46">
        <f t="shared" si="7"/>
        <v>2.865979381443299</v>
      </c>
      <c r="AJ46">
        <f t="shared" si="8"/>
        <v>2.1855670103092781</v>
      </c>
      <c r="AK46" t="s">
        <v>112</v>
      </c>
      <c r="AL46">
        <v>37</v>
      </c>
      <c r="AM46" t="s">
        <v>115</v>
      </c>
      <c r="AN46" t="s">
        <v>111</v>
      </c>
      <c r="AO46">
        <v>12.872</v>
      </c>
    </row>
    <row r="47" spans="1:41" ht="15.6">
      <c r="A47">
        <v>1</v>
      </c>
      <c r="B47" t="s">
        <v>4</v>
      </c>
      <c r="C47" t="s">
        <v>3</v>
      </c>
      <c r="D47" s="3">
        <f t="shared" si="1"/>
        <v>36.082474226804123</v>
      </c>
      <c r="E47" s="3">
        <v>47.7</v>
      </c>
      <c r="F47">
        <v>2015</v>
      </c>
      <c r="G47">
        <f t="shared" si="2"/>
        <v>10</v>
      </c>
      <c r="H47">
        <f t="shared" si="9"/>
        <v>0.19699645297938143</v>
      </c>
      <c r="I47">
        <v>0.40300000000000002</v>
      </c>
      <c r="J47">
        <v>97</v>
      </c>
      <c r="K47">
        <v>3</v>
      </c>
      <c r="L47">
        <v>270</v>
      </c>
      <c r="M47" s="12">
        <f t="shared" si="4"/>
        <v>6.5302343936490675E-2</v>
      </c>
      <c r="N47">
        <f t="shared" si="10"/>
        <v>2.6094396443934013E-2</v>
      </c>
      <c r="O47">
        <v>0.25700000000000001</v>
      </c>
      <c r="P47" t="s">
        <v>49</v>
      </c>
      <c r="Q47" t="s">
        <v>373</v>
      </c>
      <c r="R47" cm="1">
        <f t="array" ref="R47">_xlfn.IFS(Q47="PS",3.607,Q47="JEPLMC",6.096,Q47="JPSP",2.579)</f>
        <v>2.5790000000000002</v>
      </c>
      <c r="S47">
        <f t="shared" si="5"/>
        <v>4.0181340206185618</v>
      </c>
      <c r="T47" t="s">
        <v>101</v>
      </c>
      <c r="U47">
        <v>113</v>
      </c>
      <c r="V47" t="s">
        <v>138</v>
      </c>
      <c r="W47">
        <f t="shared" si="6"/>
        <v>84.030927835051543</v>
      </c>
      <c r="X47" t="s">
        <v>377</v>
      </c>
      <c r="Y47">
        <v>2008</v>
      </c>
      <c r="Z47">
        <f>2025-AVERAGE($Y$2:$Y$98)</f>
        <v>17</v>
      </c>
      <c r="AA47" t="s">
        <v>394</v>
      </c>
      <c r="AB47">
        <v>0.42599999999999999</v>
      </c>
      <c r="AC47">
        <v>0.42549677699999999</v>
      </c>
      <c r="AD47" s="3">
        <v>0.11385379</v>
      </c>
      <c r="AE47">
        <v>1</v>
      </c>
      <c r="AF47" t="s">
        <v>138</v>
      </c>
      <c r="AG47">
        <v>3</v>
      </c>
      <c r="AH47">
        <v>1</v>
      </c>
      <c r="AI47">
        <f t="shared" si="7"/>
        <v>2.865979381443299</v>
      </c>
      <c r="AJ47">
        <f t="shared" si="8"/>
        <v>2.1855670103092781</v>
      </c>
      <c r="AK47" t="s">
        <v>112</v>
      </c>
      <c r="AL47">
        <v>37</v>
      </c>
      <c r="AM47" t="s">
        <v>115</v>
      </c>
      <c r="AN47" t="s">
        <v>111</v>
      </c>
      <c r="AO47">
        <v>12.872</v>
      </c>
    </row>
    <row r="48" spans="1:41" ht="15.6">
      <c r="A48">
        <v>1</v>
      </c>
      <c r="B48" t="s">
        <v>4</v>
      </c>
      <c r="C48" t="s">
        <v>3</v>
      </c>
      <c r="D48" s="3">
        <f t="shared" si="1"/>
        <v>36.082474226804123</v>
      </c>
      <c r="E48" s="3">
        <v>47.7</v>
      </c>
      <c r="F48">
        <v>2015</v>
      </c>
      <c r="G48">
        <f t="shared" si="2"/>
        <v>10</v>
      </c>
      <c r="H48">
        <f t="shared" si="9"/>
        <v>0.19699645297938143</v>
      </c>
      <c r="I48">
        <v>0.40300000000000002</v>
      </c>
      <c r="J48">
        <v>97</v>
      </c>
      <c r="K48">
        <v>3</v>
      </c>
      <c r="L48">
        <v>270</v>
      </c>
      <c r="M48" s="12">
        <f t="shared" si="4"/>
        <v>6.5302343936490675E-2</v>
      </c>
      <c r="N48">
        <f t="shared" si="10"/>
        <v>2.6094396443934013E-2</v>
      </c>
      <c r="O48">
        <v>0.25700000000000001</v>
      </c>
      <c r="P48" t="s">
        <v>50</v>
      </c>
      <c r="Q48" t="s">
        <v>373</v>
      </c>
      <c r="R48" cm="1">
        <f t="array" ref="R48">_xlfn.IFS(Q48="PS",3.607,Q48="JEPLMC",6.096,Q48="JPSP",2.579)</f>
        <v>2.5790000000000002</v>
      </c>
      <c r="S48">
        <f t="shared" si="5"/>
        <v>4.0181340206185618</v>
      </c>
      <c r="T48" t="s">
        <v>101</v>
      </c>
      <c r="U48">
        <v>86</v>
      </c>
      <c r="V48" t="s">
        <v>138</v>
      </c>
      <c r="W48">
        <f t="shared" si="6"/>
        <v>84.030927835051543</v>
      </c>
      <c r="X48" t="s">
        <v>377</v>
      </c>
      <c r="Y48">
        <v>2008</v>
      </c>
      <c r="Z48">
        <f>2025-AVERAGE($Y$2:$Y$98)</f>
        <v>17</v>
      </c>
      <c r="AA48">
        <v>0.02</v>
      </c>
      <c r="AB48">
        <v>0.14000000000000001</v>
      </c>
      <c r="AC48">
        <v>0.212014281</v>
      </c>
      <c r="AD48" s="3">
        <v>0.118808574</v>
      </c>
      <c r="AE48">
        <v>1</v>
      </c>
      <c r="AF48" t="s">
        <v>138</v>
      </c>
      <c r="AG48">
        <v>3</v>
      </c>
      <c r="AH48">
        <v>1</v>
      </c>
      <c r="AI48">
        <f t="shared" si="7"/>
        <v>2.865979381443299</v>
      </c>
      <c r="AJ48">
        <f t="shared" si="8"/>
        <v>2.1855670103092781</v>
      </c>
      <c r="AK48" t="s">
        <v>112</v>
      </c>
      <c r="AL48">
        <v>37</v>
      </c>
      <c r="AM48" t="s">
        <v>115</v>
      </c>
      <c r="AN48" t="s">
        <v>111</v>
      </c>
      <c r="AO48">
        <v>12.872</v>
      </c>
    </row>
    <row r="49" spans="1:75" ht="15.6">
      <c r="A49">
        <v>1</v>
      </c>
      <c r="B49" t="s">
        <v>4</v>
      </c>
      <c r="C49" t="s">
        <v>3</v>
      </c>
      <c r="D49" s="3">
        <f t="shared" si="1"/>
        <v>36.082474226804123</v>
      </c>
      <c r="E49" s="3">
        <v>47.7</v>
      </c>
      <c r="F49">
        <v>2015</v>
      </c>
      <c r="G49">
        <f t="shared" si="2"/>
        <v>10</v>
      </c>
      <c r="H49">
        <f t="shared" si="9"/>
        <v>0.19699645297938143</v>
      </c>
      <c r="I49">
        <v>0.40300000000000002</v>
      </c>
      <c r="J49">
        <v>97</v>
      </c>
      <c r="K49">
        <v>3</v>
      </c>
      <c r="L49">
        <v>270</v>
      </c>
      <c r="M49" s="12">
        <f t="shared" si="4"/>
        <v>6.5302343936490675E-2</v>
      </c>
      <c r="N49">
        <f t="shared" si="10"/>
        <v>2.6094396443934013E-2</v>
      </c>
      <c r="O49">
        <v>0.25700000000000001</v>
      </c>
      <c r="P49" t="s">
        <v>51</v>
      </c>
      <c r="Q49" t="s">
        <v>371</v>
      </c>
      <c r="R49" cm="1">
        <f t="array" ref="R49">_xlfn.IFS(Q49="PS",3.607,Q49="JEPLMC",6.096,Q49="JPSP",2.579)</f>
        <v>3.6070000000000002</v>
      </c>
      <c r="S49">
        <f t="shared" si="5"/>
        <v>4.0181340206185618</v>
      </c>
      <c r="T49" t="s">
        <v>101</v>
      </c>
      <c r="U49">
        <v>38</v>
      </c>
      <c r="V49" t="s">
        <v>138</v>
      </c>
      <c r="W49">
        <f t="shared" si="6"/>
        <v>84.030927835051543</v>
      </c>
      <c r="X49" t="s">
        <v>377</v>
      </c>
      <c r="Y49">
        <v>2008</v>
      </c>
      <c r="Z49">
        <f>2025-AVERAGE($Y$2:$Y$98)</f>
        <v>17</v>
      </c>
      <c r="AA49" t="s">
        <v>392</v>
      </c>
      <c r="AB49">
        <v>0.76</v>
      </c>
      <c r="AC49">
        <v>0.85955240300000002</v>
      </c>
      <c r="AD49" s="3">
        <v>0.12007356800000001</v>
      </c>
      <c r="AE49">
        <v>1</v>
      </c>
      <c r="AF49" t="s">
        <v>138</v>
      </c>
      <c r="AG49">
        <v>2</v>
      </c>
      <c r="AH49">
        <v>3</v>
      </c>
      <c r="AI49">
        <f t="shared" si="7"/>
        <v>2.865979381443299</v>
      </c>
      <c r="AJ49">
        <f t="shared" si="8"/>
        <v>2.1855670103092781</v>
      </c>
      <c r="AK49" t="s">
        <v>112</v>
      </c>
      <c r="AL49">
        <v>37</v>
      </c>
      <c r="AM49" t="s">
        <v>115</v>
      </c>
      <c r="AN49" t="s">
        <v>111</v>
      </c>
      <c r="AO49">
        <v>12.872</v>
      </c>
    </row>
    <row r="50" spans="1:75" ht="15.6">
      <c r="A50">
        <v>1</v>
      </c>
      <c r="B50" t="s">
        <v>4</v>
      </c>
      <c r="C50" t="s">
        <v>3</v>
      </c>
      <c r="D50" s="3">
        <f t="shared" si="1"/>
        <v>36.082474226804123</v>
      </c>
      <c r="E50" s="3">
        <v>47.7</v>
      </c>
      <c r="F50">
        <v>2015</v>
      </c>
      <c r="G50">
        <f t="shared" si="2"/>
        <v>10</v>
      </c>
      <c r="H50">
        <f t="shared" si="9"/>
        <v>0.19699645297938143</v>
      </c>
      <c r="I50">
        <v>0.40300000000000002</v>
      </c>
      <c r="J50">
        <v>97</v>
      </c>
      <c r="K50">
        <v>3</v>
      </c>
      <c r="L50">
        <v>270</v>
      </c>
      <c r="M50" s="12">
        <f t="shared" si="4"/>
        <v>6.5302343936490675E-2</v>
      </c>
      <c r="N50">
        <f t="shared" si="10"/>
        <v>2.6094396443934013E-2</v>
      </c>
      <c r="O50">
        <v>0.25700000000000001</v>
      </c>
      <c r="P50" t="s">
        <v>52</v>
      </c>
      <c r="Q50" t="s">
        <v>371</v>
      </c>
      <c r="R50" cm="1">
        <f t="array" ref="R50">_xlfn.IFS(Q50="PS",3.607,Q50="JEPLMC",6.096,Q50="JPSP",2.579)</f>
        <v>3.6070000000000002</v>
      </c>
      <c r="S50">
        <f t="shared" si="5"/>
        <v>4.0181340206185618</v>
      </c>
      <c r="T50" t="s">
        <v>103</v>
      </c>
      <c r="U50">
        <v>53</v>
      </c>
      <c r="V50" t="s">
        <v>138</v>
      </c>
      <c r="W50">
        <f t="shared" si="6"/>
        <v>84.030927835051543</v>
      </c>
      <c r="X50" t="s">
        <v>377</v>
      </c>
      <c r="Y50">
        <v>2008</v>
      </c>
      <c r="Z50">
        <f>2025-AVERAGE($Y$2:$Y$98)</f>
        <v>17</v>
      </c>
      <c r="AA50" t="s">
        <v>401</v>
      </c>
      <c r="AB50">
        <v>9.9999999999999998E-13</v>
      </c>
      <c r="AC50">
        <v>0.130782132</v>
      </c>
      <c r="AD50" s="3">
        <v>0.12051914599999999</v>
      </c>
      <c r="AE50">
        <v>1</v>
      </c>
      <c r="AF50" t="s">
        <v>138</v>
      </c>
      <c r="AG50">
        <v>3</v>
      </c>
      <c r="AH50">
        <v>1</v>
      </c>
      <c r="AI50">
        <f t="shared" si="7"/>
        <v>2.865979381443299</v>
      </c>
      <c r="AJ50">
        <f t="shared" si="8"/>
        <v>2.1855670103092781</v>
      </c>
      <c r="AK50" t="s">
        <v>112</v>
      </c>
      <c r="AL50">
        <v>37</v>
      </c>
      <c r="AM50" t="s">
        <v>115</v>
      </c>
      <c r="AN50" t="s">
        <v>111</v>
      </c>
      <c r="AO50">
        <v>12.872</v>
      </c>
    </row>
    <row r="51" spans="1:75" ht="15.6">
      <c r="A51">
        <v>1</v>
      </c>
      <c r="B51" t="s">
        <v>4</v>
      </c>
      <c r="C51" t="s">
        <v>3</v>
      </c>
      <c r="D51" s="3">
        <f t="shared" si="1"/>
        <v>36.082474226804123</v>
      </c>
      <c r="E51" s="3">
        <v>47.7</v>
      </c>
      <c r="F51">
        <v>2015</v>
      </c>
      <c r="G51">
        <f t="shared" si="2"/>
        <v>10</v>
      </c>
      <c r="H51">
        <f t="shared" si="9"/>
        <v>0.19699645297938143</v>
      </c>
      <c r="I51">
        <v>0.40300000000000002</v>
      </c>
      <c r="J51">
        <v>97</v>
      </c>
      <c r="K51">
        <v>3</v>
      </c>
      <c r="L51">
        <v>270</v>
      </c>
      <c r="M51" s="12">
        <f t="shared" si="4"/>
        <v>6.5302343936490675E-2</v>
      </c>
      <c r="N51">
        <f t="shared" si="10"/>
        <v>2.6094396443934013E-2</v>
      </c>
      <c r="O51">
        <v>0.25700000000000001</v>
      </c>
      <c r="P51" t="s">
        <v>53</v>
      </c>
      <c r="Q51" t="s">
        <v>372</v>
      </c>
      <c r="R51" cm="1">
        <f t="array" ref="R51">_xlfn.IFS(Q51="PS",3.607,Q51="JEPLMC",6.096,Q51="JPSP",2.579)</f>
        <v>6.0960000000000001</v>
      </c>
      <c r="S51" s="1">
        <f t="shared" si="5"/>
        <v>4.0181340206185618</v>
      </c>
      <c r="T51" t="s">
        <v>101</v>
      </c>
      <c r="U51">
        <v>12</v>
      </c>
      <c r="V51" t="s">
        <v>138</v>
      </c>
      <c r="W51">
        <f t="shared" si="6"/>
        <v>84.030927835051543</v>
      </c>
      <c r="X51" t="s">
        <v>377</v>
      </c>
      <c r="Y51">
        <v>2008</v>
      </c>
      <c r="Z51">
        <f>2025-AVERAGE($Y$2:$Y$98)</f>
        <v>17</v>
      </c>
      <c r="AA51" t="s">
        <v>390</v>
      </c>
      <c r="AB51">
        <v>0.314</v>
      </c>
      <c r="AC51">
        <v>0.71514372800000003</v>
      </c>
      <c r="AD51" s="3">
        <v>0.13141198100000001</v>
      </c>
      <c r="AE51">
        <v>1</v>
      </c>
      <c r="AF51" t="s">
        <v>138</v>
      </c>
      <c r="AG51">
        <v>3</v>
      </c>
      <c r="AH51">
        <v>2</v>
      </c>
      <c r="AI51">
        <f t="shared" si="7"/>
        <v>2.865979381443299</v>
      </c>
      <c r="AJ51">
        <f t="shared" si="8"/>
        <v>2.1855670103092781</v>
      </c>
      <c r="AK51" t="s">
        <v>112</v>
      </c>
      <c r="AL51">
        <v>37</v>
      </c>
      <c r="AM51" t="s">
        <v>115</v>
      </c>
      <c r="AN51" t="s">
        <v>111</v>
      </c>
      <c r="AO51">
        <v>12.872</v>
      </c>
      <c r="AR51" s="1"/>
      <c r="AY51" s="1"/>
      <c r="BE51" s="1"/>
      <c r="BW51" s="1"/>
    </row>
    <row r="52" spans="1:75" ht="15.6">
      <c r="A52">
        <v>1</v>
      </c>
      <c r="B52" t="s">
        <v>4</v>
      </c>
      <c r="C52" t="s">
        <v>3</v>
      </c>
      <c r="D52" s="3">
        <f t="shared" si="1"/>
        <v>36.082474226804123</v>
      </c>
      <c r="E52" s="3">
        <v>47.7</v>
      </c>
      <c r="F52">
        <v>2015</v>
      </c>
      <c r="G52">
        <f t="shared" si="2"/>
        <v>10</v>
      </c>
      <c r="H52">
        <f t="shared" si="9"/>
        <v>0.19699645297938143</v>
      </c>
      <c r="I52">
        <v>0.40300000000000002</v>
      </c>
      <c r="J52">
        <v>97</v>
      </c>
      <c r="K52">
        <v>3</v>
      </c>
      <c r="L52">
        <v>270</v>
      </c>
      <c r="M52" s="12">
        <f t="shared" si="4"/>
        <v>6.5302343936490675E-2</v>
      </c>
      <c r="N52">
        <f t="shared" si="10"/>
        <v>2.6094396443934013E-2</v>
      </c>
      <c r="O52">
        <v>0.25700000000000001</v>
      </c>
      <c r="P52" t="s">
        <v>54</v>
      </c>
      <c r="Q52" t="s">
        <v>372</v>
      </c>
      <c r="R52" cm="1">
        <f t="array" ref="R52">_xlfn.IFS(Q52="PS",3.607,Q52="JEPLMC",6.096,Q52="JPSP",2.579)</f>
        <v>6.0960000000000001</v>
      </c>
      <c r="S52" s="1">
        <f t="shared" si="5"/>
        <v>4.0181340206185618</v>
      </c>
      <c r="T52" t="s">
        <v>101</v>
      </c>
      <c r="U52">
        <v>36</v>
      </c>
      <c r="V52" t="s">
        <v>138</v>
      </c>
      <c r="W52">
        <f t="shared" si="6"/>
        <v>84.030927835051543</v>
      </c>
      <c r="X52" t="s">
        <v>377</v>
      </c>
      <c r="Y52">
        <v>2008</v>
      </c>
      <c r="Z52">
        <f>2025-AVERAGE($Y$2:$Y$98)</f>
        <v>17</v>
      </c>
      <c r="AA52" t="s">
        <v>384</v>
      </c>
      <c r="AB52">
        <v>0.33500000000000002</v>
      </c>
      <c r="AC52">
        <v>0.46130074199999999</v>
      </c>
      <c r="AD52" s="3">
        <v>0.13481180200000001</v>
      </c>
      <c r="AE52">
        <v>1</v>
      </c>
      <c r="AF52" t="s">
        <v>138</v>
      </c>
      <c r="AG52">
        <v>3</v>
      </c>
      <c r="AH52">
        <v>1</v>
      </c>
      <c r="AI52">
        <f t="shared" si="7"/>
        <v>2.865979381443299</v>
      </c>
      <c r="AJ52">
        <f t="shared" si="8"/>
        <v>2.1855670103092781</v>
      </c>
      <c r="AK52" t="s">
        <v>112</v>
      </c>
      <c r="AL52">
        <v>37</v>
      </c>
      <c r="AM52" t="s">
        <v>115</v>
      </c>
      <c r="AN52" t="s">
        <v>111</v>
      </c>
      <c r="AO52">
        <v>12.872</v>
      </c>
      <c r="AR52" s="1"/>
      <c r="AY52" s="1"/>
      <c r="BW52" s="1"/>
    </row>
    <row r="53" spans="1:75" ht="15.6">
      <c r="A53">
        <v>1</v>
      </c>
      <c r="B53" t="s">
        <v>4</v>
      </c>
      <c r="C53" t="s">
        <v>3</v>
      </c>
      <c r="D53" s="3">
        <f t="shared" si="1"/>
        <v>36.082474226804123</v>
      </c>
      <c r="E53" s="3">
        <v>47.7</v>
      </c>
      <c r="F53">
        <v>2015</v>
      </c>
      <c r="G53">
        <f t="shared" si="2"/>
        <v>10</v>
      </c>
      <c r="H53">
        <f t="shared" si="9"/>
        <v>0.19699645297938143</v>
      </c>
      <c r="I53">
        <v>0.40300000000000002</v>
      </c>
      <c r="J53">
        <v>97</v>
      </c>
      <c r="K53">
        <v>3</v>
      </c>
      <c r="L53">
        <v>270</v>
      </c>
      <c r="M53" s="12">
        <f t="shared" si="4"/>
        <v>6.5302343936490675E-2</v>
      </c>
      <c r="N53">
        <f t="shared" si="10"/>
        <v>2.6094396443934013E-2</v>
      </c>
      <c r="O53">
        <v>0.25700000000000001</v>
      </c>
      <c r="P53" t="s">
        <v>55</v>
      </c>
      <c r="Q53" t="s">
        <v>372</v>
      </c>
      <c r="R53" cm="1">
        <f t="array" ref="R53">_xlfn.IFS(Q53="PS",3.607,Q53="JEPLMC",6.096,Q53="JPSP",2.579)</f>
        <v>6.0960000000000001</v>
      </c>
      <c r="S53" s="1">
        <f t="shared" si="5"/>
        <v>4.0181340206185618</v>
      </c>
      <c r="T53" t="s">
        <v>103</v>
      </c>
      <c r="U53">
        <v>16</v>
      </c>
      <c r="V53" t="s">
        <v>138</v>
      </c>
      <c r="W53">
        <f t="shared" si="6"/>
        <v>84.030927835051543</v>
      </c>
      <c r="X53" t="s">
        <v>377</v>
      </c>
      <c r="Y53">
        <v>2008</v>
      </c>
      <c r="Z53">
        <f>2025-AVERAGE($Y$2:$Y$98)</f>
        <v>17</v>
      </c>
      <c r="AA53" t="s">
        <v>402</v>
      </c>
      <c r="AB53">
        <v>0.17</v>
      </c>
      <c r="AC53">
        <v>0.16095569500000001</v>
      </c>
      <c r="AD53" s="3">
        <v>0.14406846000000001</v>
      </c>
      <c r="AE53">
        <v>1</v>
      </c>
      <c r="AF53" t="s">
        <v>138</v>
      </c>
      <c r="AG53">
        <v>2</v>
      </c>
      <c r="AH53">
        <v>2</v>
      </c>
      <c r="AI53">
        <f t="shared" si="7"/>
        <v>2.865979381443299</v>
      </c>
      <c r="AJ53">
        <f t="shared" si="8"/>
        <v>2.1855670103092781</v>
      </c>
      <c r="AK53" t="s">
        <v>112</v>
      </c>
      <c r="AL53">
        <v>37</v>
      </c>
      <c r="AM53" t="s">
        <v>115</v>
      </c>
      <c r="AN53" t="s">
        <v>111</v>
      </c>
      <c r="AO53">
        <v>12.872</v>
      </c>
      <c r="AR53" s="1"/>
      <c r="AY53" s="1"/>
      <c r="BW53" s="1"/>
    </row>
    <row r="54" spans="1:75" ht="15.6">
      <c r="A54">
        <v>1</v>
      </c>
      <c r="B54" t="s">
        <v>4</v>
      </c>
      <c r="C54" t="s">
        <v>3</v>
      </c>
      <c r="D54" s="3">
        <f t="shared" si="1"/>
        <v>36.082474226804123</v>
      </c>
      <c r="E54" s="3">
        <v>47.7</v>
      </c>
      <c r="F54">
        <v>2015</v>
      </c>
      <c r="G54">
        <f t="shared" si="2"/>
        <v>10</v>
      </c>
      <c r="H54">
        <f t="shared" si="9"/>
        <v>0.19699645297938143</v>
      </c>
      <c r="I54">
        <v>0.40300000000000002</v>
      </c>
      <c r="J54">
        <v>97</v>
      </c>
      <c r="K54">
        <v>3</v>
      </c>
      <c r="L54">
        <v>270</v>
      </c>
      <c r="M54" s="12">
        <f t="shared" si="4"/>
        <v>6.5302343936490675E-2</v>
      </c>
      <c r="N54">
        <f t="shared" si="10"/>
        <v>2.6094396443934013E-2</v>
      </c>
      <c r="O54">
        <v>0.25700000000000001</v>
      </c>
      <c r="P54" t="s">
        <v>56</v>
      </c>
      <c r="Q54" t="s">
        <v>372</v>
      </c>
      <c r="R54" cm="1">
        <f t="array" ref="R54">_xlfn.IFS(Q54="PS",3.607,Q54="JEPLMC",6.096,Q54="JPSP",2.579)</f>
        <v>6.0960000000000001</v>
      </c>
      <c r="S54" s="1">
        <f t="shared" si="5"/>
        <v>4.0181340206185618</v>
      </c>
      <c r="T54" t="s">
        <v>101</v>
      </c>
      <c r="U54">
        <v>46</v>
      </c>
      <c r="V54" t="s">
        <v>138</v>
      </c>
      <c r="W54">
        <f t="shared" si="6"/>
        <v>84.030927835051543</v>
      </c>
      <c r="X54" t="s">
        <v>377</v>
      </c>
      <c r="Y54">
        <v>2008</v>
      </c>
      <c r="Z54">
        <f>2025-AVERAGE($Y$2:$Y$98)</f>
        <v>17</v>
      </c>
      <c r="AA54">
        <v>0.02</v>
      </c>
      <c r="AB54">
        <v>0.435</v>
      </c>
      <c r="AC54">
        <v>0.59460528499999998</v>
      </c>
      <c r="AD54" s="3">
        <v>0.14834045300000001</v>
      </c>
      <c r="AE54">
        <v>1</v>
      </c>
      <c r="AF54" t="s">
        <v>138</v>
      </c>
      <c r="AG54">
        <v>1</v>
      </c>
      <c r="AH54">
        <v>1</v>
      </c>
      <c r="AI54">
        <f t="shared" si="7"/>
        <v>2.865979381443299</v>
      </c>
      <c r="AJ54">
        <f t="shared" si="8"/>
        <v>2.1855670103092781</v>
      </c>
      <c r="AK54" t="s">
        <v>112</v>
      </c>
      <c r="AL54">
        <v>37</v>
      </c>
      <c r="AM54" t="s">
        <v>115</v>
      </c>
      <c r="AN54" t="s">
        <v>111</v>
      </c>
      <c r="AO54">
        <v>12.872</v>
      </c>
      <c r="AR54" s="1"/>
      <c r="AY54" s="1"/>
    </row>
    <row r="55" spans="1:75" ht="15.6">
      <c r="A55">
        <v>1</v>
      </c>
      <c r="B55" t="s">
        <v>4</v>
      </c>
      <c r="C55" t="s">
        <v>3</v>
      </c>
      <c r="D55" s="3">
        <f t="shared" si="1"/>
        <v>36.082474226804123</v>
      </c>
      <c r="E55" s="3">
        <v>47.7</v>
      </c>
      <c r="F55">
        <v>2015</v>
      </c>
      <c r="G55">
        <f t="shared" si="2"/>
        <v>10</v>
      </c>
      <c r="H55">
        <f t="shared" si="9"/>
        <v>0.19699645297938143</v>
      </c>
      <c r="I55">
        <v>0.40300000000000002</v>
      </c>
      <c r="J55">
        <v>97</v>
      </c>
      <c r="K55">
        <v>3</v>
      </c>
      <c r="L55">
        <v>270</v>
      </c>
      <c r="M55" s="12">
        <f t="shared" si="4"/>
        <v>6.5302343936490675E-2</v>
      </c>
      <c r="N55">
        <f t="shared" si="10"/>
        <v>2.6094396443934013E-2</v>
      </c>
      <c r="O55">
        <v>0.25700000000000001</v>
      </c>
      <c r="P55" t="s">
        <v>57</v>
      </c>
      <c r="Q55" t="s">
        <v>373</v>
      </c>
      <c r="R55" cm="1">
        <f t="array" ref="R55">_xlfn.IFS(Q55="PS",3.607,Q55="JEPLMC",6.096,Q55="JPSP",2.579)</f>
        <v>2.5790000000000002</v>
      </c>
      <c r="S55" s="1">
        <f t="shared" si="5"/>
        <v>4.0181340206185618</v>
      </c>
      <c r="T55" t="s">
        <v>103</v>
      </c>
      <c r="U55">
        <v>165</v>
      </c>
      <c r="V55" t="s">
        <v>138</v>
      </c>
      <c r="W55">
        <f t="shared" si="6"/>
        <v>84.030927835051543</v>
      </c>
      <c r="X55" t="s">
        <v>377</v>
      </c>
      <c r="Y55">
        <v>2008</v>
      </c>
      <c r="Z55">
        <f>2025-AVERAGE($Y$2:$Y$98)</f>
        <v>17</v>
      </c>
      <c r="AA55" t="s">
        <v>391</v>
      </c>
      <c r="AB55">
        <v>4.4999999999999998E-2</v>
      </c>
      <c r="AC55">
        <v>0.35217506700000001</v>
      </c>
      <c r="AD55" s="3">
        <v>0.15023695500000001</v>
      </c>
      <c r="AE55">
        <v>1</v>
      </c>
      <c r="AF55" t="s">
        <v>138</v>
      </c>
      <c r="AG55">
        <v>3</v>
      </c>
      <c r="AH55">
        <v>1</v>
      </c>
      <c r="AI55">
        <f t="shared" si="7"/>
        <v>2.865979381443299</v>
      </c>
      <c r="AJ55">
        <f t="shared" si="8"/>
        <v>2.1855670103092781</v>
      </c>
      <c r="AK55" t="s">
        <v>112</v>
      </c>
      <c r="AL55">
        <v>37</v>
      </c>
      <c r="AM55" t="s">
        <v>115</v>
      </c>
      <c r="AN55" t="s">
        <v>111</v>
      </c>
      <c r="AO55">
        <v>12.872</v>
      </c>
      <c r="AR55" s="1"/>
      <c r="AY55" s="1"/>
    </row>
    <row r="56" spans="1:75" ht="15.6">
      <c r="A56">
        <v>1</v>
      </c>
      <c r="B56" t="s">
        <v>4</v>
      </c>
      <c r="C56" t="s">
        <v>3</v>
      </c>
      <c r="D56" s="3">
        <f t="shared" si="1"/>
        <v>36.082474226804123</v>
      </c>
      <c r="E56" s="3">
        <v>47.7</v>
      </c>
      <c r="F56">
        <v>2015</v>
      </c>
      <c r="G56">
        <f t="shared" si="2"/>
        <v>10</v>
      </c>
      <c r="H56">
        <f t="shared" si="9"/>
        <v>0.19699645297938143</v>
      </c>
      <c r="I56">
        <v>0.40300000000000002</v>
      </c>
      <c r="J56">
        <v>97</v>
      </c>
      <c r="K56">
        <v>3</v>
      </c>
      <c r="L56">
        <v>270</v>
      </c>
      <c r="M56" s="12">
        <f t="shared" si="4"/>
        <v>6.5302343936490675E-2</v>
      </c>
      <c r="N56">
        <f t="shared" si="10"/>
        <v>2.6094396443934013E-2</v>
      </c>
      <c r="O56">
        <v>0.25700000000000001</v>
      </c>
      <c r="P56" t="s">
        <v>18</v>
      </c>
      <c r="Q56" t="s">
        <v>373</v>
      </c>
      <c r="R56" cm="1">
        <f t="array" ref="R56">_xlfn.IFS(Q56="PS",3.607,Q56="JEPLMC",6.096,Q56="JPSP",2.579)</f>
        <v>2.5790000000000002</v>
      </c>
      <c r="S56" s="1">
        <f t="shared" si="5"/>
        <v>4.0181340206185618</v>
      </c>
      <c r="T56" t="s">
        <v>101</v>
      </c>
      <c r="U56">
        <v>46</v>
      </c>
      <c r="V56" t="s">
        <v>138</v>
      </c>
      <c r="W56">
        <f t="shared" si="6"/>
        <v>84.030927835051543</v>
      </c>
      <c r="X56" t="s">
        <v>377</v>
      </c>
      <c r="Y56">
        <v>2008</v>
      </c>
      <c r="Z56">
        <f>2025-AVERAGE($Y$2:$Y$98)</f>
        <v>17</v>
      </c>
      <c r="AA56">
        <v>0.02</v>
      </c>
      <c r="AB56">
        <v>8.5000000000000006E-2</v>
      </c>
      <c r="AC56">
        <v>0.208058463</v>
      </c>
      <c r="AD56" s="3">
        <v>0.155043132</v>
      </c>
      <c r="AE56">
        <v>1</v>
      </c>
      <c r="AF56" t="s">
        <v>138</v>
      </c>
      <c r="AG56">
        <v>9</v>
      </c>
      <c r="AH56">
        <v>2</v>
      </c>
      <c r="AI56">
        <f t="shared" si="7"/>
        <v>2.865979381443299</v>
      </c>
      <c r="AJ56">
        <f t="shared" si="8"/>
        <v>2.1855670103092781</v>
      </c>
      <c r="AK56" t="s">
        <v>112</v>
      </c>
      <c r="AL56">
        <v>37</v>
      </c>
      <c r="AM56" t="s">
        <v>115</v>
      </c>
      <c r="AN56" t="s">
        <v>111</v>
      </c>
      <c r="AO56">
        <v>12.872</v>
      </c>
      <c r="AR56" s="1"/>
      <c r="AY56" s="1"/>
    </row>
    <row r="57" spans="1:75" ht="15.6">
      <c r="A57">
        <v>1</v>
      </c>
      <c r="B57" t="s">
        <v>4</v>
      </c>
      <c r="C57" t="s">
        <v>3</v>
      </c>
      <c r="D57" s="3">
        <f t="shared" si="1"/>
        <v>36.082474226804123</v>
      </c>
      <c r="E57" s="3">
        <v>47.7</v>
      </c>
      <c r="F57">
        <v>2015</v>
      </c>
      <c r="G57">
        <f t="shared" si="2"/>
        <v>10</v>
      </c>
      <c r="H57">
        <f t="shared" si="9"/>
        <v>0.19699645297938143</v>
      </c>
      <c r="I57">
        <v>0.40300000000000002</v>
      </c>
      <c r="J57">
        <v>97</v>
      </c>
      <c r="K57">
        <v>3</v>
      </c>
      <c r="L57">
        <v>270</v>
      </c>
      <c r="M57" s="12">
        <f t="shared" si="4"/>
        <v>6.5302343936490675E-2</v>
      </c>
      <c r="N57">
        <f t="shared" si="10"/>
        <v>2.6094396443934013E-2</v>
      </c>
      <c r="O57">
        <v>0.25700000000000001</v>
      </c>
      <c r="P57" t="s">
        <v>58</v>
      </c>
      <c r="Q57" t="s">
        <v>373</v>
      </c>
      <c r="R57" cm="1">
        <f t="array" ref="R57">_xlfn.IFS(Q57="PS",3.607,Q57="JEPLMC",6.096,Q57="JPSP",2.579)</f>
        <v>2.5790000000000002</v>
      </c>
      <c r="S57" s="1">
        <f t="shared" si="5"/>
        <v>4.0181340206185618</v>
      </c>
      <c r="T57" t="s">
        <v>101</v>
      </c>
      <c r="U57">
        <v>27</v>
      </c>
      <c r="V57" t="s">
        <v>138</v>
      </c>
      <c r="W57">
        <f t="shared" si="6"/>
        <v>84.030927835051543</v>
      </c>
      <c r="X57" t="s">
        <v>377</v>
      </c>
      <c r="Y57">
        <v>2008</v>
      </c>
      <c r="Z57">
        <f>2025-AVERAGE($Y$2:$Y$98)</f>
        <v>17</v>
      </c>
      <c r="AA57" t="s">
        <v>389</v>
      </c>
      <c r="AB57">
        <v>0.19</v>
      </c>
      <c r="AC57">
        <v>0.25995853400000002</v>
      </c>
      <c r="AD57" s="3">
        <v>0.15539538999999999</v>
      </c>
      <c r="AE57">
        <v>1</v>
      </c>
      <c r="AF57" t="s">
        <v>138</v>
      </c>
      <c r="AG57">
        <v>3</v>
      </c>
      <c r="AH57">
        <v>2</v>
      </c>
      <c r="AI57">
        <f t="shared" si="7"/>
        <v>2.865979381443299</v>
      </c>
      <c r="AJ57">
        <f t="shared" si="8"/>
        <v>2.1855670103092781</v>
      </c>
      <c r="AK57" t="s">
        <v>112</v>
      </c>
      <c r="AL57">
        <v>37</v>
      </c>
      <c r="AM57" t="s">
        <v>115</v>
      </c>
      <c r="AN57" t="s">
        <v>111</v>
      </c>
      <c r="AO57">
        <v>12.872</v>
      </c>
      <c r="AR57" s="1"/>
      <c r="AY57" s="1"/>
      <c r="BW57" s="1"/>
    </row>
    <row r="58" spans="1:75" ht="15.6">
      <c r="A58">
        <v>1</v>
      </c>
      <c r="B58" t="s">
        <v>4</v>
      </c>
      <c r="C58" t="s">
        <v>3</v>
      </c>
      <c r="D58" s="3">
        <f t="shared" si="1"/>
        <v>36.082474226804123</v>
      </c>
      <c r="E58" s="3">
        <v>47.7</v>
      </c>
      <c r="F58">
        <v>2015</v>
      </c>
      <c r="G58">
        <f t="shared" si="2"/>
        <v>10</v>
      </c>
      <c r="H58">
        <f t="shared" si="9"/>
        <v>0.19699645297938143</v>
      </c>
      <c r="I58">
        <v>0.40300000000000002</v>
      </c>
      <c r="J58">
        <v>97</v>
      </c>
      <c r="K58">
        <v>3</v>
      </c>
      <c r="L58">
        <v>270</v>
      </c>
      <c r="M58" s="12">
        <f t="shared" si="4"/>
        <v>6.5302343936490675E-2</v>
      </c>
      <c r="N58">
        <f t="shared" si="10"/>
        <v>2.6094396443934013E-2</v>
      </c>
      <c r="O58">
        <v>0.25700000000000001</v>
      </c>
      <c r="P58" t="s">
        <v>59</v>
      </c>
      <c r="Q58" t="s">
        <v>373</v>
      </c>
      <c r="R58" cm="1">
        <f t="array" ref="R58">_xlfn.IFS(Q58="PS",3.607,Q58="JEPLMC",6.096,Q58="JPSP",2.579)</f>
        <v>2.5790000000000002</v>
      </c>
      <c r="S58" s="1">
        <f t="shared" si="5"/>
        <v>4.0181340206185618</v>
      </c>
      <c r="T58" t="s">
        <v>101</v>
      </c>
      <c r="U58">
        <v>88</v>
      </c>
      <c r="V58" t="s">
        <v>138</v>
      </c>
      <c r="W58">
        <f t="shared" si="6"/>
        <v>84.030927835051543</v>
      </c>
      <c r="X58" t="s">
        <v>377</v>
      </c>
      <c r="Y58">
        <v>2008</v>
      </c>
      <c r="Z58">
        <f>2025-AVERAGE($Y$2:$Y$98)</f>
        <v>17</v>
      </c>
      <c r="AA58" t="s">
        <v>391</v>
      </c>
      <c r="AB58">
        <v>0.1469</v>
      </c>
      <c r="AC58">
        <v>0.34725113800000001</v>
      </c>
      <c r="AD58" s="3">
        <v>0.161063754</v>
      </c>
      <c r="AE58">
        <v>1</v>
      </c>
      <c r="AF58" t="s">
        <v>138</v>
      </c>
      <c r="AG58">
        <v>3</v>
      </c>
      <c r="AH58">
        <v>2</v>
      </c>
      <c r="AI58">
        <f t="shared" si="7"/>
        <v>2.865979381443299</v>
      </c>
      <c r="AJ58">
        <f t="shared" si="8"/>
        <v>2.1855670103092781</v>
      </c>
      <c r="AK58" t="s">
        <v>112</v>
      </c>
      <c r="AL58">
        <v>37</v>
      </c>
      <c r="AM58" t="s">
        <v>115</v>
      </c>
      <c r="AN58" t="s">
        <v>111</v>
      </c>
      <c r="AO58">
        <v>12.872</v>
      </c>
      <c r="AR58" s="1"/>
      <c r="AY58" s="1"/>
      <c r="BW58" s="1"/>
    </row>
    <row r="59" spans="1:75" ht="15.6">
      <c r="A59">
        <v>1</v>
      </c>
      <c r="B59" t="s">
        <v>4</v>
      </c>
      <c r="C59" t="s">
        <v>3</v>
      </c>
      <c r="D59" s="3">
        <f t="shared" si="1"/>
        <v>36.082474226804123</v>
      </c>
      <c r="E59" s="3">
        <v>47.7</v>
      </c>
      <c r="F59">
        <v>2015</v>
      </c>
      <c r="G59">
        <f t="shared" si="2"/>
        <v>10</v>
      </c>
      <c r="H59">
        <f t="shared" si="9"/>
        <v>0.19699645297938143</v>
      </c>
      <c r="I59">
        <v>0.40300000000000002</v>
      </c>
      <c r="J59">
        <v>97</v>
      </c>
      <c r="K59">
        <v>3</v>
      </c>
      <c r="L59">
        <v>270</v>
      </c>
      <c r="M59" s="12">
        <f t="shared" si="4"/>
        <v>6.5302343936490675E-2</v>
      </c>
      <c r="N59">
        <f t="shared" si="10"/>
        <v>2.6094396443934013E-2</v>
      </c>
      <c r="O59">
        <v>0.25700000000000001</v>
      </c>
      <c r="P59" t="s">
        <v>60</v>
      </c>
      <c r="Q59" t="s">
        <v>371</v>
      </c>
      <c r="R59" cm="1">
        <f t="array" ref="R59">_xlfn.IFS(Q59="PS",3.607,Q59="JEPLMC",6.096,Q59="JPSP",2.579)</f>
        <v>3.6070000000000002</v>
      </c>
      <c r="S59" s="1">
        <f t="shared" si="5"/>
        <v>4.0181340206185618</v>
      </c>
      <c r="T59" t="s">
        <v>101</v>
      </c>
      <c r="U59">
        <v>143</v>
      </c>
      <c r="V59" t="s">
        <v>138</v>
      </c>
      <c r="W59">
        <f t="shared" si="6"/>
        <v>84.030927835051543</v>
      </c>
      <c r="X59" t="s">
        <v>377</v>
      </c>
      <c r="Y59">
        <v>2008</v>
      </c>
      <c r="Z59">
        <f>2025-AVERAGE($Y$2:$Y$98)</f>
        <v>17</v>
      </c>
      <c r="AA59" t="s">
        <v>391</v>
      </c>
      <c r="AB59">
        <v>0.23699999999999999</v>
      </c>
      <c r="AC59">
        <v>0.48344231799999998</v>
      </c>
      <c r="AD59" s="3">
        <v>0.17783758799999999</v>
      </c>
      <c r="AE59">
        <v>1</v>
      </c>
      <c r="AF59" t="s">
        <v>138</v>
      </c>
      <c r="AG59">
        <v>2</v>
      </c>
      <c r="AH59">
        <v>5</v>
      </c>
      <c r="AI59">
        <f t="shared" si="7"/>
        <v>2.865979381443299</v>
      </c>
      <c r="AJ59">
        <f t="shared" si="8"/>
        <v>2.1855670103092781</v>
      </c>
      <c r="AK59" t="s">
        <v>112</v>
      </c>
      <c r="AL59">
        <v>37</v>
      </c>
      <c r="AM59" t="s">
        <v>115</v>
      </c>
      <c r="AN59" t="s">
        <v>111</v>
      </c>
      <c r="AO59">
        <v>12.872</v>
      </c>
      <c r="AR59" s="1"/>
      <c r="AY59" s="1"/>
      <c r="BE59" s="1"/>
      <c r="BW59" s="1"/>
    </row>
    <row r="60" spans="1:75" ht="15.6">
      <c r="A60">
        <v>1</v>
      </c>
      <c r="B60" t="s">
        <v>4</v>
      </c>
      <c r="C60" t="s">
        <v>3</v>
      </c>
      <c r="D60" s="3">
        <f t="shared" si="1"/>
        <v>36.082474226804123</v>
      </c>
      <c r="E60" s="3">
        <v>47.7</v>
      </c>
      <c r="F60">
        <v>2015</v>
      </c>
      <c r="G60">
        <f t="shared" si="2"/>
        <v>10</v>
      </c>
      <c r="H60">
        <f t="shared" si="9"/>
        <v>0.19699645297938143</v>
      </c>
      <c r="I60">
        <v>0.40300000000000002</v>
      </c>
      <c r="J60">
        <v>97</v>
      </c>
      <c r="K60">
        <v>3</v>
      </c>
      <c r="L60">
        <v>270</v>
      </c>
      <c r="M60" s="12">
        <f t="shared" si="4"/>
        <v>6.5302343936490675E-2</v>
      </c>
      <c r="N60">
        <f t="shared" si="10"/>
        <v>2.6094396443934013E-2</v>
      </c>
      <c r="O60">
        <v>0.25700000000000001</v>
      </c>
      <c r="P60" t="s">
        <v>61</v>
      </c>
      <c r="Q60" t="s">
        <v>371</v>
      </c>
      <c r="R60" cm="1">
        <f t="array" ref="R60">_xlfn.IFS(Q60="PS",3.607,Q60="JEPLMC",6.096,Q60="JPSP",2.579)</f>
        <v>3.6070000000000002</v>
      </c>
      <c r="S60" s="1">
        <f t="shared" si="5"/>
        <v>4.0181340206185618</v>
      </c>
      <c r="T60" t="s">
        <v>101</v>
      </c>
      <c r="U60">
        <v>36</v>
      </c>
      <c r="V60" t="s">
        <v>138</v>
      </c>
      <c r="W60">
        <f t="shared" si="6"/>
        <v>84.030927835051543</v>
      </c>
      <c r="X60" t="s">
        <v>377</v>
      </c>
      <c r="Y60">
        <v>2008</v>
      </c>
      <c r="Z60">
        <f>2025-AVERAGE($Y$2:$Y$98)</f>
        <v>17</v>
      </c>
      <c r="AA60" t="s">
        <v>403</v>
      </c>
      <c r="AB60">
        <v>0.254</v>
      </c>
      <c r="AC60">
        <v>0.24694701899999999</v>
      </c>
      <c r="AD60" s="3">
        <v>0.179397898</v>
      </c>
      <c r="AE60">
        <v>1</v>
      </c>
      <c r="AF60" t="s">
        <v>138</v>
      </c>
      <c r="AG60">
        <v>3</v>
      </c>
      <c r="AH60">
        <v>2</v>
      </c>
      <c r="AI60">
        <f t="shared" si="7"/>
        <v>2.865979381443299</v>
      </c>
      <c r="AJ60">
        <f t="shared" si="8"/>
        <v>2.1855670103092781</v>
      </c>
      <c r="AK60" t="s">
        <v>112</v>
      </c>
      <c r="AL60">
        <v>37</v>
      </c>
      <c r="AM60" t="s">
        <v>115</v>
      </c>
      <c r="AN60" t="s">
        <v>111</v>
      </c>
      <c r="AO60">
        <v>12.872</v>
      </c>
      <c r="AR60" s="1"/>
      <c r="AY60" s="1"/>
    </row>
    <row r="61" spans="1:75" ht="15.6">
      <c r="A61">
        <v>1</v>
      </c>
      <c r="B61" t="s">
        <v>4</v>
      </c>
      <c r="C61" t="s">
        <v>3</v>
      </c>
      <c r="D61" s="3">
        <f t="shared" si="1"/>
        <v>36.082474226804123</v>
      </c>
      <c r="E61" s="3">
        <v>47.7</v>
      </c>
      <c r="F61">
        <v>2015</v>
      </c>
      <c r="G61">
        <f t="shared" si="2"/>
        <v>10</v>
      </c>
      <c r="H61">
        <f t="shared" si="9"/>
        <v>0.19699645297938143</v>
      </c>
      <c r="I61">
        <v>0.40300000000000002</v>
      </c>
      <c r="J61">
        <v>97</v>
      </c>
      <c r="K61">
        <v>3</v>
      </c>
      <c r="L61">
        <v>270</v>
      </c>
      <c r="M61" s="12">
        <f t="shared" si="4"/>
        <v>6.5302343936490675E-2</v>
      </c>
      <c r="N61">
        <f t="shared" si="10"/>
        <v>2.6094396443934013E-2</v>
      </c>
      <c r="O61">
        <v>0.25700000000000001</v>
      </c>
      <c r="P61" t="s">
        <v>62</v>
      </c>
      <c r="Q61" t="s">
        <v>373</v>
      </c>
      <c r="R61" cm="1">
        <f t="array" ref="R61">_xlfn.IFS(Q61="PS",3.607,Q61="JEPLMC",6.096,Q61="JPSP",2.579)</f>
        <v>2.5790000000000002</v>
      </c>
      <c r="S61" s="1">
        <f t="shared" si="5"/>
        <v>4.0181340206185618</v>
      </c>
      <c r="T61" t="s">
        <v>103</v>
      </c>
      <c r="U61">
        <v>25</v>
      </c>
      <c r="V61" t="s">
        <v>138</v>
      </c>
      <c r="W61">
        <f t="shared" si="6"/>
        <v>84.030927835051543</v>
      </c>
      <c r="X61" t="s">
        <v>377</v>
      </c>
      <c r="Y61">
        <v>2008</v>
      </c>
      <c r="Z61">
        <f>2025-AVERAGE($Y$2:$Y$98)</f>
        <v>17</v>
      </c>
      <c r="AA61" t="s">
        <v>389</v>
      </c>
      <c r="AB61">
        <v>2.8000000000000001E-2</v>
      </c>
      <c r="AC61">
        <v>0.32257410600000003</v>
      </c>
      <c r="AD61" s="3">
        <v>0.2</v>
      </c>
      <c r="AE61">
        <v>1</v>
      </c>
      <c r="AF61" t="s">
        <v>138</v>
      </c>
      <c r="AG61">
        <v>2</v>
      </c>
      <c r="AH61">
        <v>1</v>
      </c>
      <c r="AI61">
        <f t="shared" si="7"/>
        <v>2.865979381443299</v>
      </c>
      <c r="AJ61">
        <f t="shared" si="8"/>
        <v>2.1855670103092781</v>
      </c>
      <c r="AK61" t="s">
        <v>112</v>
      </c>
      <c r="AL61">
        <v>37</v>
      </c>
      <c r="AM61" t="s">
        <v>115</v>
      </c>
      <c r="AN61" t="s">
        <v>111</v>
      </c>
      <c r="AO61">
        <v>12.872</v>
      </c>
      <c r="AR61" s="1"/>
      <c r="AY61" s="1"/>
      <c r="BE61" s="1"/>
    </row>
    <row r="62" spans="1:75" ht="15.6">
      <c r="A62">
        <v>1</v>
      </c>
      <c r="B62" t="s">
        <v>4</v>
      </c>
      <c r="C62" t="s">
        <v>3</v>
      </c>
      <c r="D62" s="3">
        <f t="shared" si="1"/>
        <v>36.082474226804123</v>
      </c>
      <c r="E62" s="3">
        <v>47.7</v>
      </c>
      <c r="F62">
        <v>2015</v>
      </c>
      <c r="G62">
        <f t="shared" si="2"/>
        <v>10</v>
      </c>
      <c r="H62">
        <f t="shared" si="9"/>
        <v>0.19699645297938143</v>
      </c>
      <c r="I62">
        <v>0.40300000000000002</v>
      </c>
      <c r="J62">
        <v>97</v>
      </c>
      <c r="K62">
        <v>3</v>
      </c>
      <c r="L62">
        <v>270</v>
      </c>
      <c r="M62" s="12">
        <f t="shared" si="4"/>
        <v>6.5302343936490675E-2</v>
      </c>
      <c r="N62">
        <f t="shared" si="10"/>
        <v>2.6094396443934013E-2</v>
      </c>
      <c r="O62">
        <v>0.25700000000000001</v>
      </c>
      <c r="P62" t="s">
        <v>63</v>
      </c>
      <c r="Q62" t="s">
        <v>371</v>
      </c>
      <c r="R62" cm="1">
        <f t="array" ref="R62">_xlfn.IFS(Q62="PS",3.607,Q62="JEPLMC",6.096,Q62="JPSP",2.579)</f>
        <v>3.6070000000000002</v>
      </c>
      <c r="S62" s="1">
        <f t="shared" si="5"/>
        <v>4.0181340206185618</v>
      </c>
      <c r="T62" t="s">
        <v>101</v>
      </c>
      <c r="U62">
        <v>7</v>
      </c>
      <c r="V62" t="s">
        <v>138</v>
      </c>
      <c r="W62">
        <f t="shared" si="6"/>
        <v>84.030927835051543</v>
      </c>
      <c r="X62" t="s">
        <v>377</v>
      </c>
      <c r="Y62">
        <v>2008</v>
      </c>
      <c r="Z62">
        <f>2025-AVERAGE($Y$2:$Y$98)</f>
        <v>17</v>
      </c>
      <c r="AA62" t="s">
        <v>404</v>
      </c>
      <c r="AB62">
        <v>0.36899999999999999</v>
      </c>
      <c r="AC62">
        <v>0.72253638200000003</v>
      </c>
      <c r="AD62" s="3">
        <v>0.20751433899999999</v>
      </c>
      <c r="AE62">
        <v>1</v>
      </c>
      <c r="AF62" t="s">
        <v>138</v>
      </c>
      <c r="AG62">
        <v>2</v>
      </c>
      <c r="AH62">
        <v>2</v>
      </c>
      <c r="AI62">
        <f t="shared" si="7"/>
        <v>2.865979381443299</v>
      </c>
      <c r="AJ62">
        <f t="shared" si="8"/>
        <v>2.1855670103092781</v>
      </c>
      <c r="AK62" t="s">
        <v>112</v>
      </c>
      <c r="AL62">
        <v>37</v>
      </c>
      <c r="AM62" t="s">
        <v>115</v>
      </c>
      <c r="AN62" t="s">
        <v>111</v>
      </c>
      <c r="AO62">
        <v>12.872</v>
      </c>
      <c r="AR62" s="1"/>
      <c r="AY62" s="1"/>
    </row>
    <row r="63" spans="1:75" ht="15.6">
      <c r="A63">
        <v>1</v>
      </c>
      <c r="B63" t="s">
        <v>4</v>
      </c>
      <c r="C63" t="s">
        <v>3</v>
      </c>
      <c r="D63" s="3">
        <f t="shared" si="1"/>
        <v>36.082474226804123</v>
      </c>
      <c r="E63" s="3">
        <v>47.7</v>
      </c>
      <c r="F63">
        <v>2015</v>
      </c>
      <c r="G63">
        <f t="shared" si="2"/>
        <v>10</v>
      </c>
      <c r="H63">
        <f t="shared" si="9"/>
        <v>0.19699645297938143</v>
      </c>
      <c r="I63">
        <v>0.40300000000000002</v>
      </c>
      <c r="J63">
        <v>97</v>
      </c>
      <c r="K63">
        <v>3</v>
      </c>
      <c r="L63">
        <v>270</v>
      </c>
      <c r="M63" s="12">
        <f t="shared" si="4"/>
        <v>6.5302343936490675E-2</v>
      </c>
      <c r="N63">
        <f t="shared" si="10"/>
        <v>2.6094396443934013E-2</v>
      </c>
      <c r="O63">
        <v>0.25700000000000001</v>
      </c>
      <c r="P63" t="s">
        <v>64</v>
      </c>
      <c r="Q63" t="s">
        <v>373</v>
      </c>
      <c r="R63" cm="1">
        <f t="array" ref="R63">_xlfn.IFS(Q63="PS",3.607,Q63="JEPLMC",6.096,Q63="JPSP",2.579)</f>
        <v>2.5790000000000002</v>
      </c>
      <c r="S63" s="1">
        <f t="shared" si="5"/>
        <v>4.0181340206185618</v>
      </c>
      <c r="T63" t="s">
        <v>103</v>
      </c>
      <c r="U63">
        <v>65</v>
      </c>
      <c r="V63" t="s">
        <v>138</v>
      </c>
      <c r="W63">
        <f t="shared" si="6"/>
        <v>84.030927835051543</v>
      </c>
      <c r="X63" t="s">
        <v>377</v>
      </c>
      <c r="Y63">
        <v>2008</v>
      </c>
      <c r="Z63">
        <f>2025-AVERAGE($Y$2:$Y$98)</f>
        <v>17</v>
      </c>
      <c r="AA63">
        <v>1E-3</v>
      </c>
      <c r="AB63">
        <v>8.0000000000000002E-3</v>
      </c>
      <c r="AC63">
        <v>0.50344963799999998</v>
      </c>
      <c r="AD63" s="3">
        <v>0.21756225200000001</v>
      </c>
      <c r="AE63">
        <v>1</v>
      </c>
      <c r="AF63" t="s">
        <v>138</v>
      </c>
      <c r="AG63">
        <v>3</v>
      </c>
      <c r="AH63">
        <v>1</v>
      </c>
      <c r="AI63">
        <f t="shared" si="7"/>
        <v>2.865979381443299</v>
      </c>
      <c r="AJ63">
        <f t="shared" si="8"/>
        <v>2.1855670103092781</v>
      </c>
      <c r="AK63" t="s">
        <v>112</v>
      </c>
      <c r="AL63">
        <v>37</v>
      </c>
      <c r="AM63" t="s">
        <v>115</v>
      </c>
      <c r="AN63" t="s">
        <v>111</v>
      </c>
      <c r="AO63">
        <v>12.872</v>
      </c>
      <c r="AR63" s="1"/>
      <c r="AY63" s="1"/>
      <c r="BE63" s="1"/>
    </row>
    <row r="64" spans="1:75" ht="15.6">
      <c r="A64">
        <v>1</v>
      </c>
      <c r="B64" t="s">
        <v>4</v>
      </c>
      <c r="C64" t="s">
        <v>3</v>
      </c>
      <c r="D64" s="3">
        <f t="shared" si="1"/>
        <v>36.082474226804123</v>
      </c>
      <c r="E64" s="3">
        <v>47.7</v>
      </c>
      <c r="F64">
        <v>2015</v>
      </c>
      <c r="G64">
        <f t="shared" si="2"/>
        <v>10</v>
      </c>
      <c r="H64">
        <f t="shared" si="9"/>
        <v>0.19699645297938143</v>
      </c>
      <c r="I64">
        <v>0.40300000000000002</v>
      </c>
      <c r="J64">
        <v>97</v>
      </c>
      <c r="K64">
        <v>3</v>
      </c>
      <c r="L64">
        <v>270</v>
      </c>
      <c r="M64" s="12">
        <f t="shared" si="4"/>
        <v>6.5302343936490675E-2</v>
      </c>
      <c r="N64">
        <f t="shared" si="10"/>
        <v>2.6094396443934013E-2</v>
      </c>
      <c r="O64">
        <v>0.25700000000000001</v>
      </c>
      <c r="P64" t="s">
        <v>65</v>
      </c>
      <c r="Q64" t="s">
        <v>371</v>
      </c>
      <c r="R64" cm="1">
        <f t="array" ref="R64">_xlfn.IFS(Q64="PS",3.607,Q64="JEPLMC",6.096,Q64="JPSP",2.579)</f>
        <v>3.6070000000000002</v>
      </c>
      <c r="S64" s="1">
        <f t="shared" si="5"/>
        <v>4.0181340206185618</v>
      </c>
      <c r="T64" t="s">
        <v>103</v>
      </c>
      <c r="U64">
        <v>53</v>
      </c>
      <c r="V64" t="s">
        <v>138</v>
      </c>
      <c r="W64">
        <f t="shared" si="6"/>
        <v>84.030927835051543</v>
      </c>
      <c r="X64" t="s">
        <v>377</v>
      </c>
      <c r="Y64">
        <v>2008</v>
      </c>
      <c r="Z64">
        <f>2025-AVERAGE($Y$2:$Y$98)</f>
        <v>17</v>
      </c>
      <c r="AA64" t="s">
        <v>405</v>
      </c>
      <c r="AB64">
        <v>1.4E-2</v>
      </c>
      <c r="AC64">
        <v>0.33344105099999999</v>
      </c>
      <c r="AD64" s="3">
        <v>0.22576422199999999</v>
      </c>
      <c r="AE64">
        <v>1</v>
      </c>
      <c r="AF64" t="s">
        <v>138</v>
      </c>
      <c r="AG64">
        <v>2</v>
      </c>
      <c r="AH64">
        <v>1</v>
      </c>
      <c r="AI64">
        <f t="shared" si="7"/>
        <v>2.865979381443299</v>
      </c>
      <c r="AJ64">
        <f t="shared" si="8"/>
        <v>2.1855670103092781</v>
      </c>
      <c r="AK64" t="s">
        <v>112</v>
      </c>
      <c r="AL64">
        <v>37</v>
      </c>
      <c r="AM64" t="s">
        <v>115</v>
      </c>
      <c r="AN64" t="s">
        <v>111</v>
      </c>
      <c r="AO64">
        <v>12.872</v>
      </c>
      <c r="AR64" s="1"/>
      <c r="AY64" s="1"/>
      <c r="BE64" s="1"/>
    </row>
    <row r="65" spans="1:57" ht="15.6">
      <c r="A65">
        <v>1</v>
      </c>
      <c r="B65" t="s">
        <v>4</v>
      </c>
      <c r="C65" t="s">
        <v>3</v>
      </c>
      <c r="D65" s="3">
        <f t="shared" si="1"/>
        <v>36.082474226804123</v>
      </c>
      <c r="E65" s="3">
        <v>47.7</v>
      </c>
      <c r="F65">
        <v>2015</v>
      </c>
      <c r="G65">
        <f t="shared" si="2"/>
        <v>10</v>
      </c>
      <c r="H65">
        <f t="shared" si="9"/>
        <v>0.19699645297938143</v>
      </c>
      <c r="I65">
        <v>0.40300000000000002</v>
      </c>
      <c r="J65">
        <v>97</v>
      </c>
      <c r="K65">
        <v>3</v>
      </c>
      <c r="L65">
        <v>270</v>
      </c>
      <c r="M65" s="12">
        <f t="shared" si="4"/>
        <v>6.5302343936490675E-2</v>
      </c>
      <c r="N65">
        <f t="shared" si="10"/>
        <v>2.6094396443934013E-2</v>
      </c>
      <c r="O65">
        <v>0.25700000000000001</v>
      </c>
      <c r="P65" t="s">
        <v>66</v>
      </c>
      <c r="Q65" t="s">
        <v>372</v>
      </c>
      <c r="R65" cm="1">
        <f t="array" ref="R65">_xlfn.IFS(Q65="PS",3.607,Q65="JEPLMC",6.096,Q65="JPSP",2.579)</f>
        <v>6.0960000000000001</v>
      </c>
      <c r="S65" s="1">
        <f t="shared" si="5"/>
        <v>4.0181340206185618</v>
      </c>
      <c r="T65" t="s">
        <v>101</v>
      </c>
      <c r="U65">
        <v>6</v>
      </c>
      <c r="V65" t="s">
        <v>138</v>
      </c>
      <c r="W65">
        <f t="shared" si="6"/>
        <v>84.030927835051543</v>
      </c>
      <c r="X65" t="s">
        <v>377</v>
      </c>
      <c r="Y65">
        <v>2008</v>
      </c>
      <c r="Z65">
        <f>2025-AVERAGE($Y$2:$Y$98)</f>
        <v>17</v>
      </c>
      <c r="AA65" t="s">
        <v>406</v>
      </c>
      <c r="AB65">
        <v>0.26900000000000002</v>
      </c>
      <c r="AC65">
        <v>0.61112005400000002</v>
      </c>
      <c r="AD65" s="3">
        <v>0.229604631</v>
      </c>
      <c r="AE65">
        <v>1</v>
      </c>
      <c r="AF65" t="s">
        <v>138</v>
      </c>
      <c r="AG65">
        <v>2</v>
      </c>
      <c r="AH65">
        <v>1</v>
      </c>
      <c r="AI65">
        <f t="shared" si="7"/>
        <v>2.865979381443299</v>
      </c>
      <c r="AJ65">
        <f t="shared" si="8"/>
        <v>2.1855670103092781</v>
      </c>
      <c r="AK65" t="s">
        <v>112</v>
      </c>
      <c r="AL65">
        <v>37</v>
      </c>
      <c r="AM65" t="s">
        <v>115</v>
      </c>
      <c r="AN65" t="s">
        <v>111</v>
      </c>
      <c r="AO65">
        <v>12.872</v>
      </c>
      <c r="AR65" s="1"/>
      <c r="AY65" s="1"/>
      <c r="BE65" s="1"/>
    </row>
    <row r="66" spans="1:57" ht="15.6">
      <c r="A66">
        <v>1</v>
      </c>
      <c r="B66" t="s">
        <v>4</v>
      </c>
      <c r="C66" t="s">
        <v>3</v>
      </c>
      <c r="D66" s="3">
        <f t="shared" si="1"/>
        <v>36.082474226804123</v>
      </c>
      <c r="E66" s="3">
        <v>47.7</v>
      </c>
      <c r="F66">
        <v>2015</v>
      </c>
      <c r="G66">
        <f t="shared" si="2"/>
        <v>10</v>
      </c>
      <c r="H66">
        <f t="shared" ref="H66:H98" si="11">AVERAGE($AD$2:$AD$98)</f>
        <v>0.19699645297938143</v>
      </c>
      <c r="I66">
        <v>0.40300000000000002</v>
      </c>
      <c r="J66">
        <v>97</v>
      </c>
      <c r="K66">
        <v>3</v>
      </c>
      <c r="L66">
        <v>270</v>
      </c>
      <c r="M66" s="12">
        <f t="shared" si="4"/>
        <v>6.5302343936490675E-2</v>
      </c>
      <c r="N66">
        <f t="shared" ref="N66:N98" si="12">$O$2/SQRT($J$2)</f>
        <v>2.6094396443934013E-2</v>
      </c>
      <c r="O66">
        <v>0.25700000000000001</v>
      </c>
      <c r="P66" t="s">
        <v>67</v>
      </c>
      <c r="Q66" t="s">
        <v>372</v>
      </c>
      <c r="R66" cm="1">
        <f t="array" ref="R66">_xlfn.IFS(Q66="PS",3.607,Q66="JEPLMC",6.096,Q66="JPSP",2.579)</f>
        <v>6.0960000000000001</v>
      </c>
      <c r="S66">
        <f t="shared" si="5"/>
        <v>4.0181340206185618</v>
      </c>
      <c r="T66" t="s">
        <v>103</v>
      </c>
      <c r="U66">
        <v>92</v>
      </c>
      <c r="V66" t="s">
        <v>138</v>
      </c>
      <c r="W66">
        <f t="shared" si="6"/>
        <v>84.030927835051543</v>
      </c>
      <c r="X66" t="s">
        <v>377</v>
      </c>
      <c r="Y66">
        <v>2008</v>
      </c>
      <c r="Z66">
        <f>2025-AVERAGE($Y$2:$Y$98)</f>
        <v>17</v>
      </c>
      <c r="AA66">
        <v>2.8000000000000001E-2</v>
      </c>
      <c r="AB66">
        <v>1E-4</v>
      </c>
      <c r="AC66">
        <v>0.19513635400000001</v>
      </c>
      <c r="AD66" s="3">
        <v>0.24687812000000001</v>
      </c>
      <c r="AE66">
        <v>1</v>
      </c>
      <c r="AF66" t="s">
        <v>138</v>
      </c>
      <c r="AG66">
        <v>2</v>
      </c>
      <c r="AH66">
        <v>1</v>
      </c>
      <c r="AI66">
        <f t="shared" si="7"/>
        <v>2.865979381443299</v>
      </c>
      <c r="AJ66">
        <f t="shared" si="8"/>
        <v>2.1855670103092781</v>
      </c>
      <c r="AK66" t="s">
        <v>112</v>
      </c>
      <c r="AL66">
        <v>37</v>
      </c>
      <c r="AM66" t="s">
        <v>115</v>
      </c>
      <c r="AN66" t="s">
        <v>111</v>
      </c>
      <c r="AO66">
        <v>12.872</v>
      </c>
      <c r="BE66" s="1"/>
    </row>
    <row r="67" spans="1:57" ht="15.6">
      <c r="A67">
        <v>1</v>
      </c>
      <c r="B67" t="s">
        <v>4</v>
      </c>
      <c r="C67" t="s">
        <v>3</v>
      </c>
      <c r="D67" s="3">
        <f t="shared" ref="D67:D98" si="13">100*(35/97)</f>
        <v>36.082474226804123</v>
      </c>
      <c r="E67" s="3">
        <v>47.7</v>
      </c>
      <c r="F67">
        <v>2015</v>
      </c>
      <c r="G67">
        <f t="shared" ref="G67:G130" si="14">2025-F67</f>
        <v>10</v>
      </c>
      <c r="H67">
        <f t="shared" si="11"/>
        <v>0.19699645297938143</v>
      </c>
      <c r="I67">
        <v>0.40300000000000002</v>
      </c>
      <c r="J67">
        <v>97</v>
      </c>
      <c r="K67">
        <v>3</v>
      </c>
      <c r="L67">
        <v>270</v>
      </c>
      <c r="M67" s="12">
        <f t="shared" ref="M67:M98" si="15">_xlfn.VAR.P($AD$2:$AD$98)</f>
        <v>6.5302343936490675E-2</v>
      </c>
      <c r="N67">
        <f t="shared" si="12"/>
        <v>2.6094396443934013E-2</v>
      </c>
      <c r="O67">
        <v>0.25700000000000001</v>
      </c>
      <c r="P67" t="s">
        <v>68</v>
      </c>
      <c r="Q67" t="s">
        <v>371</v>
      </c>
      <c r="R67" cm="1">
        <f t="array" ref="R67">_xlfn.IFS(Q67="PS",3.607,Q67="JEPLMC",6.096,Q67="JPSP",2.579)</f>
        <v>3.6070000000000002</v>
      </c>
      <c r="S67">
        <f t="shared" ref="S67:S98" si="16">AVERAGE($R$2:$R$98)</f>
        <v>4.0181340206185618</v>
      </c>
      <c r="T67" t="s">
        <v>101</v>
      </c>
      <c r="U67">
        <v>172</v>
      </c>
      <c r="V67" t="s">
        <v>138</v>
      </c>
      <c r="W67">
        <f t="shared" ref="W67:W98" si="17">AVERAGE($U$2:$U$98)</f>
        <v>84.030927835051543</v>
      </c>
      <c r="X67" t="s">
        <v>377</v>
      </c>
      <c r="Y67">
        <v>2008</v>
      </c>
      <c r="Z67">
        <f>2025-AVERAGE($Y$2:$Y$98)</f>
        <v>17</v>
      </c>
      <c r="AA67" t="s">
        <v>389</v>
      </c>
      <c r="AB67">
        <v>0.11</v>
      </c>
      <c r="AC67">
        <v>0.38</v>
      </c>
      <c r="AD67" s="3">
        <v>0.25</v>
      </c>
      <c r="AE67">
        <v>1</v>
      </c>
      <c r="AF67" t="s">
        <v>138</v>
      </c>
      <c r="AG67">
        <v>2</v>
      </c>
      <c r="AH67">
        <v>2</v>
      </c>
      <c r="AI67">
        <f t="shared" ref="AI67:AI98" si="18">AVERAGE($AG$2:$AG$98)</f>
        <v>2.865979381443299</v>
      </c>
      <c r="AJ67">
        <f t="shared" ref="AJ67:AJ98" si="19">AVERAGE($AH$2:$AH$98)</f>
        <v>2.1855670103092781</v>
      </c>
      <c r="AK67" t="s">
        <v>112</v>
      </c>
      <c r="AL67">
        <v>37</v>
      </c>
      <c r="AM67" t="s">
        <v>115</v>
      </c>
      <c r="AN67" t="s">
        <v>111</v>
      </c>
      <c r="AO67">
        <v>12.872</v>
      </c>
      <c r="BE67" s="1"/>
    </row>
    <row r="68" spans="1:57" ht="15.6">
      <c r="A68">
        <v>1</v>
      </c>
      <c r="B68" t="s">
        <v>4</v>
      </c>
      <c r="C68" t="s">
        <v>3</v>
      </c>
      <c r="D68" s="3">
        <f t="shared" si="13"/>
        <v>36.082474226804123</v>
      </c>
      <c r="E68" s="3">
        <v>47.7</v>
      </c>
      <c r="F68">
        <v>2015</v>
      </c>
      <c r="G68">
        <f t="shared" si="14"/>
        <v>10</v>
      </c>
      <c r="H68">
        <f t="shared" si="11"/>
        <v>0.19699645297938143</v>
      </c>
      <c r="I68">
        <v>0.40300000000000002</v>
      </c>
      <c r="J68">
        <v>97</v>
      </c>
      <c r="K68">
        <v>3</v>
      </c>
      <c r="L68">
        <v>270</v>
      </c>
      <c r="M68" s="12">
        <f t="shared" si="15"/>
        <v>6.5302343936490675E-2</v>
      </c>
      <c r="N68">
        <f t="shared" si="12"/>
        <v>2.6094396443934013E-2</v>
      </c>
      <c r="O68">
        <v>0.25700000000000001</v>
      </c>
      <c r="P68" t="s">
        <v>69</v>
      </c>
      <c r="Q68" t="s">
        <v>371</v>
      </c>
      <c r="R68" cm="1">
        <f t="array" ref="R68">_xlfn.IFS(Q68="PS",3.607,Q68="JEPLMC",6.096,Q68="JPSP",2.579)</f>
        <v>3.6070000000000002</v>
      </c>
      <c r="S68">
        <f t="shared" si="16"/>
        <v>4.0181340206185618</v>
      </c>
      <c r="T68" t="s">
        <v>101</v>
      </c>
      <c r="U68">
        <v>91</v>
      </c>
      <c r="V68" t="s">
        <v>138</v>
      </c>
      <c r="W68">
        <f t="shared" si="17"/>
        <v>84.030927835051543</v>
      </c>
      <c r="X68" t="s">
        <v>377</v>
      </c>
      <c r="Y68">
        <v>2008</v>
      </c>
      <c r="Z68">
        <f>2025-AVERAGE($Y$2:$Y$98)</f>
        <v>17</v>
      </c>
      <c r="AA68" t="s">
        <v>388</v>
      </c>
      <c r="AB68">
        <v>0.24</v>
      </c>
      <c r="AC68">
        <v>0.59527191400000001</v>
      </c>
      <c r="AD68" s="3">
        <v>0.25414164</v>
      </c>
      <c r="AE68">
        <v>1</v>
      </c>
      <c r="AF68" t="s">
        <v>138</v>
      </c>
      <c r="AG68">
        <v>3</v>
      </c>
      <c r="AH68">
        <v>2</v>
      </c>
      <c r="AI68">
        <f t="shared" si="18"/>
        <v>2.865979381443299</v>
      </c>
      <c r="AJ68">
        <f t="shared" si="19"/>
        <v>2.1855670103092781</v>
      </c>
      <c r="AK68" t="s">
        <v>112</v>
      </c>
      <c r="AL68">
        <v>37</v>
      </c>
      <c r="AM68" t="s">
        <v>115</v>
      </c>
      <c r="AN68" t="s">
        <v>111</v>
      </c>
      <c r="AO68">
        <v>12.872</v>
      </c>
      <c r="BE68" s="1"/>
    </row>
    <row r="69" spans="1:57" ht="15.6">
      <c r="A69">
        <v>1</v>
      </c>
      <c r="B69" t="s">
        <v>4</v>
      </c>
      <c r="C69" t="s">
        <v>3</v>
      </c>
      <c r="D69" s="3">
        <f t="shared" si="13"/>
        <v>36.082474226804123</v>
      </c>
      <c r="E69" s="3">
        <v>47.7</v>
      </c>
      <c r="F69">
        <v>2015</v>
      </c>
      <c r="G69">
        <f t="shared" si="14"/>
        <v>10</v>
      </c>
      <c r="H69">
        <f t="shared" si="11"/>
        <v>0.19699645297938143</v>
      </c>
      <c r="I69">
        <v>0.40300000000000002</v>
      </c>
      <c r="J69">
        <v>97</v>
      </c>
      <c r="K69">
        <v>3</v>
      </c>
      <c r="L69">
        <v>270</v>
      </c>
      <c r="M69" s="12">
        <f t="shared" si="15"/>
        <v>6.5302343936490675E-2</v>
      </c>
      <c r="N69">
        <f t="shared" si="12"/>
        <v>2.6094396443934013E-2</v>
      </c>
      <c r="O69">
        <v>0.25700000000000001</v>
      </c>
      <c r="P69" t="s">
        <v>70</v>
      </c>
      <c r="Q69" t="s">
        <v>373</v>
      </c>
      <c r="R69" cm="1">
        <f t="array" ref="R69">_xlfn.IFS(Q69="PS",3.607,Q69="JEPLMC",6.096,Q69="JPSP",2.579)</f>
        <v>2.5790000000000002</v>
      </c>
      <c r="S69" s="1">
        <f t="shared" si="16"/>
        <v>4.0181340206185618</v>
      </c>
      <c r="T69" t="s">
        <v>101</v>
      </c>
      <c r="U69">
        <v>141</v>
      </c>
      <c r="V69" t="s">
        <v>138</v>
      </c>
      <c r="W69">
        <f t="shared" si="17"/>
        <v>84.030927835051543</v>
      </c>
      <c r="X69" t="s">
        <v>377</v>
      </c>
      <c r="Y69">
        <v>2008</v>
      </c>
      <c r="Z69">
        <f>2025-AVERAGE($Y$2:$Y$98)</f>
        <v>17</v>
      </c>
      <c r="AA69" t="s">
        <v>389</v>
      </c>
      <c r="AB69">
        <v>8.5999999999999993E-2</v>
      </c>
      <c r="AC69">
        <v>0.3</v>
      </c>
      <c r="AD69" s="3">
        <v>0.27</v>
      </c>
      <c r="AE69">
        <v>1</v>
      </c>
      <c r="AF69" t="s">
        <v>138</v>
      </c>
      <c r="AG69">
        <v>2</v>
      </c>
      <c r="AH69">
        <v>3</v>
      </c>
      <c r="AI69">
        <f t="shared" si="18"/>
        <v>2.865979381443299</v>
      </c>
      <c r="AJ69">
        <f t="shared" si="19"/>
        <v>2.1855670103092781</v>
      </c>
      <c r="AK69" t="s">
        <v>112</v>
      </c>
      <c r="AL69">
        <v>37</v>
      </c>
      <c r="AM69" t="s">
        <v>115</v>
      </c>
      <c r="AN69" t="s">
        <v>111</v>
      </c>
      <c r="AO69">
        <v>12.872</v>
      </c>
      <c r="AR69" s="1"/>
      <c r="AY69" s="1"/>
    </row>
    <row r="70" spans="1:57" ht="15.6">
      <c r="A70">
        <v>1</v>
      </c>
      <c r="B70" t="s">
        <v>4</v>
      </c>
      <c r="C70" t="s">
        <v>3</v>
      </c>
      <c r="D70" s="3">
        <f t="shared" si="13"/>
        <v>36.082474226804123</v>
      </c>
      <c r="E70" s="3">
        <v>47.7</v>
      </c>
      <c r="F70">
        <v>2015</v>
      </c>
      <c r="G70">
        <f t="shared" si="14"/>
        <v>10</v>
      </c>
      <c r="H70">
        <f t="shared" si="11"/>
        <v>0.19699645297938143</v>
      </c>
      <c r="I70">
        <v>0.40300000000000002</v>
      </c>
      <c r="J70">
        <v>97</v>
      </c>
      <c r="K70">
        <v>3</v>
      </c>
      <c r="L70">
        <v>270</v>
      </c>
      <c r="M70" s="12">
        <f t="shared" si="15"/>
        <v>6.5302343936490675E-2</v>
      </c>
      <c r="N70">
        <f t="shared" si="12"/>
        <v>2.6094396443934013E-2</v>
      </c>
      <c r="O70">
        <v>0.25700000000000001</v>
      </c>
      <c r="P70" t="s">
        <v>71</v>
      </c>
      <c r="Q70" t="s">
        <v>372</v>
      </c>
      <c r="R70" cm="1">
        <f t="array" ref="R70">_xlfn.IFS(Q70="PS",3.607,Q70="JEPLMC",6.096,Q70="JPSP",2.579)</f>
        <v>6.0960000000000001</v>
      </c>
      <c r="S70" s="1">
        <f t="shared" si="16"/>
        <v>4.0181340206185618</v>
      </c>
      <c r="T70" t="s">
        <v>103</v>
      </c>
      <c r="U70">
        <v>15</v>
      </c>
      <c r="V70" t="s">
        <v>138</v>
      </c>
      <c r="W70">
        <f t="shared" si="17"/>
        <v>84.030927835051543</v>
      </c>
      <c r="X70" t="s">
        <v>377</v>
      </c>
      <c r="Y70">
        <v>2008</v>
      </c>
      <c r="Z70">
        <f>2025-AVERAGE($Y$2:$Y$98)</f>
        <v>17</v>
      </c>
      <c r="AA70" t="s">
        <v>392</v>
      </c>
      <c r="AB70">
        <v>2E-3</v>
      </c>
      <c r="AC70">
        <v>0.34812068899999998</v>
      </c>
      <c r="AD70" s="3">
        <v>0.27332719999999999</v>
      </c>
      <c r="AE70">
        <v>1</v>
      </c>
      <c r="AF70" t="s">
        <v>138</v>
      </c>
      <c r="AG70">
        <v>3</v>
      </c>
      <c r="AH70">
        <v>3</v>
      </c>
      <c r="AI70">
        <f t="shared" si="18"/>
        <v>2.865979381443299</v>
      </c>
      <c r="AJ70">
        <f t="shared" si="19"/>
        <v>2.1855670103092781</v>
      </c>
      <c r="AK70" t="s">
        <v>112</v>
      </c>
      <c r="AL70">
        <v>37</v>
      </c>
      <c r="AM70" t="s">
        <v>115</v>
      </c>
      <c r="AN70" t="s">
        <v>111</v>
      </c>
      <c r="AO70">
        <v>12.872</v>
      </c>
      <c r="AR70" s="1"/>
      <c r="AY70" s="1"/>
    </row>
    <row r="71" spans="1:57" ht="15.6">
      <c r="A71">
        <v>1</v>
      </c>
      <c r="B71" t="s">
        <v>4</v>
      </c>
      <c r="C71" t="s">
        <v>3</v>
      </c>
      <c r="D71" s="3">
        <f t="shared" si="13"/>
        <v>36.082474226804123</v>
      </c>
      <c r="E71" s="3">
        <v>47.7</v>
      </c>
      <c r="F71">
        <v>2015</v>
      </c>
      <c r="G71">
        <f t="shared" si="14"/>
        <v>10</v>
      </c>
      <c r="H71">
        <f t="shared" si="11"/>
        <v>0.19699645297938143</v>
      </c>
      <c r="I71">
        <v>0.40300000000000002</v>
      </c>
      <c r="J71">
        <v>97</v>
      </c>
      <c r="K71">
        <v>3</v>
      </c>
      <c r="L71">
        <v>270</v>
      </c>
      <c r="M71" s="12">
        <f t="shared" si="15"/>
        <v>6.5302343936490675E-2</v>
      </c>
      <c r="N71">
        <f t="shared" si="12"/>
        <v>2.6094396443934013E-2</v>
      </c>
      <c r="O71">
        <v>0.25700000000000001</v>
      </c>
      <c r="P71" t="s">
        <v>72</v>
      </c>
      <c r="Q71" t="s">
        <v>372</v>
      </c>
      <c r="R71" cm="1">
        <f t="array" ref="R71">_xlfn.IFS(Q71="PS",3.607,Q71="JEPLMC",6.096,Q71="JPSP",2.579)</f>
        <v>6.0960000000000001</v>
      </c>
      <c r="S71">
        <f t="shared" si="16"/>
        <v>4.0181340206185618</v>
      </c>
      <c r="T71" t="s">
        <v>103</v>
      </c>
      <c r="U71">
        <v>50</v>
      </c>
      <c r="V71" t="s">
        <v>138</v>
      </c>
      <c r="W71">
        <f t="shared" si="17"/>
        <v>84.030927835051543</v>
      </c>
      <c r="X71" t="s">
        <v>377</v>
      </c>
      <c r="Y71">
        <v>2008</v>
      </c>
      <c r="Z71">
        <f>2025-AVERAGE($Y$2:$Y$98)</f>
        <v>17</v>
      </c>
      <c r="AA71" t="s">
        <v>392</v>
      </c>
      <c r="AB71">
        <v>4.4999999999999998E-2</v>
      </c>
      <c r="AC71">
        <v>0.36373235799999998</v>
      </c>
      <c r="AD71" s="3">
        <v>0.28427442600000002</v>
      </c>
      <c r="AE71">
        <v>1</v>
      </c>
      <c r="AF71" t="s">
        <v>138</v>
      </c>
      <c r="AG71">
        <v>3</v>
      </c>
      <c r="AH71">
        <v>3</v>
      </c>
      <c r="AI71">
        <f t="shared" si="18"/>
        <v>2.865979381443299</v>
      </c>
      <c r="AJ71">
        <f t="shared" si="19"/>
        <v>2.1855670103092781</v>
      </c>
      <c r="AK71" t="s">
        <v>112</v>
      </c>
      <c r="AL71">
        <v>37</v>
      </c>
      <c r="AM71" t="s">
        <v>115</v>
      </c>
      <c r="AN71" t="s">
        <v>111</v>
      </c>
      <c r="AO71">
        <v>12.872</v>
      </c>
    </row>
    <row r="72" spans="1:57" ht="15.6">
      <c r="A72">
        <v>1</v>
      </c>
      <c r="B72" t="s">
        <v>4</v>
      </c>
      <c r="C72" t="s">
        <v>3</v>
      </c>
      <c r="D72" s="3">
        <f t="shared" si="13"/>
        <v>36.082474226804123</v>
      </c>
      <c r="E72" s="3">
        <v>47.7</v>
      </c>
      <c r="F72">
        <v>2015</v>
      </c>
      <c r="G72">
        <f t="shared" si="14"/>
        <v>10</v>
      </c>
      <c r="H72">
        <f t="shared" si="11"/>
        <v>0.19699645297938143</v>
      </c>
      <c r="I72">
        <v>0.40300000000000002</v>
      </c>
      <c r="J72">
        <v>97</v>
      </c>
      <c r="K72">
        <v>3</v>
      </c>
      <c r="L72">
        <v>270</v>
      </c>
      <c r="M72" s="12">
        <f t="shared" si="15"/>
        <v>6.5302343936490675E-2</v>
      </c>
      <c r="N72">
        <f t="shared" si="12"/>
        <v>2.6094396443934013E-2</v>
      </c>
      <c r="O72">
        <v>0.25700000000000001</v>
      </c>
      <c r="P72" t="s">
        <v>73</v>
      </c>
      <c r="Q72" t="s">
        <v>373</v>
      </c>
      <c r="R72" cm="1">
        <f t="array" ref="R72">_xlfn.IFS(Q72="PS",3.607,Q72="JEPLMC",6.096,Q72="JPSP",2.579)</f>
        <v>2.5790000000000002</v>
      </c>
      <c r="S72">
        <f t="shared" si="16"/>
        <v>4.0181340206185618</v>
      </c>
      <c r="T72" t="s">
        <v>103</v>
      </c>
      <c r="U72">
        <v>51</v>
      </c>
      <c r="V72" t="s">
        <v>138</v>
      </c>
      <c r="W72">
        <f t="shared" si="17"/>
        <v>84.030927835051543</v>
      </c>
      <c r="X72" t="s">
        <v>377</v>
      </c>
      <c r="Y72">
        <v>2008</v>
      </c>
      <c r="Z72">
        <f>2025-AVERAGE($Y$2:$Y$98)</f>
        <v>17</v>
      </c>
      <c r="AA72" t="s">
        <v>389</v>
      </c>
      <c r="AB72">
        <v>1.175E-2</v>
      </c>
      <c r="AC72">
        <v>0.34431299900000001</v>
      </c>
      <c r="AD72" s="3">
        <v>0.28970837999999999</v>
      </c>
      <c r="AE72">
        <v>1</v>
      </c>
      <c r="AF72" t="s">
        <v>138</v>
      </c>
      <c r="AG72">
        <v>1</v>
      </c>
      <c r="AH72">
        <v>1</v>
      </c>
      <c r="AI72">
        <f t="shared" si="18"/>
        <v>2.865979381443299</v>
      </c>
      <c r="AJ72">
        <f t="shared" si="19"/>
        <v>2.1855670103092781</v>
      </c>
      <c r="AK72" t="s">
        <v>112</v>
      </c>
      <c r="AL72">
        <v>37</v>
      </c>
      <c r="AM72" t="s">
        <v>115</v>
      </c>
      <c r="AN72" t="s">
        <v>111</v>
      </c>
      <c r="AO72">
        <v>12.872</v>
      </c>
    </row>
    <row r="73" spans="1:57" ht="15.6">
      <c r="A73">
        <v>1</v>
      </c>
      <c r="B73" t="s">
        <v>4</v>
      </c>
      <c r="C73" t="s">
        <v>3</v>
      </c>
      <c r="D73" s="3">
        <f t="shared" si="13"/>
        <v>36.082474226804123</v>
      </c>
      <c r="E73" s="3">
        <v>47.7</v>
      </c>
      <c r="F73">
        <v>2015</v>
      </c>
      <c r="G73">
        <f t="shared" si="14"/>
        <v>10</v>
      </c>
      <c r="H73">
        <f t="shared" si="11"/>
        <v>0.19699645297938143</v>
      </c>
      <c r="I73">
        <v>0.40300000000000002</v>
      </c>
      <c r="J73">
        <v>97</v>
      </c>
      <c r="K73">
        <v>3</v>
      </c>
      <c r="L73">
        <v>270</v>
      </c>
      <c r="M73" s="12">
        <f t="shared" si="15"/>
        <v>6.5302343936490675E-2</v>
      </c>
      <c r="N73">
        <f t="shared" si="12"/>
        <v>2.6094396443934013E-2</v>
      </c>
      <c r="O73">
        <v>0.25700000000000001</v>
      </c>
      <c r="P73" t="s">
        <v>74</v>
      </c>
      <c r="Q73" t="s">
        <v>372</v>
      </c>
      <c r="R73" cm="1">
        <f t="array" ref="R73">_xlfn.IFS(Q73="PS",3.607,Q73="JEPLMC",6.096,Q73="JPSP",2.579)</f>
        <v>6.0960000000000001</v>
      </c>
      <c r="S73">
        <f t="shared" si="16"/>
        <v>4.0181340206185618</v>
      </c>
      <c r="T73" t="s">
        <v>103</v>
      </c>
      <c r="U73">
        <v>27</v>
      </c>
      <c r="V73" t="s">
        <v>138</v>
      </c>
      <c r="W73">
        <f t="shared" si="17"/>
        <v>84.030927835051543</v>
      </c>
      <c r="X73" t="s">
        <v>377</v>
      </c>
      <c r="Y73">
        <v>2008</v>
      </c>
      <c r="Z73">
        <f>2025-AVERAGE($Y$2:$Y$98)</f>
        <v>17</v>
      </c>
      <c r="AA73">
        <v>1E-3</v>
      </c>
      <c r="AB73">
        <v>4.3999999999999997E-2</v>
      </c>
      <c r="AC73">
        <v>0.51681235400000003</v>
      </c>
      <c r="AD73" s="3">
        <v>0.31599996400000002</v>
      </c>
      <c r="AE73">
        <v>1</v>
      </c>
      <c r="AF73" t="s">
        <v>138</v>
      </c>
      <c r="AG73">
        <v>1</v>
      </c>
      <c r="AH73">
        <v>2</v>
      </c>
      <c r="AI73">
        <f t="shared" si="18"/>
        <v>2.865979381443299</v>
      </c>
      <c r="AJ73">
        <f t="shared" si="19"/>
        <v>2.1855670103092781</v>
      </c>
      <c r="AK73" t="s">
        <v>112</v>
      </c>
      <c r="AL73">
        <v>37</v>
      </c>
      <c r="AM73" t="s">
        <v>115</v>
      </c>
      <c r="AN73" t="s">
        <v>111</v>
      </c>
      <c r="AO73">
        <v>12.872</v>
      </c>
    </row>
    <row r="74" spans="1:57" ht="15.6">
      <c r="A74">
        <v>1</v>
      </c>
      <c r="B74" t="s">
        <v>4</v>
      </c>
      <c r="C74" t="s">
        <v>3</v>
      </c>
      <c r="D74" s="3">
        <f t="shared" si="13"/>
        <v>36.082474226804123</v>
      </c>
      <c r="E74" s="3">
        <v>47.7</v>
      </c>
      <c r="F74">
        <v>2015</v>
      </c>
      <c r="G74">
        <f t="shared" si="14"/>
        <v>10</v>
      </c>
      <c r="H74">
        <f t="shared" si="11"/>
        <v>0.19699645297938143</v>
      </c>
      <c r="I74">
        <v>0.40300000000000002</v>
      </c>
      <c r="J74">
        <v>97</v>
      </c>
      <c r="K74">
        <v>3</v>
      </c>
      <c r="L74">
        <v>270</v>
      </c>
      <c r="M74" s="12">
        <f t="shared" si="15"/>
        <v>6.5302343936490675E-2</v>
      </c>
      <c r="N74">
        <f t="shared" si="12"/>
        <v>2.6094396443934013E-2</v>
      </c>
      <c r="O74">
        <v>0.25700000000000001</v>
      </c>
      <c r="P74" t="s">
        <v>75</v>
      </c>
      <c r="Q74" t="s">
        <v>371</v>
      </c>
      <c r="R74" cm="1">
        <f t="array" ref="R74">_xlfn.IFS(Q74="PS",3.607,Q74="JEPLMC",6.096,Q74="JPSP",2.579)</f>
        <v>3.6070000000000002</v>
      </c>
      <c r="S74">
        <f t="shared" si="16"/>
        <v>4.0181340206185618</v>
      </c>
      <c r="T74" t="s">
        <v>103</v>
      </c>
      <c r="U74">
        <v>122</v>
      </c>
      <c r="V74" t="s">
        <v>138</v>
      </c>
      <c r="W74">
        <f t="shared" si="17"/>
        <v>84.030927835051543</v>
      </c>
      <c r="X74" t="s">
        <v>377</v>
      </c>
      <c r="Y74">
        <v>2008</v>
      </c>
      <c r="Z74">
        <f>2025-AVERAGE($Y$2:$Y$98)</f>
        <v>17</v>
      </c>
      <c r="AA74" t="s">
        <v>391</v>
      </c>
      <c r="AB74">
        <v>1E-3</v>
      </c>
      <c r="AC74">
        <v>0.28771880999999999</v>
      </c>
      <c r="AD74" s="3">
        <v>0.32272722799999998</v>
      </c>
      <c r="AE74">
        <v>1</v>
      </c>
      <c r="AF74" t="s">
        <v>138</v>
      </c>
      <c r="AG74">
        <v>2</v>
      </c>
      <c r="AH74">
        <v>4</v>
      </c>
      <c r="AI74">
        <f t="shared" si="18"/>
        <v>2.865979381443299</v>
      </c>
      <c r="AJ74">
        <f t="shared" si="19"/>
        <v>2.1855670103092781</v>
      </c>
      <c r="AK74" t="s">
        <v>112</v>
      </c>
      <c r="AL74">
        <v>37</v>
      </c>
      <c r="AM74" t="s">
        <v>115</v>
      </c>
      <c r="AN74" t="s">
        <v>111</v>
      </c>
      <c r="AO74">
        <v>12.872</v>
      </c>
    </row>
    <row r="75" spans="1:57" ht="15.6">
      <c r="A75">
        <v>1</v>
      </c>
      <c r="B75" t="s">
        <v>4</v>
      </c>
      <c r="C75" t="s">
        <v>3</v>
      </c>
      <c r="D75" s="3">
        <f t="shared" si="13"/>
        <v>36.082474226804123</v>
      </c>
      <c r="E75" s="3">
        <v>47.7</v>
      </c>
      <c r="F75">
        <v>2015</v>
      </c>
      <c r="G75">
        <f t="shared" si="14"/>
        <v>10</v>
      </c>
      <c r="H75">
        <f t="shared" si="11"/>
        <v>0.19699645297938143</v>
      </c>
      <c r="I75">
        <v>0.40300000000000002</v>
      </c>
      <c r="J75">
        <v>97</v>
      </c>
      <c r="K75">
        <v>3</v>
      </c>
      <c r="L75">
        <v>270</v>
      </c>
      <c r="M75" s="12">
        <f t="shared" si="15"/>
        <v>6.5302343936490675E-2</v>
      </c>
      <c r="N75">
        <f t="shared" si="12"/>
        <v>2.6094396443934013E-2</v>
      </c>
      <c r="O75">
        <v>0.25700000000000001</v>
      </c>
      <c r="P75" t="s">
        <v>76</v>
      </c>
      <c r="Q75" t="s">
        <v>372</v>
      </c>
      <c r="R75" cm="1">
        <f t="array" ref="R75">_xlfn.IFS(Q75="PS",3.607,Q75="JEPLMC",6.096,Q75="JPSP",2.579)</f>
        <v>6.0960000000000001</v>
      </c>
      <c r="S75">
        <f t="shared" si="16"/>
        <v>4.0181340206185618</v>
      </c>
      <c r="T75" t="s">
        <v>103</v>
      </c>
      <c r="U75">
        <v>116</v>
      </c>
      <c r="V75" t="s">
        <v>138</v>
      </c>
      <c r="W75">
        <f t="shared" si="17"/>
        <v>84.030927835051543</v>
      </c>
      <c r="X75" t="s">
        <v>377</v>
      </c>
      <c r="Y75">
        <v>2008</v>
      </c>
      <c r="Z75">
        <f>2025-AVERAGE($Y$2:$Y$98)</f>
        <v>17</v>
      </c>
      <c r="AA75" t="s">
        <v>389</v>
      </c>
      <c r="AB75">
        <v>0.14199999999999999</v>
      </c>
      <c r="AC75">
        <v>0.55117825499999995</v>
      </c>
      <c r="AD75" s="3">
        <v>0.34979158900000001</v>
      </c>
      <c r="AE75">
        <v>1</v>
      </c>
      <c r="AF75" t="s">
        <v>138</v>
      </c>
      <c r="AG75">
        <v>3</v>
      </c>
      <c r="AH75">
        <v>1</v>
      </c>
      <c r="AI75">
        <f t="shared" si="18"/>
        <v>2.865979381443299</v>
      </c>
      <c r="AJ75">
        <f t="shared" si="19"/>
        <v>2.1855670103092781</v>
      </c>
      <c r="AK75" t="s">
        <v>112</v>
      </c>
      <c r="AL75">
        <v>37</v>
      </c>
      <c r="AM75" t="s">
        <v>115</v>
      </c>
      <c r="AN75" t="s">
        <v>111</v>
      </c>
      <c r="AO75">
        <v>12.872</v>
      </c>
    </row>
    <row r="76" spans="1:57" ht="15.6">
      <c r="A76">
        <v>1</v>
      </c>
      <c r="B76" t="s">
        <v>4</v>
      </c>
      <c r="C76" t="s">
        <v>3</v>
      </c>
      <c r="D76" s="3">
        <f t="shared" si="13"/>
        <v>36.082474226804123</v>
      </c>
      <c r="E76" s="3">
        <v>47.7</v>
      </c>
      <c r="F76">
        <v>2015</v>
      </c>
      <c r="G76">
        <f t="shared" si="14"/>
        <v>10</v>
      </c>
      <c r="H76">
        <f t="shared" si="11"/>
        <v>0.19699645297938143</v>
      </c>
      <c r="I76">
        <v>0.40300000000000002</v>
      </c>
      <c r="J76">
        <v>97</v>
      </c>
      <c r="K76">
        <v>3</v>
      </c>
      <c r="L76">
        <v>270</v>
      </c>
      <c r="M76" s="12">
        <f t="shared" si="15"/>
        <v>6.5302343936490675E-2</v>
      </c>
      <c r="N76">
        <f t="shared" si="12"/>
        <v>2.6094396443934013E-2</v>
      </c>
      <c r="O76">
        <v>0.25700000000000001</v>
      </c>
      <c r="P76" t="s">
        <v>77</v>
      </c>
      <c r="Q76" t="s">
        <v>372</v>
      </c>
      <c r="R76" cm="1">
        <f t="array" ref="R76">_xlfn.IFS(Q76="PS",3.607,Q76="JEPLMC",6.096,Q76="JPSP",2.579)</f>
        <v>6.0960000000000001</v>
      </c>
      <c r="S76">
        <f t="shared" si="16"/>
        <v>4.0181340206185618</v>
      </c>
      <c r="T76" t="s">
        <v>103</v>
      </c>
      <c r="U76">
        <v>50</v>
      </c>
      <c r="V76" t="s">
        <v>138</v>
      </c>
      <c r="W76">
        <f t="shared" si="17"/>
        <v>84.030927835051543</v>
      </c>
      <c r="X76" t="s">
        <v>377</v>
      </c>
      <c r="Y76">
        <v>2008</v>
      </c>
      <c r="Z76">
        <f>2025-AVERAGE($Y$2:$Y$98)</f>
        <v>17</v>
      </c>
      <c r="AA76">
        <v>0.03</v>
      </c>
      <c r="AB76">
        <v>1E-3</v>
      </c>
      <c r="AC76">
        <v>0.37806895499999998</v>
      </c>
      <c r="AD76" s="3">
        <v>0.37957396799999998</v>
      </c>
      <c r="AE76">
        <v>1</v>
      </c>
      <c r="AF76" t="s">
        <v>138</v>
      </c>
      <c r="AG76">
        <v>4</v>
      </c>
      <c r="AH76">
        <v>1</v>
      </c>
      <c r="AI76">
        <f t="shared" si="18"/>
        <v>2.865979381443299</v>
      </c>
      <c r="AJ76">
        <f t="shared" si="19"/>
        <v>2.1855670103092781</v>
      </c>
      <c r="AK76" t="s">
        <v>112</v>
      </c>
      <c r="AL76">
        <v>37</v>
      </c>
      <c r="AM76" t="s">
        <v>115</v>
      </c>
      <c r="AN76" t="s">
        <v>111</v>
      </c>
      <c r="AO76">
        <v>12.872</v>
      </c>
    </row>
    <row r="77" spans="1:57" ht="15.6">
      <c r="A77">
        <v>1</v>
      </c>
      <c r="B77" t="s">
        <v>4</v>
      </c>
      <c r="C77" t="s">
        <v>3</v>
      </c>
      <c r="D77" s="3">
        <f t="shared" si="13"/>
        <v>36.082474226804123</v>
      </c>
      <c r="E77" s="3">
        <v>47.7</v>
      </c>
      <c r="F77">
        <v>2015</v>
      </c>
      <c r="G77">
        <f t="shared" si="14"/>
        <v>10</v>
      </c>
      <c r="H77">
        <f t="shared" si="11"/>
        <v>0.19699645297938143</v>
      </c>
      <c r="I77">
        <v>0.40300000000000002</v>
      </c>
      <c r="J77">
        <v>97</v>
      </c>
      <c r="K77">
        <v>3</v>
      </c>
      <c r="L77">
        <v>270</v>
      </c>
      <c r="M77" s="12">
        <f t="shared" si="15"/>
        <v>6.5302343936490675E-2</v>
      </c>
      <c r="N77">
        <f t="shared" si="12"/>
        <v>2.6094396443934013E-2</v>
      </c>
      <c r="O77">
        <v>0.25700000000000001</v>
      </c>
      <c r="P77" t="s">
        <v>78</v>
      </c>
      <c r="Q77" t="s">
        <v>372</v>
      </c>
      <c r="R77" cm="1">
        <f t="array" ref="R77">_xlfn.IFS(Q77="PS",3.607,Q77="JEPLMC",6.096,Q77="JPSP",2.579)</f>
        <v>6.0960000000000001</v>
      </c>
      <c r="S77">
        <f t="shared" si="16"/>
        <v>4.0181340206185618</v>
      </c>
      <c r="T77" t="s">
        <v>103</v>
      </c>
      <c r="U77">
        <v>37</v>
      </c>
      <c r="V77" t="s">
        <v>138</v>
      </c>
      <c r="W77">
        <f t="shared" si="17"/>
        <v>84.030927835051543</v>
      </c>
      <c r="X77" t="s">
        <v>377</v>
      </c>
      <c r="Y77">
        <v>2008</v>
      </c>
      <c r="Z77">
        <f>2025-AVERAGE($Y$2:$Y$98)</f>
        <v>17</v>
      </c>
      <c r="AA77">
        <v>2E-3</v>
      </c>
      <c r="AB77">
        <v>2.3E-2</v>
      </c>
      <c r="AC77">
        <v>0.59496046199999997</v>
      </c>
      <c r="AD77" s="3">
        <v>0.395843475</v>
      </c>
      <c r="AE77">
        <v>1</v>
      </c>
      <c r="AF77" t="s">
        <v>138</v>
      </c>
      <c r="AG77">
        <v>3</v>
      </c>
      <c r="AH77">
        <v>2</v>
      </c>
      <c r="AI77">
        <f t="shared" si="18"/>
        <v>2.865979381443299</v>
      </c>
      <c r="AJ77">
        <f t="shared" si="19"/>
        <v>2.1855670103092781</v>
      </c>
      <c r="AK77" t="s">
        <v>112</v>
      </c>
      <c r="AL77">
        <v>37</v>
      </c>
      <c r="AM77" t="s">
        <v>115</v>
      </c>
      <c r="AN77" t="s">
        <v>111</v>
      </c>
      <c r="AO77">
        <v>12.872</v>
      </c>
    </row>
    <row r="78" spans="1:57" ht="15.6">
      <c r="A78">
        <v>1</v>
      </c>
      <c r="B78" t="s">
        <v>4</v>
      </c>
      <c r="C78" t="s">
        <v>3</v>
      </c>
      <c r="D78" s="3">
        <f t="shared" si="13"/>
        <v>36.082474226804123</v>
      </c>
      <c r="E78" s="3">
        <v>47.7</v>
      </c>
      <c r="F78">
        <v>2015</v>
      </c>
      <c r="G78">
        <f t="shared" si="14"/>
        <v>10</v>
      </c>
      <c r="H78">
        <f t="shared" si="11"/>
        <v>0.19699645297938143</v>
      </c>
      <c r="I78">
        <v>0.40300000000000002</v>
      </c>
      <c r="J78">
        <v>97</v>
      </c>
      <c r="K78">
        <v>3</v>
      </c>
      <c r="L78">
        <v>270</v>
      </c>
      <c r="M78" s="12">
        <f t="shared" si="15"/>
        <v>6.5302343936490675E-2</v>
      </c>
      <c r="N78">
        <f t="shared" si="12"/>
        <v>2.6094396443934013E-2</v>
      </c>
      <c r="O78">
        <v>0.25700000000000001</v>
      </c>
      <c r="P78" t="s">
        <v>79</v>
      </c>
      <c r="Q78" t="s">
        <v>372</v>
      </c>
      <c r="R78" cm="1">
        <f t="array" ref="R78">_xlfn.IFS(Q78="PS",3.607,Q78="JEPLMC",6.096,Q78="JPSP",2.579)</f>
        <v>6.0960000000000001</v>
      </c>
      <c r="S78" s="1">
        <f t="shared" si="16"/>
        <v>4.0181340206185618</v>
      </c>
      <c r="T78" t="s">
        <v>101</v>
      </c>
      <c r="U78">
        <v>11</v>
      </c>
      <c r="V78" t="s">
        <v>138</v>
      </c>
      <c r="W78">
        <f t="shared" si="17"/>
        <v>84.030927835051543</v>
      </c>
      <c r="X78" t="s">
        <v>377</v>
      </c>
      <c r="Y78">
        <v>2008</v>
      </c>
      <c r="Z78">
        <f>2025-AVERAGE($Y$2:$Y$98)</f>
        <v>17</v>
      </c>
      <c r="AA78" t="s">
        <v>392</v>
      </c>
      <c r="AB78">
        <v>7.0999999999999994E-2</v>
      </c>
      <c r="AC78">
        <v>0.56049914499999998</v>
      </c>
      <c r="AD78" s="3">
        <v>0.40193916800000001</v>
      </c>
      <c r="AE78">
        <v>1</v>
      </c>
      <c r="AF78" t="s">
        <v>138</v>
      </c>
      <c r="AG78">
        <v>1</v>
      </c>
      <c r="AH78">
        <v>7</v>
      </c>
      <c r="AI78">
        <f t="shared" si="18"/>
        <v>2.865979381443299</v>
      </c>
      <c r="AJ78">
        <f t="shared" si="19"/>
        <v>2.1855670103092781</v>
      </c>
      <c r="AK78" t="s">
        <v>112</v>
      </c>
      <c r="AL78">
        <v>37</v>
      </c>
      <c r="AM78" t="s">
        <v>115</v>
      </c>
      <c r="AN78" t="s">
        <v>111</v>
      </c>
      <c r="AO78">
        <v>12.872</v>
      </c>
      <c r="AY78" s="1"/>
    </row>
    <row r="79" spans="1:57" ht="15.6">
      <c r="A79">
        <v>1</v>
      </c>
      <c r="B79" t="s">
        <v>4</v>
      </c>
      <c r="C79" t="s">
        <v>3</v>
      </c>
      <c r="D79" s="3">
        <f t="shared" si="13"/>
        <v>36.082474226804123</v>
      </c>
      <c r="E79" s="3">
        <v>47.7</v>
      </c>
      <c r="F79">
        <v>2015</v>
      </c>
      <c r="G79">
        <f t="shared" si="14"/>
        <v>10</v>
      </c>
      <c r="H79">
        <f t="shared" si="11"/>
        <v>0.19699645297938143</v>
      </c>
      <c r="I79">
        <v>0.40300000000000002</v>
      </c>
      <c r="J79">
        <v>97</v>
      </c>
      <c r="K79">
        <v>3</v>
      </c>
      <c r="L79">
        <v>270</v>
      </c>
      <c r="M79" s="12">
        <f t="shared" si="15"/>
        <v>6.5302343936490675E-2</v>
      </c>
      <c r="N79">
        <f t="shared" si="12"/>
        <v>2.6094396443934013E-2</v>
      </c>
      <c r="O79">
        <v>0.25700000000000001</v>
      </c>
      <c r="P79" t="s">
        <v>80</v>
      </c>
      <c r="Q79" t="s">
        <v>371</v>
      </c>
      <c r="R79" cm="1">
        <f t="array" ref="R79">_xlfn.IFS(Q79="PS",3.607,Q79="JEPLMC",6.096,Q79="JPSP",2.579)</f>
        <v>3.6070000000000002</v>
      </c>
      <c r="S79">
        <f t="shared" si="16"/>
        <v>4.0181340206185618</v>
      </c>
      <c r="T79" t="s">
        <v>103</v>
      </c>
      <c r="U79">
        <v>45</v>
      </c>
      <c r="V79" t="s">
        <v>138</v>
      </c>
      <c r="W79">
        <f t="shared" si="17"/>
        <v>84.030927835051543</v>
      </c>
      <c r="X79" t="s">
        <v>377</v>
      </c>
      <c r="Y79">
        <v>2008</v>
      </c>
      <c r="Z79">
        <f>2025-AVERAGE($Y$2:$Y$98)</f>
        <v>17</v>
      </c>
      <c r="AA79" t="s">
        <v>407</v>
      </c>
      <c r="AB79">
        <v>3.4999999999999997E-5</v>
      </c>
      <c r="AC79">
        <v>0.37478788400000002</v>
      </c>
      <c r="AD79" s="3">
        <v>0.41133658299999998</v>
      </c>
      <c r="AE79">
        <v>1</v>
      </c>
      <c r="AF79" t="s">
        <v>138</v>
      </c>
      <c r="AG79">
        <v>2</v>
      </c>
      <c r="AH79">
        <v>2</v>
      </c>
      <c r="AI79">
        <f t="shared" si="18"/>
        <v>2.865979381443299</v>
      </c>
      <c r="AJ79">
        <f t="shared" si="19"/>
        <v>2.1855670103092781</v>
      </c>
      <c r="AK79" t="s">
        <v>112</v>
      </c>
      <c r="AL79">
        <v>37</v>
      </c>
      <c r="AM79" t="s">
        <v>115</v>
      </c>
      <c r="AN79" t="s">
        <v>111</v>
      </c>
      <c r="AO79">
        <v>12.872</v>
      </c>
      <c r="BE79" s="1"/>
    </row>
    <row r="80" spans="1:57" ht="15.6">
      <c r="A80">
        <v>1</v>
      </c>
      <c r="B80" t="s">
        <v>4</v>
      </c>
      <c r="C80" t="s">
        <v>3</v>
      </c>
      <c r="D80" s="3">
        <f t="shared" si="13"/>
        <v>36.082474226804123</v>
      </c>
      <c r="E80" s="3">
        <v>47.7</v>
      </c>
      <c r="F80">
        <v>2015</v>
      </c>
      <c r="G80">
        <f t="shared" si="14"/>
        <v>10</v>
      </c>
      <c r="H80">
        <f t="shared" si="11"/>
        <v>0.19699645297938143</v>
      </c>
      <c r="I80">
        <v>0.40300000000000002</v>
      </c>
      <c r="J80">
        <v>97</v>
      </c>
      <c r="K80">
        <v>3</v>
      </c>
      <c r="L80">
        <v>270</v>
      </c>
      <c r="M80" s="12">
        <f t="shared" si="15"/>
        <v>6.5302343936490675E-2</v>
      </c>
      <c r="N80">
        <f t="shared" si="12"/>
        <v>2.6094396443934013E-2</v>
      </c>
      <c r="O80">
        <v>0.25700000000000001</v>
      </c>
      <c r="P80" t="s">
        <v>81</v>
      </c>
      <c r="Q80" t="s">
        <v>371</v>
      </c>
      <c r="R80" cm="1">
        <f t="array" ref="R80">_xlfn.IFS(Q80="PS",3.607,Q80="JEPLMC",6.096,Q80="JPSP",2.579)</f>
        <v>3.6070000000000002</v>
      </c>
      <c r="S80">
        <f t="shared" si="16"/>
        <v>4.0181340206185618</v>
      </c>
      <c r="T80" t="s">
        <v>103</v>
      </c>
      <c r="U80">
        <v>191</v>
      </c>
      <c r="V80" t="s">
        <v>138</v>
      </c>
      <c r="W80">
        <f t="shared" si="17"/>
        <v>84.030927835051543</v>
      </c>
      <c r="X80" t="s">
        <v>377</v>
      </c>
      <c r="Y80">
        <v>2008</v>
      </c>
      <c r="Z80">
        <f>2025-AVERAGE($Y$2:$Y$98)</f>
        <v>17</v>
      </c>
      <c r="AA80" t="s">
        <v>408</v>
      </c>
      <c r="AB80">
        <v>7.0000000000000001E-3</v>
      </c>
      <c r="AC80">
        <v>0.44565263599999999</v>
      </c>
      <c r="AD80" s="3">
        <v>0.42336380600000001</v>
      </c>
      <c r="AE80">
        <v>1</v>
      </c>
      <c r="AF80" t="s">
        <v>138</v>
      </c>
      <c r="AG80">
        <v>3</v>
      </c>
      <c r="AH80">
        <v>2</v>
      </c>
      <c r="AI80">
        <f t="shared" si="18"/>
        <v>2.865979381443299</v>
      </c>
      <c r="AJ80">
        <f t="shared" si="19"/>
        <v>2.1855670103092781</v>
      </c>
      <c r="AK80" t="s">
        <v>112</v>
      </c>
      <c r="AL80">
        <v>37</v>
      </c>
      <c r="AM80" t="s">
        <v>115</v>
      </c>
      <c r="AN80" t="s">
        <v>111</v>
      </c>
      <c r="AO80">
        <v>12.872</v>
      </c>
    </row>
    <row r="81" spans="1:75" ht="15.6">
      <c r="A81">
        <v>1</v>
      </c>
      <c r="B81" t="s">
        <v>4</v>
      </c>
      <c r="C81" t="s">
        <v>3</v>
      </c>
      <c r="D81" s="3">
        <f t="shared" si="13"/>
        <v>36.082474226804123</v>
      </c>
      <c r="E81" s="3">
        <v>47.7</v>
      </c>
      <c r="F81">
        <v>2015</v>
      </c>
      <c r="G81">
        <f t="shared" si="14"/>
        <v>10</v>
      </c>
      <c r="H81">
        <f t="shared" si="11"/>
        <v>0.19699645297938143</v>
      </c>
      <c r="I81">
        <v>0.40300000000000002</v>
      </c>
      <c r="J81">
        <v>97</v>
      </c>
      <c r="K81">
        <v>3</v>
      </c>
      <c r="L81">
        <v>270</v>
      </c>
      <c r="M81" s="12">
        <f t="shared" si="15"/>
        <v>6.5302343936490675E-2</v>
      </c>
      <c r="N81">
        <f t="shared" si="12"/>
        <v>2.6094396443934013E-2</v>
      </c>
      <c r="O81">
        <v>0.25700000000000001</v>
      </c>
      <c r="P81" t="s">
        <v>82</v>
      </c>
      <c r="Q81" t="s">
        <v>372</v>
      </c>
      <c r="R81" cm="1">
        <f t="array" ref="R81">_xlfn.IFS(Q81="PS",3.607,Q81="JEPLMC",6.096,Q81="JPSP",2.579)</f>
        <v>6.0960000000000001</v>
      </c>
      <c r="S81">
        <f t="shared" si="16"/>
        <v>4.0181340206185618</v>
      </c>
      <c r="T81" t="s">
        <v>103</v>
      </c>
      <c r="U81">
        <v>28</v>
      </c>
      <c r="V81" t="s">
        <v>138</v>
      </c>
      <c r="W81">
        <f t="shared" si="17"/>
        <v>84.030927835051543</v>
      </c>
      <c r="X81" t="s">
        <v>377</v>
      </c>
      <c r="Y81">
        <v>2008</v>
      </c>
      <c r="Z81" s="1">
        <f>2025-AVERAGE($Y$2:$Y$98)</f>
        <v>17</v>
      </c>
      <c r="AA81" s="1" t="s">
        <v>392</v>
      </c>
      <c r="AB81">
        <v>3.0000000000000001E-5</v>
      </c>
      <c r="AC81" s="1">
        <v>0.30477241100000002</v>
      </c>
      <c r="AD81" s="9">
        <v>0.43451030600000001</v>
      </c>
      <c r="AE81" s="1">
        <v>1</v>
      </c>
      <c r="AF81" t="s">
        <v>138</v>
      </c>
      <c r="AG81">
        <v>1</v>
      </c>
      <c r="AH81">
        <v>2</v>
      </c>
      <c r="AI81">
        <f t="shared" si="18"/>
        <v>2.865979381443299</v>
      </c>
      <c r="AJ81">
        <f t="shared" si="19"/>
        <v>2.1855670103092781</v>
      </c>
      <c r="AK81" t="s">
        <v>112</v>
      </c>
      <c r="AL81">
        <v>37</v>
      </c>
      <c r="AM81" t="s">
        <v>115</v>
      </c>
      <c r="AN81" t="s">
        <v>111</v>
      </c>
      <c r="AO81">
        <v>12.872</v>
      </c>
      <c r="BF81" s="1"/>
      <c r="BH81" s="1"/>
      <c r="BI81" s="1"/>
      <c r="BJ81" s="1"/>
    </row>
    <row r="82" spans="1:75" ht="15.6">
      <c r="A82">
        <v>1</v>
      </c>
      <c r="B82" t="s">
        <v>4</v>
      </c>
      <c r="C82" t="s">
        <v>3</v>
      </c>
      <c r="D82" s="3">
        <f t="shared" si="13"/>
        <v>36.082474226804123</v>
      </c>
      <c r="E82" s="3">
        <v>47.7</v>
      </c>
      <c r="F82">
        <v>2015</v>
      </c>
      <c r="G82">
        <f t="shared" si="14"/>
        <v>10</v>
      </c>
      <c r="H82">
        <f t="shared" si="11"/>
        <v>0.19699645297938143</v>
      </c>
      <c r="I82">
        <v>0.40300000000000002</v>
      </c>
      <c r="J82">
        <v>97</v>
      </c>
      <c r="K82">
        <v>3</v>
      </c>
      <c r="L82">
        <v>270</v>
      </c>
      <c r="M82" s="12">
        <f t="shared" si="15"/>
        <v>6.5302343936490675E-2</v>
      </c>
      <c r="N82">
        <f t="shared" si="12"/>
        <v>2.6094396443934013E-2</v>
      </c>
      <c r="O82">
        <v>0.25700000000000001</v>
      </c>
      <c r="P82" t="s">
        <v>83</v>
      </c>
      <c r="Q82" t="s">
        <v>372</v>
      </c>
      <c r="R82" cm="1">
        <f t="array" ref="R82">_xlfn.IFS(Q82="PS",3.607,Q82="JEPLMC",6.096,Q82="JPSP",2.579)</f>
        <v>6.0960000000000001</v>
      </c>
      <c r="S82">
        <f t="shared" si="16"/>
        <v>4.0181340206185618</v>
      </c>
      <c r="T82" t="s">
        <v>103</v>
      </c>
      <c r="U82">
        <v>56</v>
      </c>
      <c r="V82" t="s">
        <v>138</v>
      </c>
      <c r="W82">
        <f t="shared" si="17"/>
        <v>84.030927835051543</v>
      </c>
      <c r="X82" t="s">
        <v>377</v>
      </c>
      <c r="Y82">
        <v>2008</v>
      </c>
      <c r="Z82">
        <f>2025-AVERAGE($Y$2:$Y$98)</f>
        <v>17</v>
      </c>
      <c r="AA82" t="s">
        <v>392</v>
      </c>
      <c r="AB82">
        <v>8.0000000000000002E-3</v>
      </c>
      <c r="AC82" s="1">
        <v>0.67208416699999995</v>
      </c>
      <c r="AD82" s="9">
        <v>0.46644357600000003</v>
      </c>
      <c r="AE82" s="1">
        <v>1</v>
      </c>
      <c r="AF82" t="s">
        <v>138</v>
      </c>
      <c r="AG82">
        <v>2</v>
      </c>
      <c r="AH82">
        <v>2</v>
      </c>
      <c r="AI82">
        <f t="shared" si="18"/>
        <v>2.865979381443299</v>
      </c>
      <c r="AJ82">
        <f t="shared" si="19"/>
        <v>2.1855670103092781</v>
      </c>
      <c r="AK82" t="s">
        <v>112</v>
      </c>
      <c r="AL82">
        <v>37</v>
      </c>
      <c r="AM82" t="s">
        <v>115</v>
      </c>
      <c r="AN82" t="s">
        <v>111</v>
      </c>
      <c r="AO82">
        <v>12.872</v>
      </c>
      <c r="BH82" s="1"/>
      <c r="BI82" s="1"/>
      <c r="BJ82" s="1"/>
    </row>
    <row r="83" spans="1:75" ht="15.6">
      <c r="A83">
        <v>1</v>
      </c>
      <c r="B83" t="s">
        <v>4</v>
      </c>
      <c r="C83" t="s">
        <v>3</v>
      </c>
      <c r="D83" s="3">
        <f t="shared" si="13"/>
        <v>36.082474226804123</v>
      </c>
      <c r="E83" s="3">
        <v>47.7</v>
      </c>
      <c r="F83">
        <v>2015</v>
      </c>
      <c r="G83">
        <f t="shared" si="14"/>
        <v>10</v>
      </c>
      <c r="H83">
        <f t="shared" si="11"/>
        <v>0.19699645297938143</v>
      </c>
      <c r="I83">
        <v>0.40300000000000002</v>
      </c>
      <c r="J83">
        <v>97</v>
      </c>
      <c r="K83">
        <v>3</v>
      </c>
      <c r="L83">
        <v>270</v>
      </c>
      <c r="M83" s="12">
        <f t="shared" si="15"/>
        <v>6.5302343936490675E-2</v>
      </c>
      <c r="N83">
        <f t="shared" si="12"/>
        <v>2.6094396443934013E-2</v>
      </c>
      <c r="O83">
        <v>0.25700000000000001</v>
      </c>
      <c r="P83" t="s">
        <v>84</v>
      </c>
      <c r="Q83" t="s">
        <v>372</v>
      </c>
      <c r="R83" cm="1">
        <f t="array" ref="R83">_xlfn.IFS(Q83="PS",3.607,Q83="JEPLMC",6.096,Q83="JPSP",2.579)</f>
        <v>6.0960000000000001</v>
      </c>
      <c r="S83">
        <f t="shared" si="16"/>
        <v>4.0181340206185618</v>
      </c>
      <c r="T83" t="s">
        <v>103</v>
      </c>
      <c r="U83">
        <v>11</v>
      </c>
      <c r="V83" t="s">
        <v>138</v>
      </c>
      <c r="W83">
        <f t="shared" si="17"/>
        <v>84.030927835051543</v>
      </c>
      <c r="X83" t="s">
        <v>377</v>
      </c>
      <c r="Y83">
        <v>2008</v>
      </c>
      <c r="Z83">
        <f>2025-AVERAGE($Y$2:$Y$98)</f>
        <v>17</v>
      </c>
      <c r="AA83" t="s">
        <v>392</v>
      </c>
      <c r="AB83">
        <v>2E-3</v>
      </c>
      <c r="AC83">
        <v>0.62336743299999997</v>
      </c>
      <c r="AD83" s="3">
        <v>0.48071711499999997</v>
      </c>
      <c r="AE83">
        <v>1</v>
      </c>
      <c r="AF83" t="s">
        <v>138</v>
      </c>
      <c r="AG83">
        <v>1</v>
      </c>
      <c r="AH83">
        <v>2</v>
      </c>
      <c r="AI83">
        <f t="shared" si="18"/>
        <v>2.865979381443299</v>
      </c>
      <c r="AJ83">
        <f t="shared" si="19"/>
        <v>2.1855670103092781</v>
      </c>
      <c r="AK83" t="s">
        <v>112</v>
      </c>
      <c r="AL83">
        <v>37</v>
      </c>
      <c r="AM83" t="s">
        <v>115</v>
      </c>
      <c r="AN83" t="s">
        <v>111</v>
      </c>
      <c r="AO83">
        <v>12.872</v>
      </c>
      <c r="BE83" s="1"/>
    </row>
    <row r="84" spans="1:75" ht="15.6">
      <c r="A84">
        <v>1</v>
      </c>
      <c r="B84" t="s">
        <v>4</v>
      </c>
      <c r="C84" t="s">
        <v>3</v>
      </c>
      <c r="D84" s="3">
        <f t="shared" si="13"/>
        <v>36.082474226804123</v>
      </c>
      <c r="E84" s="3">
        <v>47.7</v>
      </c>
      <c r="F84">
        <v>2015</v>
      </c>
      <c r="G84">
        <f t="shared" si="14"/>
        <v>10</v>
      </c>
      <c r="H84">
        <f t="shared" si="11"/>
        <v>0.19699645297938143</v>
      </c>
      <c r="I84">
        <v>0.40300000000000002</v>
      </c>
      <c r="J84">
        <v>97</v>
      </c>
      <c r="K84">
        <v>3</v>
      </c>
      <c r="L84">
        <v>270</v>
      </c>
      <c r="M84" s="12">
        <f t="shared" si="15"/>
        <v>6.5302343936490675E-2</v>
      </c>
      <c r="N84">
        <f t="shared" si="12"/>
        <v>2.6094396443934013E-2</v>
      </c>
      <c r="O84">
        <v>0.25700000000000001</v>
      </c>
      <c r="P84" t="s">
        <v>85</v>
      </c>
      <c r="Q84" t="s">
        <v>371</v>
      </c>
      <c r="R84" cm="1">
        <f t="array" ref="R84">_xlfn.IFS(Q84="PS",3.607,Q84="JEPLMC",6.096,Q84="JPSP",2.579)</f>
        <v>3.6070000000000002</v>
      </c>
      <c r="S84" s="1">
        <f t="shared" si="16"/>
        <v>4.0181340206185618</v>
      </c>
      <c r="T84" t="s">
        <v>101</v>
      </c>
      <c r="U84">
        <v>15</v>
      </c>
      <c r="V84" t="s">
        <v>138</v>
      </c>
      <c r="W84">
        <f t="shared" si="17"/>
        <v>84.030927835051543</v>
      </c>
      <c r="X84" t="s">
        <v>377</v>
      </c>
      <c r="Y84">
        <v>2008</v>
      </c>
      <c r="Z84">
        <f>2025-AVERAGE($Y$2:$Y$98)</f>
        <v>17</v>
      </c>
      <c r="AA84" t="s">
        <v>409</v>
      </c>
      <c r="AB84">
        <v>0.09</v>
      </c>
      <c r="AC84">
        <v>0.64995557100000001</v>
      </c>
      <c r="AD84" s="3">
        <v>0.49708252200000003</v>
      </c>
      <c r="AE84">
        <v>1</v>
      </c>
      <c r="AF84" t="s">
        <v>138</v>
      </c>
      <c r="AG84">
        <v>3</v>
      </c>
      <c r="AH84">
        <v>1</v>
      </c>
      <c r="AI84">
        <f t="shared" si="18"/>
        <v>2.865979381443299</v>
      </c>
      <c r="AJ84">
        <f t="shared" si="19"/>
        <v>2.1855670103092781</v>
      </c>
      <c r="AK84" t="s">
        <v>112</v>
      </c>
      <c r="AL84">
        <v>37</v>
      </c>
      <c r="AM84" t="s">
        <v>115</v>
      </c>
      <c r="AN84" t="s">
        <v>111</v>
      </c>
      <c r="AO84">
        <v>12.872</v>
      </c>
      <c r="AY84" s="1"/>
    </row>
    <row r="85" spans="1:75" ht="15.6">
      <c r="A85">
        <v>1</v>
      </c>
      <c r="B85" t="s">
        <v>4</v>
      </c>
      <c r="C85" t="s">
        <v>3</v>
      </c>
      <c r="D85" s="3">
        <f t="shared" si="13"/>
        <v>36.082474226804123</v>
      </c>
      <c r="E85" s="3">
        <v>47.7</v>
      </c>
      <c r="F85">
        <v>2015</v>
      </c>
      <c r="G85">
        <f t="shared" si="14"/>
        <v>10</v>
      </c>
      <c r="H85">
        <f t="shared" si="11"/>
        <v>0.19699645297938143</v>
      </c>
      <c r="I85">
        <v>0.40300000000000002</v>
      </c>
      <c r="J85">
        <v>97</v>
      </c>
      <c r="K85">
        <v>3</v>
      </c>
      <c r="L85">
        <v>270</v>
      </c>
      <c r="M85" s="12">
        <f t="shared" si="15"/>
        <v>6.5302343936490675E-2</v>
      </c>
      <c r="N85">
        <f t="shared" si="12"/>
        <v>2.6094396443934013E-2</v>
      </c>
      <c r="O85">
        <v>0.25700000000000001</v>
      </c>
      <c r="P85" t="s">
        <v>86</v>
      </c>
      <c r="Q85" t="s">
        <v>371</v>
      </c>
      <c r="R85" cm="1">
        <f t="array" ref="R85">_xlfn.IFS(Q85="PS",3.607,Q85="JEPLMC",6.096,Q85="JPSP",2.579)</f>
        <v>3.6070000000000002</v>
      </c>
      <c r="S85" s="1">
        <f t="shared" si="16"/>
        <v>4.0181340206185618</v>
      </c>
      <c r="T85" t="s">
        <v>103</v>
      </c>
      <c r="U85">
        <v>22</v>
      </c>
      <c r="V85" t="s">
        <v>138</v>
      </c>
      <c r="W85">
        <f t="shared" si="17"/>
        <v>84.030927835051543</v>
      </c>
      <c r="X85" t="s">
        <v>377</v>
      </c>
      <c r="Y85">
        <v>2008</v>
      </c>
      <c r="Z85">
        <f>2025-AVERAGE($Y$2:$Y$98)</f>
        <v>17</v>
      </c>
      <c r="AA85" t="s">
        <v>393</v>
      </c>
      <c r="AB85">
        <v>1E-3</v>
      </c>
      <c r="AC85">
        <v>0.20996855</v>
      </c>
      <c r="AD85" s="3">
        <v>0.50017996300000001</v>
      </c>
      <c r="AE85">
        <v>1</v>
      </c>
      <c r="AF85" t="s">
        <v>138</v>
      </c>
      <c r="AG85">
        <v>2</v>
      </c>
      <c r="AH85">
        <v>6</v>
      </c>
      <c r="AI85">
        <f t="shared" si="18"/>
        <v>2.865979381443299</v>
      </c>
      <c r="AJ85">
        <f t="shared" si="19"/>
        <v>2.1855670103092781</v>
      </c>
      <c r="AK85" t="s">
        <v>112</v>
      </c>
      <c r="AL85">
        <v>37</v>
      </c>
      <c r="AM85" t="s">
        <v>115</v>
      </c>
      <c r="AN85" t="s">
        <v>111</v>
      </c>
      <c r="AO85">
        <v>12.872</v>
      </c>
      <c r="AR85" s="1"/>
      <c r="AY85" s="1"/>
      <c r="BW85" s="1"/>
    </row>
    <row r="86" spans="1:75" ht="15.6">
      <c r="A86">
        <v>1</v>
      </c>
      <c r="B86" t="s">
        <v>4</v>
      </c>
      <c r="C86" t="s">
        <v>3</v>
      </c>
      <c r="D86" s="3">
        <f t="shared" si="13"/>
        <v>36.082474226804123</v>
      </c>
      <c r="E86" s="3">
        <v>47.7</v>
      </c>
      <c r="F86">
        <v>2015</v>
      </c>
      <c r="G86">
        <f t="shared" si="14"/>
        <v>10</v>
      </c>
      <c r="H86">
        <f t="shared" si="11"/>
        <v>0.19699645297938143</v>
      </c>
      <c r="I86">
        <v>0.40300000000000002</v>
      </c>
      <c r="J86">
        <v>97</v>
      </c>
      <c r="K86">
        <v>3</v>
      </c>
      <c r="L86">
        <v>270</v>
      </c>
      <c r="M86" s="12">
        <f t="shared" si="15"/>
        <v>6.5302343936490675E-2</v>
      </c>
      <c r="N86">
        <f t="shared" si="12"/>
        <v>2.6094396443934013E-2</v>
      </c>
      <c r="O86">
        <v>0.25700000000000001</v>
      </c>
      <c r="P86" t="s">
        <v>87</v>
      </c>
      <c r="Q86" t="s">
        <v>371</v>
      </c>
      <c r="R86" cm="1">
        <f t="array" ref="R86">_xlfn.IFS(Q86="PS",3.607,Q86="JEPLMC",6.096,Q86="JPSP",2.579)</f>
        <v>3.6070000000000002</v>
      </c>
      <c r="S86" s="1">
        <f t="shared" si="16"/>
        <v>4.0181340206185618</v>
      </c>
      <c r="T86" t="s">
        <v>103</v>
      </c>
      <c r="U86">
        <v>27</v>
      </c>
      <c r="V86" t="s">
        <v>138</v>
      </c>
      <c r="W86">
        <f t="shared" si="17"/>
        <v>84.030927835051543</v>
      </c>
      <c r="X86" t="s">
        <v>377</v>
      </c>
      <c r="Y86">
        <v>2008</v>
      </c>
      <c r="Z86">
        <f>2025-AVERAGE($Y$2:$Y$98)</f>
        <v>17</v>
      </c>
      <c r="AA86">
        <v>5.0000000000000001E-3</v>
      </c>
      <c r="AB86">
        <v>0</v>
      </c>
      <c r="AC86">
        <v>0.49636358800000002</v>
      </c>
      <c r="AD86" s="3">
        <v>0.50515126799999999</v>
      </c>
      <c r="AE86">
        <v>1</v>
      </c>
      <c r="AF86" t="s">
        <v>138</v>
      </c>
      <c r="AG86">
        <v>4</v>
      </c>
      <c r="AH86">
        <v>2</v>
      </c>
      <c r="AI86">
        <f t="shared" si="18"/>
        <v>2.865979381443299</v>
      </c>
      <c r="AJ86">
        <f t="shared" si="19"/>
        <v>2.1855670103092781</v>
      </c>
      <c r="AK86" t="s">
        <v>112</v>
      </c>
      <c r="AL86">
        <v>37</v>
      </c>
      <c r="AM86" t="s">
        <v>115</v>
      </c>
      <c r="AN86" t="s">
        <v>111</v>
      </c>
      <c r="AO86">
        <v>12.872</v>
      </c>
      <c r="AR86" s="1"/>
      <c r="AY86" s="1"/>
      <c r="BE86" s="1"/>
      <c r="BW86" s="1"/>
    </row>
    <row r="87" spans="1:75" ht="15.6">
      <c r="A87">
        <v>1</v>
      </c>
      <c r="B87" t="s">
        <v>4</v>
      </c>
      <c r="C87" t="s">
        <v>3</v>
      </c>
      <c r="D87" s="3">
        <f t="shared" si="13"/>
        <v>36.082474226804123</v>
      </c>
      <c r="E87" s="3">
        <v>47.7</v>
      </c>
      <c r="F87">
        <v>2015</v>
      </c>
      <c r="G87">
        <f t="shared" si="14"/>
        <v>10</v>
      </c>
      <c r="H87">
        <f t="shared" si="11"/>
        <v>0.19699645297938143</v>
      </c>
      <c r="I87">
        <v>0.40300000000000002</v>
      </c>
      <c r="J87">
        <v>97</v>
      </c>
      <c r="K87">
        <v>3</v>
      </c>
      <c r="L87">
        <v>270</v>
      </c>
      <c r="M87" s="12">
        <f t="shared" si="15"/>
        <v>6.5302343936490675E-2</v>
      </c>
      <c r="N87">
        <f t="shared" si="12"/>
        <v>2.6094396443934013E-2</v>
      </c>
      <c r="O87">
        <v>0.25700000000000001</v>
      </c>
      <c r="P87" t="s">
        <v>88</v>
      </c>
      <c r="Q87" t="s">
        <v>372</v>
      </c>
      <c r="R87" cm="1">
        <f t="array" ref="R87">_xlfn.IFS(Q87="PS",3.607,Q87="JEPLMC",6.096,Q87="JPSP",2.579)</f>
        <v>6.0960000000000001</v>
      </c>
      <c r="S87">
        <f t="shared" si="16"/>
        <v>4.0181340206185618</v>
      </c>
      <c r="T87" t="s">
        <v>103</v>
      </c>
      <c r="U87">
        <v>11</v>
      </c>
      <c r="V87" t="s">
        <v>138</v>
      </c>
      <c r="W87">
        <f t="shared" si="17"/>
        <v>84.030927835051543</v>
      </c>
      <c r="X87" t="s">
        <v>377</v>
      </c>
      <c r="Y87">
        <v>2008</v>
      </c>
      <c r="Z87">
        <f>2025-AVERAGE($Y$2:$Y$98)</f>
        <v>17</v>
      </c>
      <c r="AA87" t="s">
        <v>392</v>
      </c>
      <c r="AB87">
        <v>1E-4</v>
      </c>
      <c r="AC87">
        <v>0.52450216999999999</v>
      </c>
      <c r="AD87" s="3">
        <v>0.52453903400000002</v>
      </c>
      <c r="AE87">
        <v>1</v>
      </c>
      <c r="AF87" t="s">
        <v>138</v>
      </c>
      <c r="AG87">
        <v>2</v>
      </c>
      <c r="AH87">
        <v>1</v>
      </c>
      <c r="AI87">
        <f t="shared" si="18"/>
        <v>2.865979381443299</v>
      </c>
      <c r="AJ87">
        <f t="shared" si="19"/>
        <v>2.1855670103092781</v>
      </c>
      <c r="AK87" t="s">
        <v>112</v>
      </c>
      <c r="AL87">
        <v>37</v>
      </c>
      <c r="AM87" t="s">
        <v>115</v>
      </c>
      <c r="AN87" t="s">
        <v>111</v>
      </c>
      <c r="AO87">
        <v>12.872</v>
      </c>
      <c r="BE87" s="1"/>
    </row>
    <row r="88" spans="1:75" ht="15.6">
      <c r="A88">
        <v>1</v>
      </c>
      <c r="B88" t="s">
        <v>4</v>
      </c>
      <c r="C88" t="s">
        <v>3</v>
      </c>
      <c r="D88" s="3">
        <f t="shared" si="13"/>
        <v>36.082474226804123</v>
      </c>
      <c r="E88" s="3">
        <v>47.7</v>
      </c>
      <c r="F88">
        <v>2015</v>
      </c>
      <c r="G88">
        <f t="shared" si="14"/>
        <v>10</v>
      </c>
      <c r="H88">
        <f t="shared" si="11"/>
        <v>0.19699645297938143</v>
      </c>
      <c r="I88">
        <v>0.40300000000000002</v>
      </c>
      <c r="J88">
        <v>97</v>
      </c>
      <c r="K88">
        <v>3</v>
      </c>
      <c r="L88">
        <v>270</v>
      </c>
      <c r="M88" s="12">
        <f t="shared" si="15"/>
        <v>6.5302343936490675E-2</v>
      </c>
      <c r="N88">
        <f t="shared" si="12"/>
        <v>2.6094396443934013E-2</v>
      </c>
      <c r="O88">
        <v>0.25700000000000001</v>
      </c>
      <c r="P88" t="s">
        <v>89</v>
      </c>
      <c r="Q88" t="s">
        <v>371</v>
      </c>
      <c r="R88" cm="1">
        <f t="array" ref="R88">_xlfn.IFS(Q88="PS",3.607,Q88="JEPLMC",6.096,Q88="JPSP",2.579)</f>
        <v>3.6070000000000002</v>
      </c>
      <c r="S88">
        <f t="shared" si="16"/>
        <v>4.0181340206185618</v>
      </c>
      <c r="T88" t="s">
        <v>103</v>
      </c>
      <c r="U88">
        <v>47</v>
      </c>
      <c r="V88" t="s">
        <v>138</v>
      </c>
      <c r="W88">
        <f t="shared" si="17"/>
        <v>84.030927835051543</v>
      </c>
      <c r="X88" t="s">
        <v>377</v>
      </c>
      <c r="Y88">
        <v>2008</v>
      </c>
      <c r="Z88">
        <f>2025-AVERAGE($Y$2:$Y$98)</f>
        <v>17</v>
      </c>
      <c r="AA88">
        <v>3.0000000000000001E-5</v>
      </c>
      <c r="AB88">
        <v>4.7099999999999998E-3</v>
      </c>
      <c r="AC88">
        <v>0.68534734799999997</v>
      </c>
      <c r="AD88" s="3">
        <v>0.52730786900000004</v>
      </c>
      <c r="AE88">
        <v>1</v>
      </c>
      <c r="AF88" t="s">
        <v>138</v>
      </c>
      <c r="AG88">
        <v>3</v>
      </c>
      <c r="AH88">
        <v>2</v>
      </c>
      <c r="AI88">
        <f t="shared" si="18"/>
        <v>2.865979381443299</v>
      </c>
      <c r="AJ88">
        <f t="shared" si="19"/>
        <v>2.1855670103092781</v>
      </c>
      <c r="AK88" t="s">
        <v>112</v>
      </c>
      <c r="AL88">
        <v>37</v>
      </c>
      <c r="AM88" t="s">
        <v>115</v>
      </c>
      <c r="AN88" t="s">
        <v>111</v>
      </c>
      <c r="AO88">
        <v>12.872</v>
      </c>
      <c r="BE88" s="1"/>
    </row>
    <row r="89" spans="1:75" ht="15.6">
      <c r="A89">
        <v>1</v>
      </c>
      <c r="B89" t="s">
        <v>4</v>
      </c>
      <c r="C89" t="s">
        <v>3</v>
      </c>
      <c r="D89" s="3">
        <f t="shared" si="13"/>
        <v>36.082474226804123</v>
      </c>
      <c r="E89" s="3">
        <v>47.7</v>
      </c>
      <c r="F89">
        <v>2015</v>
      </c>
      <c r="G89">
        <f t="shared" si="14"/>
        <v>10</v>
      </c>
      <c r="H89">
        <f t="shared" si="11"/>
        <v>0.19699645297938143</v>
      </c>
      <c r="I89">
        <v>0.40300000000000002</v>
      </c>
      <c r="J89">
        <v>97</v>
      </c>
      <c r="K89">
        <v>3</v>
      </c>
      <c r="L89">
        <v>270</v>
      </c>
      <c r="M89" s="12">
        <f t="shared" si="15"/>
        <v>6.5302343936490675E-2</v>
      </c>
      <c r="N89">
        <f t="shared" si="12"/>
        <v>2.6094396443934013E-2</v>
      </c>
      <c r="O89">
        <v>0.25700000000000001</v>
      </c>
      <c r="P89" t="s">
        <v>90</v>
      </c>
      <c r="Q89" t="s">
        <v>371</v>
      </c>
      <c r="R89" cm="1">
        <f t="array" ref="R89">_xlfn.IFS(Q89="PS",3.607,Q89="JEPLMC",6.096,Q89="JPSP",2.579)</f>
        <v>3.6070000000000002</v>
      </c>
      <c r="S89" s="1">
        <f t="shared" si="16"/>
        <v>4.0181340206185618</v>
      </c>
      <c r="T89" t="s">
        <v>103</v>
      </c>
      <c r="U89">
        <v>138</v>
      </c>
      <c r="V89" t="s">
        <v>138</v>
      </c>
      <c r="W89">
        <f t="shared" si="17"/>
        <v>84.030927835051543</v>
      </c>
      <c r="X89" t="s">
        <v>377</v>
      </c>
      <c r="Y89">
        <v>2008</v>
      </c>
      <c r="Z89">
        <f>2025-AVERAGE($Y$2:$Y$98)</f>
        <v>17</v>
      </c>
      <c r="AA89" t="s">
        <v>392</v>
      </c>
      <c r="AB89" t="s">
        <v>385</v>
      </c>
      <c r="AC89">
        <v>0.59340577800000005</v>
      </c>
      <c r="AD89" s="3">
        <v>0.60991378200000002</v>
      </c>
      <c r="AE89">
        <v>1</v>
      </c>
      <c r="AF89" t="s">
        <v>138</v>
      </c>
      <c r="AG89">
        <v>3</v>
      </c>
      <c r="AH89">
        <v>1</v>
      </c>
      <c r="AI89">
        <f t="shared" si="18"/>
        <v>2.865979381443299</v>
      </c>
      <c r="AJ89">
        <f t="shared" si="19"/>
        <v>2.1855670103092781</v>
      </c>
      <c r="AK89" t="s">
        <v>112</v>
      </c>
      <c r="AL89">
        <v>37</v>
      </c>
      <c r="AM89" t="s">
        <v>115</v>
      </c>
      <c r="AN89" t="s">
        <v>111</v>
      </c>
      <c r="AO89">
        <v>12.872</v>
      </c>
      <c r="AR89" s="1"/>
      <c r="AY89" s="1"/>
      <c r="BW89" s="1"/>
    </row>
    <row r="90" spans="1:75" ht="15.6">
      <c r="A90">
        <v>1</v>
      </c>
      <c r="B90" t="s">
        <v>4</v>
      </c>
      <c r="C90" t="s">
        <v>3</v>
      </c>
      <c r="D90" s="3">
        <f t="shared" si="13"/>
        <v>36.082474226804123</v>
      </c>
      <c r="E90" s="3">
        <v>47.7</v>
      </c>
      <c r="F90">
        <v>2015</v>
      </c>
      <c r="G90">
        <f t="shared" si="14"/>
        <v>10</v>
      </c>
      <c r="H90">
        <f t="shared" si="11"/>
        <v>0.19699645297938143</v>
      </c>
      <c r="I90">
        <v>0.40300000000000002</v>
      </c>
      <c r="J90">
        <v>97</v>
      </c>
      <c r="K90">
        <v>3</v>
      </c>
      <c r="L90">
        <v>270</v>
      </c>
      <c r="M90" s="12">
        <f t="shared" si="15"/>
        <v>6.5302343936490675E-2</v>
      </c>
      <c r="N90">
        <f t="shared" si="12"/>
        <v>2.6094396443934013E-2</v>
      </c>
      <c r="O90">
        <v>0.25700000000000001</v>
      </c>
      <c r="P90" t="s">
        <v>91</v>
      </c>
      <c r="Q90" t="s">
        <v>371</v>
      </c>
      <c r="R90" cm="1">
        <f t="array" ref="R90">_xlfn.IFS(Q90="PS",3.607,Q90="JEPLMC",6.096,Q90="JPSP",2.579)</f>
        <v>3.6070000000000002</v>
      </c>
      <c r="S90">
        <f t="shared" si="16"/>
        <v>4.0181340206185618</v>
      </c>
      <c r="T90" t="s">
        <v>103</v>
      </c>
      <c r="U90">
        <v>248</v>
      </c>
      <c r="V90" t="s">
        <v>138</v>
      </c>
      <c r="W90">
        <f t="shared" si="17"/>
        <v>84.030927835051543</v>
      </c>
      <c r="X90" t="s">
        <v>377</v>
      </c>
      <c r="Y90">
        <v>2008</v>
      </c>
      <c r="Z90">
        <f>2025-AVERAGE($Y$2:$Y$98)</f>
        <v>17</v>
      </c>
      <c r="AA90" t="s">
        <v>404</v>
      </c>
      <c r="AB90">
        <v>1E-4</v>
      </c>
      <c r="AC90">
        <v>0.57069358400000003</v>
      </c>
      <c r="AD90" s="3">
        <v>0.65273042800000003</v>
      </c>
      <c r="AE90">
        <v>1</v>
      </c>
      <c r="AF90" t="s">
        <v>138</v>
      </c>
      <c r="AG90">
        <v>3</v>
      </c>
      <c r="AH90">
        <v>1</v>
      </c>
      <c r="AI90">
        <f t="shared" si="18"/>
        <v>2.865979381443299</v>
      </c>
      <c r="AJ90">
        <f t="shared" si="19"/>
        <v>2.1855670103092781</v>
      </c>
      <c r="AK90" t="s">
        <v>112</v>
      </c>
      <c r="AL90">
        <v>37</v>
      </c>
      <c r="AM90" t="s">
        <v>115</v>
      </c>
      <c r="AN90" t="s">
        <v>111</v>
      </c>
      <c r="AO90">
        <v>12.872</v>
      </c>
    </row>
    <row r="91" spans="1:75" ht="15.6">
      <c r="A91">
        <v>1</v>
      </c>
      <c r="B91" t="s">
        <v>4</v>
      </c>
      <c r="C91" t="s">
        <v>3</v>
      </c>
      <c r="D91" s="3">
        <f t="shared" si="13"/>
        <v>36.082474226804123</v>
      </c>
      <c r="E91" s="3">
        <v>47.7</v>
      </c>
      <c r="F91">
        <v>2015</v>
      </c>
      <c r="G91">
        <f t="shared" si="14"/>
        <v>10</v>
      </c>
      <c r="H91">
        <f t="shared" si="11"/>
        <v>0.19699645297938143</v>
      </c>
      <c r="I91">
        <v>0.40300000000000002</v>
      </c>
      <c r="J91">
        <v>97</v>
      </c>
      <c r="K91">
        <v>3</v>
      </c>
      <c r="L91">
        <v>270</v>
      </c>
      <c r="M91" s="12">
        <f t="shared" si="15"/>
        <v>6.5302343936490675E-2</v>
      </c>
      <c r="N91">
        <f t="shared" si="12"/>
        <v>2.6094396443934013E-2</v>
      </c>
      <c r="O91">
        <v>0.25700000000000001</v>
      </c>
      <c r="P91" t="s">
        <v>92</v>
      </c>
      <c r="Q91" t="s">
        <v>371</v>
      </c>
      <c r="R91" cm="1">
        <f t="array" ref="R91">_xlfn.IFS(Q91="PS",3.607,Q91="JEPLMC",6.096,Q91="JPSP",2.579)</f>
        <v>3.6070000000000002</v>
      </c>
      <c r="S91">
        <f t="shared" si="16"/>
        <v>4.0181340206185618</v>
      </c>
      <c r="T91" t="s">
        <v>103</v>
      </c>
      <c r="U91">
        <v>126</v>
      </c>
      <c r="V91" t="s">
        <v>138</v>
      </c>
      <c r="W91">
        <f t="shared" si="17"/>
        <v>84.030927835051543</v>
      </c>
      <c r="X91" t="s">
        <v>377</v>
      </c>
      <c r="Y91">
        <v>2008</v>
      </c>
      <c r="Z91">
        <f>2025-AVERAGE($Y$2:$Y$98)</f>
        <v>17</v>
      </c>
      <c r="AA91">
        <v>0</v>
      </c>
      <c r="AB91">
        <v>1E-4</v>
      </c>
      <c r="AC91">
        <v>0.76865199299999998</v>
      </c>
      <c r="AD91" s="3">
        <v>0.65298256700000001</v>
      </c>
      <c r="AE91">
        <v>1</v>
      </c>
      <c r="AF91" t="s">
        <v>138</v>
      </c>
      <c r="AG91">
        <v>3</v>
      </c>
      <c r="AH91">
        <v>3</v>
      </c>
      <c r="AI91">
        <f t="shared" si="18"/>
        <v>2.865979381443299</v>
      </c>
      <c r="AJ91">
        <f t="shared" si="19"/>
        <v>2.1855670103092781</v>
      </c>
      <c r="AK91" t="s">
        <v>112</v>
      </c>
      <c r="AL91">
        <v>37</v>
      </c>
      <c r="AM91" t="s">
        <v>115</v>
      </c>
      <c r="AN91" t="s">
        <v>111</v>
      </c>
      <c r="AO91">
        <v>12.872</v>
      </c>
    </row>
    <row r="92" spans="1:75" ht="15.6">
      <c r="A92">
        <v>1</v>
      </c>
      <c r="B92" t="s">
        <v>4</v>
      </c>
      <c r="C92" t="s">
        <v>3</v>
      </c>
      <c r="D92" s="3">
        <f t="shared" si="13"/>
        <v>36.082474226804123</v>
      </c>
      <c r="E92" s="3">
        <v>47.7</v>
      </c>
      <c r="F92">
        <v>2015</v>
      </c>
      <c r="G92">
        <f t="shared" si="14"/>
        <v>10</v>
      </c>
      <c r="H92">
        <f t="shared" si="11"/>
        <v>0.19699645297938143</v>
      </c>
      <c r="I92">
        <v>0.40300000000000002</v>
      </c>
      <c r="J92">
        <v>97</v>
      </c>
      <c r="K92">
        <v>3</v>
      </c>
      <c r="L92">
        <v>270</v>
      </c>
      <c r="M92" s="12">
        <f t="shared" si="15"/>
        <v>6.5302343936490675E-2</v>
      </c>
      <c r="N92">
        <f t="shared" si="12"/>
        <v>2.6094396443934013E-2</v>
      </c>
      <c r="O92">
        <v>0.25700000000000001</v>
      </c>
      <c r="P92" t="s">
        <v>93</v>
      </c>
      <c r="Q92" t="s">
        <v>372</v>
      </c>
      <c r="R92" cm="1">
        <f t="array" ref="R92">_xlfn.IFS(Q92="PS",3.607,Q92="JEPLMC",6.096,Q92="JPSP",2.579)</f>
        <v>6.0960000000000001</v>
      </c>
      <c r="S92">
        <f t="shared" si="16"/>
        <v>4.0181340206185618</v>
      </c>
      <c r="T92" t="s">
        <v>103</v>
      </c>
      <c r="U92">
        <v>72</v>
      </c>
      <c r="V92" t="s">
        <v>138</v>
      </c>
      <c r="W92">
        <f t="shared" si="17"/>
        <v>84.030927835051543</v>
      </c>
      <c r="X92" t="s">
        <v>377</v>
      </c>
      <c r="Y92">
        <v>2008</v>
      </c>
      <c r="Z92">
        <f>2025-AVERAGE($Y$2:$Y$98)</f>
        <v>17</v>
      </c>
      <c r="AA92" t="s">
        <v>391</v>
      </c>
      <c r="AB92">
        <v>4.8000000000000001E-4</v>
      </c>
      <c r="AC92">
        <v>0.71392138599999999</v>
      </c>
      <c r="AD92" s="3">
        <v>0.68156053699999997</v>
      </c>
      <c r="AE92">
        <v>1</v>
      </c>
      <c r="AF92" t="s">
        <v>138</v>
      </c>
      <c r="AG92">
        <v>2</v>
      </c>
      <c r="AH92">
        <v>1</v>
      </c>
      <c r="AI92">
        <f t="shared" si="18"/>
        <v>2.865979381443299</v>
      </c>
      <c r="AJ92">
        <f t="shared" si="19"/>
        <v>2.1855670103092781</v>
      </c>
      <c r="AK92" t="s">
        <v>112</v>
      </c>
      <c r="AL92">
        <v>37</v>
      </c>
      <c r="AM92" t="s">
        <v>115</v>
      </c>
      <c r="AN92" t="s">
        <v>111</v>
      </c>
      <c r="AO92">
        <v>12.872</v>
      </c>
      <c r="AR92" s="1"/>
    </row>
    <row r="93" spans="1:75" ht="15.6">
      <c r="A93">
        <v>1</v>
      </c>
      <c r="B93" t="s">
        <v>4</v>
      </c>
      <c r="C93" t="s">
        <v>3</v>
      </c>
      <c r="D93" s="3">
        <f t="shared" si="13"/>
        <v>36.082474226804123</v>
      </c>
      <c r="E93" s="3">
        <v>47.7</v>
      </c>
      <c r="F93">
        <v>2015</v>
      </c>
      <c r="G93">
        <f t="shared" si="14"/>
        <v>10</v>
      </c>
      <c r="H93">
        <f t="shared" si="11"/>
        <v>0.19699645297938143</v>
      </c>
      <c r="I93">
        <v>0.40300000000000002</v>
      </c>
      <c r="J93">
        <v>97</v>
      </c>
      <c r="K93">
        <v>3</v>
      </c>
      <c r="L93">
        <v>270</v>
      </c>
      <c r="M93" s="12">
        <f t="shared" si="15"/>
        <v>6.5302343936490675E-2</v>
      </c>
      <c r="N93">
        <f t="shared" si="12"/>
        <v>2.6094396443934013E-2</v>
      </c>
      <c r="O93">
        <v>0.25700000000000001</v>
      </c>
      <c r="P93" t="s">
        <v>94</v>
      </c>
      <c r="Q93" t="s">
        <v>372</v>
      </c>
      <c r="R93" cm="1">
        <f t="array" ref="R93">_xlfn.IFS(Q93="PS",3.607,Q93="JEPLMC",6.096,Q93="JPSP",2.579)</f>
        <v>6.0960000000000001</v>
      </c>
      <c r="S93">
        <f t="shared" si="16"/>
        <v>4.0181340206185618</v>
      </c>
      <c r="T93" t="s">
        <v>103</v>
      </c>
      <c r="U93">
        <v>61</v>
      </c>
      <c r="V93" t="s">
        <v>138</v>
      </c>
      <c r="W93">
        <f t="shared" si="17"/>
        <v>84.030927835051543</v>
      </c>
      <c r="X93" t="s">
        <v>377</v>
      </c>
      <c r="Y93">
        <v>2008</v>
      </c>
      <c r="Z93">
        <f>2025-AVERAGE($Y$2:$Y$98)</f>
        <v>17</v>
      </c>
      <c r="AA93">
        <v>2.3E-2</v>
      </c>
      <c r="AB93">
        <v>2E-3</v>
      </c>
      <c r="AC93">
        <v>0.73782079</v>
      </c>
      <c r="AD93" s="3">
        <v>0.70390490400000005</v>
      </c>
      <c r="AE93">
        <v>1</v>
      </c>
      <c r="AF93" t="s">
        <v>138</v>
      </c>
      <c r="AG93">
        <v>4</v>
      </c>
      <c r="AH93">
        <v>2</v>
      </c>
      <c r="AI93">
        <f t="shared" si="18"/>
        <v>2.865979381443299</v>
      </c>
      <c r="AJ93">
        <f t="shared" si="19"/>
        <v>2.1855670103092781</v>
      </c>
      <c r="AK93" t="s">
        <v>112</v>
      </c>
      <c r="AL93">
        <v>37</v>
      </c>
      <c r="AM93" t="s">
        <v>115</v>
      </c>
      <c r="AN93" t="s">
        <v>111</v>
      </c>
      <c r="AO93">
        <v>12.872</v>
      </c>
    </row>
    <row r="94" spans="1:75" ht="15.6">
      <c r="A94">
        <v>1</v>
      </c>
      <c r="B94" t="s">
        <v>4</v>
      </c>
      <c r="C94" t="s">
        <v>3</v>
      </c>
      <c r="D94" s="3">
        <f t="shared" si="13"/>
        <v>36.082474226804123</v>
      </c>
      <c r="E94" s="3">
        <v>47.7</v>
      </c>
      <c r="F94">
        <v>2015</v>
      </c>
      <c r="G94">
        <f t="shared" si="14"/>
        <v>10</v>
      </c>
      <c r="H94">
        <f t="shared" si="11"/>
        <v>0.19699645297938143</v>
      </c>
      <c r="I94">
        <v>0.40300000000000002</v>
      </c>
      <c r="J94">
        <v>97</v>
      </c>
      <c r="K94">
        <v>3</v>
      </c>
      <c r="L94">
        <v>270</v>
      </c>
      <c r="M94" s="12">
        <f t="shared" si="15"/>
        <v>6.5302343936490675E-2</v>
      </c>
      <c r="N94">
        <f t="shared" si="12"/>
        <v>2.6094396443934013E-2</v>
      </c>
      <c r="O94">
        <v>0.25700000000000001</v>
      </c>
      <c r="P94" t="s">
        <v>95</v>
      </c>
      <c r="Q94" t="s">
        <v>371</v>
      </c>
      <c r="R94" cm="1">
        <f t="array" ref="R94">_xlfn.IFS(Q94="PS",3.607,Q94="JEPLMC",6.096,Q94="JPSP",2.579)</f>
        <v>3.6070000000000002</v>
      </c>
      <c r="S94">
        <f t="shared" si="16"/>
        <v>4.0181340206185618</v>
      </c>
      <c r="T94" t="s">
        <v>103</v>
      </c>
      <c r="U94">
        <v>103</v>
      </c>
      <c r="V94" t="s">
        <v>138</v>
      </c>
      <c r="W94">
        <f t="shared" si="17"/>
        <v>84.030927835051543</v>
      </c>
      <c r="X94" t="s">
        <v>377</v>
      </c>
      <c r="Y94">
        <v>2008</v>
      </c>
      <c r="Z94">
        <f>2025-AVERAGE($Y$2:$Y$98)</f>
        <v>17</v>
      </c>
      <c r="AA94" t="s">
        <v>389</v>
      </c>
      <c r="AB94">
        <v>0.01</v>
      </c>
      <c r="AC94">
        <v>0.70108874200000004</v>
      </c>
      <c r="AD94" s="3">
        <v>0.75040442200000002</v>
      </c>
      <c r="AE94">
        <v>1</v>
      </c>
      <c r="AF94" t="s">
        <v>138</v>
      </c>
      <c r="AG94">
        <v>3</v>
      </c>
      <c r="AH94">
        <v>3</v>
      </c>
      <c r="AI94">
        <f t="shared" si="18"/>
        <v>2.865979381443299</v>
      </c>
      <c r="AJ94">
        <f t="shared" si="19"/>
        <v>2.1855670103092781</v>
      </c>
      <c r="AK94" t="s">
        <v>112</v>
      </c>
      <c r="AL94">
        <v>37</v>
      </c>
      <c r="AM94" t="s">
        <v>115</v>
      </c>
      <c r="AN94" t="s">
        <v>111</v>
      </c>
      <c r="AO94">
        <v>12.872</v>
      </c>
    </row>
    <row r="95" spans="1:75" ht="15.6">
      <c r="A95">
        <v>1</v>
      </c>
      <c r="B95" t="s">
        <v>4</v>
      </c>
      <c r="C95" t="s">
        <v>3</v>
      </c>
      <c r="D95" s="3">
        <f t="shared" si="13"/>
        <v>36.082474226804123</v>
      </c>
      <c r="E95" s="3">
        <v>47.7</v>
      </c>
      <c r="F95">
        <v>2015</v>
      </c>
      <c r="G95">
        <f t="shared" si="14"/>
        <v>10</v>
      </c>
      <c r="H95">
        <f t="shared" si="11"/>
        <v>0.19699645297938143</v>
      </c>
      <c r="I95">
        <v>0.40300000000000002</v>
      </c>
      <c r="J95">
        <v>97</v>
      </c>
      <c r="K95">
        <v>3</v>
      </c>
      <c r="L95">
        <v>270</v>
      </c>
      <c r="M95" s="12">
        <f t="shared" si="15"/>
        <v>6.5302343936490675E-2</v>
      </c>
      <c r="N95">
        <f t="shared" si="12"/>
        <v>2.6094396443934013E-2</v>
      </c>
      <c r="O95">
        <v>0.25700000000000001</v>
      </c>
      <c r="P95" t="s">
        <v>96</v>
      </c>
      <c r="Q95" t="s">
        <v>371</v>
      </c>
      <c r="R95" cm="1">
        <f t="array" ref="R95">_xlfn.IFS(Q95="PS",3.607,Q95="JEPLMC",6.096,Q95="JPSP",2.579)</f>
        <v>3.6070000000000002</v>
      </c>
      <c r="S95">
        <f t="shared" si="16"/>
        <v>4.0181340206185618</v>
      </c>
      <c r="T95" t="s">
        <v>103</v>
      </c>
      <c r="U95">
        <v>32</v>
      </c>
      <c r="V95" t="s">
        <v>138</v>
      </c>
      <c r="W95">
        <f t="shared" si="17"/>
        <v>84.030927835051543</v>
      </c>
      <c r="X95" t="s">
        <v>377</v>
      </c>
      <c r="Y95">
        <v>2008</v>
      </c>
      <c r="Z95">
        <f>2025-AVERAGE($Y$2:$Y$98)</f>
        <v>17</v>
      </c>
      <c r="AA95" t="s">
        <v>386</v>
      </c>
      <c r="AB95">
        <v>9.9999999999999998E-13</v>
      </c>
      <c r="AC95">
        <v>0.68115218200000005</v>
      </c>
      <c r="AD95" s="3">
        <v>0.76350878899999997</v>
      </c>
      <c r="AE95">
        <v>1</v>
      </c>
      <c r="AF95" t="s">
        <v>138</v>
      </c>
      <c r="AG95">
        <v>3</v>
      </c>
      <c r="AH95">
        <v>4</v>
      </c>
      <c r="AI95">
        <f t="shared" si="18"/>
        <v>2.865979381443299</v>
      </c>
      <c r="AJ95">
        <f t="shared" si="19"/>
        <v>2.1855670103092781</v>
      </c>
      <c r="AK95" t="s">
        <v>112</v>
      </c>
      <c r="AL95">
        <v>37</v>
      </c>
      <c r="AM95" t="s">
        <v>115</v>
      </c>
      <c r="AN95" t="s">
        <v>111</v>
      </c>
      <c r="AO95">
        <v>12.872</v>
      </c>
    </row>
    <row r="96" spans="1:75" ht="15.6">
      <c r="A96">
        <v>1</v>
      </c>
      <c r="B96" t="s">
        <v>4</v>
      </c>
      <c r="C96" t="s">
        <v>3</v>
      </c>
      <c r="D96" s="3">
        <f t="shared" si="13"/>
        <v>36.082474226804123</v>
      </c>
      <c r="E96" s="3">
        <v>47.7</v>
      </c>
      <c r="F96">
        <v>2015</v>
      </c>
      <c r="G96">
        <f t="shared" si="14"/>
        <v>10</v>
      </c>
      <c r="H96">
        <f t="shared" si="11"/>
        <v>0.19699645297938143</v>
      </c>
      <c r="I96">
        <v>0.40300000000000002</v>
      </c>
      <c r="J96">
        <v>97</v>
      </c>
      <c r="K96">
        <v>3</v>
      </c>
      <c r="L96">
        <v>270</v>
      </c>
      <c r="M96" s="12">
        <f t="shared" si="15"/>
        <v>6.5302343936490675E-2</v>
      </c>
      <c r="N96">
        <f t="shared" si="12"/>
        <v>2.6094396443934013E-2</v>
      </c>
      <c r="O96">
        <v>0.25700000000000001</v>
      </c>
      <c r="P96" t="s">
        <v>97</v>
      </c>
      <c r="Q96" t="s">
        <v>372</v>
      </c>
      <c r="R96" cm="1">
        <f t="array" ref="R96">_xlfn.IFS(Q96="PS",3.607,Q96="JEPLMC",6.096,Q96="JPSP",2.579)</f>
        <v>6.0960000000000001</v>
      </c>
      <c r="S96">
        <f t="shared" si="16"/>
        <v>4.0181340206185618</v>
      </c>
      <c r="T96" t="s">
        <v>103</v>
      </c>
      <c r="U96">
        <v>51</v>
      </c>
      <c r="V96" t="s">
        <v>138</v>
      </c>
      <c r="W96">
        <f t="shared" si="17"/>
        <v>84.030927835051543</v>
      </c>
      <c r="X96" t="s">
        <v>377</v>
      </c>
      <c r="Y96">
        <v>2008</v>
      </c>
      <c r="Z96">
        <f>2025-AVERAGE($Y$2:$Y$98)</f>
        <v>17</v>
      </c>
      <c r="AA96" t="s">
        <v>392</v>
      </c>
      <c r="AB96">
        <v>1E-3</v>
      </c>
      <c r="AC96">
        <v>0.69858671900000002</v>
      </c>
      <c r="AD96" s="3">
        <v>0.78072580700000005</v>
      </c>
      <c r="AE96">
        <v>1</v>
      </c>
      <c r="AF96" t="s">
        <v>138</v>
      </c>
      <c r="AG96">
        <v>2</v>
      </c>
      <c r="AH96">
        <v>1</v>
      </c>
      <c r="AI96">
        <f t="shared" si="18"/>
        <v>2.865979381443299</v>
      </c>
      <c r="AJ96">
        <f t="shared" si="19"/>
        <v>2.1855670103092781</v>
      </c>
      <c r="AK96" t="s">
        <v>112</v>
      </c>
      <c r="AL96">
        <v>37</v>
      </c>
      <c r="AM96" t="s">
        <v>115</v>
      </c>
      <c r="AN96" t="s">
        <v>111</v>
      </c>
      <c r="AO96">
        <v>12.872</v>
      </c>
      <c r="AR96" s="1"/>
    </row>
    <row r="97" spans="1:51" ht="15.6">
      <c r="A97">
        <v>1</v>
      </c>
      <c r="B97" t="s">
        <v>4</v>
      </c>
      <c r="C97" t="s">
        <v>3</v>
      </c>
      <c r="D97" s="3">
        <f t="shared" si="13"/>
        <v>36.082474226804123</v>
      </c>
      <c r="E97" s="3">
        <v>47.7</v>
      </c>
      <c r="F97">
        <v>2015</v>
      </c>
      <c r="G97">
        <f t="shared" si="14"/>
        <v>10</v>
      </c>
      <c r="H97">
        <f t="shared" si="11"/>
        <v>0.19699645297938143</v>
      </c>
      <c r="I97">
        <v>0.40300000000000002</v>
      </c>
      <c r="J97">
        <v>97</v>
      </c>
      <c r="K97">
        <v>3</v>
      </c>
      <c r="L97">
        <v>270</v>
      </c>
      <c r="M97" s="12">
        <f t="shared" si="15"/>
        <v>6.5302343936490675E-2</v>
      </c>
      <c r="N97">
        <f t="shared" si="12"/>
        <v>2.6094396443934013E-2</v>
      </c>
      <c r="O97">
        <v>0.25700000000000001</v>
      </c>
      <c r="P97" t="s">
        <v>98</v>
      </c>
      <c r="Q97" t="s">
        <v>371</v>
      </c>
      <c r="R97" cm="1">
        <f t="array" ref="R97">_xlfn.IFS(Q97="PS",3.607,Q97="JEPLMC",6.096,Q97="JPSP",2.579)</f>
        <v>3.6070000000000002</v>
      </c>
      <c r="S97">
        <f t="shared" si="16"/>
        <v>4.0181340206185618</v>
      </c>
      <c r="T97" t="s">
        <v>103</v>
      </c>
      <c r="U97">
        <v>274</v>
      </c>
      <c r="V97" t="s">
        <v>138</v>
      </c>
      <c r="W97">
        <f t="shared" si="17"/>
        <v>84.030927835051543</v>
      </c>
      <c r="X97" t="s">
        <v>377</v>
      </c>
      <c r="Y97">
        <v>2008</v>
      </c>
      <c r="Z97">
        <f>2025-AVERAGE($Y$2:$Y$98)</f>
        <v>17</v>
      </c>
      <c r="AA97" t="s">
        <v>404</v>
      </c>
      <c r="AB97" t="s">
        <v>386</v>
      </c>
      <c r="AC97">
        <v>0.85167935400000006</v>
      </c>
      <c r="AD97" s="3">
        <v>0.82899768500000004</v>
      </c>
      <c r="AE97">
        <v>1</v>
      </c>
      <c r="AF97" t="s">
        <v>138</v>
      </c>
      <c r="AG97">
        <v>3</v>
      </c>
      <c r="AH97">
        <v>3</v>
      </c>
      <c r="AI97">
        <f t="shared" si="18"/>
        <v>2.865979381443299</v>
      </c>
      <c r="AJ97">
        <f t="shared" si="19"/>
        <v>2.1855670103092781</v>
      </c>
      <c r="AK97" t="s">
        <v>112</v>
      </c>
      <c r="AL97">
        <v>37</v>
      </c>
      <c r="AM97" t="s">
        <v>115</v>
      </c>
      <c r="AN97" t="s">
        <v>111</v>
      </c>
      <c r="AO97">
        <v>12.872</v>
      </c>
      <c r="AY97" s="1"/>
    </row>
    <row r="98" spans="1:51" ht="15.6">
      <c r="A98">
        <v>1</v>
      </c>
      <c r="B98" t="s">
        <v>4</v>
      </c>
      <c r="C98" t="s">
        <v>3</v>
      </c>
      <c r="D98" s="3">
        <f t="shared" si="13"/>
        <v>36.082474226804123</v>
      </c>
      <c r="E98" s="3">
        <v>47.7</v>
      </c>
      <c r="F98">
        <v>2015</v>
      </c>
      <c r="G98">
        <f t="shared" si="14"/>
        <v>10</v>
      </c>
      <c r="H98">
        <f t="shared" si="11"/>
        <v>0.19699645297938143</v>
      </c>
      <c r="I98">
        <v>0.40300000000000002</v>
      </c>
      <c r="J98">
        <v>97</v>
      </c>
      <c r="K98">
        <v>3</v>
      </c>
      <c r="L98">
        <v>270</v>
      </c>
      <c r="M98" s="12">
        <f t="shared" si="15"/>
        <v>6.5302343936490675E-2</v>
      </c>
      <c r="N98">
        <f t="shared" si="12"/>
        <v>2.6094396443934013E-2</v>
      </c>
      <c r="O98">
        <v>0.25700000000000001</v>
      </c>
      <c r="P98" t="s">
        <v>99</v>
      </c>
      <c r="Q98" t="s">
        <v>371</v>
      </c>
      <c r="R98" cm="1">
        <f t="array" ref="R98">_xlfn.IFS(Q98="PS",3.607,Q98="JEPLMC",6.096,Q98="JPSP",2.579)</f>
        <v>3.6070000000000002</v>
      </c>
      <c r="S98">
        <f t="shared" si="16"/>
        <v>4.0181340206185618</v>
      </c>
      <c r="T98" t="s">
        <v>103</v>
      </c>
      <c r="U98">
        <v>134</v>
      </c>
      <c r="V98" t="s">
        <v>138</v>
      </c>
      <c r="W98">
        <f t="shared" si="17"/>
        <v>84.030927835051543</v>
      </c>
      <c r="X98" t="s">
        <v>377</v>
      </c>
      <c r="Y98">
        <v>2008</v>
      </c>
      <c r="Z98">
        <f>2025-AVERAGE($Y$2:$Y$98)</f>
        <v>17</v>
      </c>
      <c r="AA98">
        <v>2.8000000000000001E-2</v>
      </c>
      <c r="AB98">
        <v>1E-4</v>
      </c>
      <c r="AC98">
        <v>0.72189003200000001</v>
      </c>
      <c r="AD98" s="3">
        <v>0.92293449400000005</v>
      </c>
      <c r="AE98">
        <v>1</v>
      </c>
      <c r="AF98" t="s">
        <v>138</v>
      </c>
      <c r="AG98">
        <v>2</v>
      </c>
      <c r="AH98">
        <v>2</v>
      </c>
      <c r="AI98">
        <f t="shared" si="18"/>
        <v>2.865979381443299</v>
      </c>
      <c r="AJ98">
        <f t="shared" si="19"/>
        <v>2.1855670103092781</v>
      </c>
      <c r="AK98" t="s">
        <v>112</v>
      </c>
      <c r="AL98">
        <v>37</v>
      </c>
      <c r="AM98" t="s">
        <v>115</v>
      </c>
      <c r="AN98" t="s">
        <v>111</v>
      </c>
      <c r="AO98">
        <v>12.872</v>
      </c>
    </row>
    <row r="99" spans="1:51" ht="15.6">
      <c r="A99">
        <v>2</v>
      </c>
      <c r="B99" t="s">
        <v>118</v>
      </c>
      <c r="C99" t="s">
        <v>119</v>
      </c>
      <c r="D99" s="3">
        <f>100*(11/18)</f>
        <v>61.111111111111114</v>
      </c>
      <c r="E99" s="3">
        <f>100*(12/18)</f>
        <v>66.666666666666657</v>
      </c>
      <c r="F99">
        <v>2016</v>
      </c>
      <c r="G99">
        <f t="shared" si="14"/>
        <v>9</v>
      </c>
      <c r="H99">
        <f>AVERAGE($AD$99:$AD$116)</f>
        <v>0.27722222222222226</v>
      </c>
      <c r="I99">
        <v>0.47399999999999998</v>
      </c>
      <c r="J99">
        <f>COUNTA($C$99:$C$116)</f>
        <v>18</v>
      </c>
      <c r="K99">
        <v>2</v>
      </c>
      <c r="L99">
        <v>18</v>
      </c>
      <c r="M99" s="12">
        <f>_xlfn.VAR.P($AD$99:$AD$116)</f>
        <v>5.2286728395061724E-2</v>
      </c>
      <c r="N99">
        <f t="shared" ref="N99:N116" si="20">$O$99/SQRT($J$99)</f>
        <v>5.5154328932550713E-2</v>
      </c>
      <c r="O99">
        <v>0.23400000000000001</v>
      </c>
      <c r="P99" t="s">
        <v>120</v>
      </c>
      <c r="Q99" t="s">
        <v>378</v>
      </c>
      <c r="R99">
        <v>9.2360000000000007</v>
      </c>
      <c r="S99">
        <f>AVERAGE($R$99:$R$116)</f>
        <v>11.202222222222222</v>
      </c>
      <c r="T99" t="s">
        <v>101</v>
      </c>
      <c r="U99">
        <v>28</v>
      </c>
      <c r="V99" t="s">
        <v>138</v>
      </c>
      <c r="W99">
        <f>AVERAGE($U$99:$U$116)</f>
        <v>36.777777777777779</v>
      </c>
      <c r="X99" t="s">
        <v>380</v>
      </c>
      <c r="Y99">
        <v>2011</v>
      </c>
      <c r="Z99">
        <f>2025-AVERAGE($Y$99:$Y$116)</f>
        <v>13.055555555555657</v>
      </c>
      <c r="AA99">
        <v>4.5999999999999999E-2</v>
      </c>
      <c r="AB99">
        <v>0.16</v>
      </c>
      <c r="AC99">
        <v>0.18</v>
      </c>
      <c r="AD99" s="3">
        <v>0.08</v>
      </c>
      <c r="AE99">
        <v>1</v>
      </c>
      <c r="AF99" t="s">
        <v>138</v>
      </c>
      <c r="AG99">
        <v>4</v>
      </c>
      <c r="AH99">
        <v>4</v>
      </c>
      <c r="AI99">
        <f>AVERAGE($AG$99:$AG$116)</f>
        <v>2.7222222222222223</v>
      </c>
      <c r="AJ99">
        <f>AVERAGE($AH$99:$AH$116)</f>
        <v>3.2777777777777777</v>
      </c>
      <c r="AK99" t="s">
        <v>139</v>
      </c>
      <c r="AL99">
        <v>50</v>
      </c>
      <c r="AM99" t="s">
        <v>140</v>
      </c>
      <c r="AN99" t="s">
        <v>111</v>
      </c>
      <c r="AO99">
        <v>13.744999999999999</v>
      </c>
    </row>
    <row r="100" spans="1:51" ht="15.6">
      <c r="A100">
        <v>2</v>
      </c>
      <c r="B100" t="s">
        <v>118</v>
      </c>
      <c r="C100" t="s">
        <v>119</v>
      </c>
      <c r="D100" s="3">
        <f t="shared" ref="D100:D116" si="21">100*(11/18)</f>
        <v>61.111111111111114</v>
      </c>
      <c r="E100" s="3">
        <f t="shared" ref="E100:E116" si="22">100*(12/18)</f>
        <v>66.666666666666657</v>
      </c>
      <c r="F100">
        <v>2016</v>
      </c>
      <c r="G100">
        <f t="shared" si="14"/>
        <v>9</v>
      </c>
      <c r="H100">
        <f t="shared" ref="H100:H116" si="23">AVERAGE($AD$99:$AD$116)</f>
        <v>0.27722222222222226</v>
      </c>
      <c r="I100">
        <v>0.47399999999999998</v>
      </c>
      <c r="J100">
        <f t="shared" ref="J100:J116" si="24">COUNTA($C$99:$C$116)</f>
        <v>18</v>
      </c>
      <c r="K100">
        <v>2</v>
      </c>
      <c r="L100">
        <v>18</v>
      </c>
      <c r="M100" s="12">
        <f t="shared" ref="M100:M116" si="25">_xlfn.VAR.P($AD$99:$AD$116)</f>
        <v>5.2286728395061724E-2</v>
      </c>
      <c r="N100">
        <f t="shared" si="20"/>
        <v>5.5154328932550713E-2</v>
      </c>
      <c r="O100">
        <v>0.23400000000000001</v>
      </c>
      <c r="P100" t="s">
        <v>121</v>
      </c>
      <c r="Q100" t="s">
        <v>378</v>
      </c>
      <c r="R100">
        <v>8.9770000000000003</v>
      </c>
      <c r="S100">
        <f t="shared" ref="S100:S116" si="26">AVERAGE($R$99:$R$116)</f>
        <v>11.202222222222222</v>
      </c>
      <c r="T100" t="s">
        <v>103</v>
      </c>
      <c r="U100">
        <v>36</v>
      </c>
      <c r="V100" t="s">
        <v>138</v>
      </c>
      <c r="W100">
        <f t="shared" ref="W100:W116" si="27">AVERAGE($U$99:$U$116)</f>
        <v>36.777777777777779</v>
      </c>
      <c r="X100" t="s">
        <v>380</v>
      </c>
      <c r="Y100">
        <v>2012</v>
      </c>
      <c r="Z100">
        <f>2025-AVERAGE($Y$99:$Y$116)</f>
        <v>13.055555555555657</v>
      </c>
      <c r="AA100">
        <v>5.7000000000000002E-2</v>
      </c>
      <c r="AB100">
        <v>1.2E-2</v>
      </c>
      <c r="AC100">
        <v>0.31</v>
      </c>
      <c r="AD100" s="3">
        <v>0.23</v>
      </c>
      <c r="AE100">
        <v>1</v>
      </c>
      <c r="AF100" t="s">
        <v>138</v>
      </c>
      <c r="AG100">
        <v>2</v>
      </c>
      <c r="AH100">
        <v>2</v>
      </c>
      <c r="AI100">
        <f t="shared" ref="AI100:AI116" si="28">AVERAGE($AG$99:$AG$116)</f>
        <v>2.7222222222222223</v>
      </c>
      <c r="AJ100">
        <f t="shared" ref="AJ100:AJ116" si="29">AVERAGE($AH$99:$AH$116)</f>
        <v>3.2777777777777777</v>
      </c>
      <c r="AK100" t="s">
        <v>139</v>
      </c>
      <c r="AL100">
        <v>50</v>
      </c>
      <c r="AM100" t="s">
        <v>140</v>
      </c>
      <c r="AN100" t="s">
        <v>111</v>
      </c>
      <c r="AO100">
        <v>13.744999999999999</v>
      </c>
    </row>
    <row r="101" spans="1:51" ht="15.6">
      <c r="A101">
        <v>2</v>
      </c>
      <c r="B101" t="s">
        <v>118</v>
      </c>
      <c r="C101" t="s">
        <v>119</v>
      </c>
      <c r="D101" s="3">
        <f t="shared" si="21"/>
        <v>61.111111111111114</v>
      </c>
      <c r="E101" s="3">
        <f t="shared" si="22"/>
        <v>66.666666666666657</v>
      </c>
      <c r="F101">
        <v>2016</v>
      </c>
      <c r="G101">
        <f t="shared" si="14"/>
        <v>9</v>
      </c>
      <c r="H101">
        <f t="shared" si="23"/>
        <v>0.27722222222222226</v>
      </c>
      <c r="I101">
        <v>0.47399999999999998</v>
      </c>
      <c r="J101">
        <f t="shared" si="24"/>
        <v>18</v>
      </c>
      <c r="K101">
        <v>2</v>
      </c>
      <c r="L101">
        <v>18</v>
      </c>
      <c r="M101" s="12">
        <f t="shared" si="25"/>
        <v>5.2286728395061724E-2</v>
      </c>
      <c r="N101">
        <f t="shared" si="20"/>
        <v>5.5154328932550713E-2</v>
      </c>
      <c r="O101">
        <v>0.23400000000000001</v>
      </c>
      <c r="P101" t="s">
        <v>122</v>
      </c>
      <c r="Q101" t="s">
        <v>378</v>
      </c>
      <c r="R101">
        <v>8.9770000000000003</v>
      </c>
      <c r="S101">
        <f t="shared" si="26"/>
        <v>11.202222222222222</v>
      </c>
      <c r="T101" t="s">
        <v>103</v>
      </c>
      <c r="U101">
        <v>53</v>
      </c>
      <c r="V101" t="s">
        <v>138</v>
      </c>
      <c r="W101">
        <f t="shared" si="27"/>
        <v>36.777777777777779</v>
      </c>
      <c r="X101" t="s">
        <v>380</v>
      </c>
      <c r="Y101">
        <v>2012</v>
      </c>
      <c r="Z101">
        <f>2025-AVERAGE($Y$99:$Y$116)</f>
        <v>13.055555555555657</v>
      </c>
      <c r="AA101">
        <v>7.0000000000000001E-3</v>
      </c>
      <c r="AB101">
        <v>1E-3</v>
      </c>
      <c r="AC101">
        <v>0.72</v>
      </c>
      <c r="AD101" s="3">
        <v>0.66</v>
      </c>
      <c r="AE101">
        <v>1</v>
      </c>
      <c r="AF101" t="s">
        <v>138</v>
      </c>
      <c r="AG101">
        <v>4</v>
      </c>
      <c r="AH101">
        <v>4</v>
      </c>
      <c r="AI101">
        <f t="shared" si="28"/>
        <v>2.7222222222222223</v>
      </c>
      <c r="AJ101">
        <f t="shared" si="29"/>
        <v>3.2777777777777777</v>
      </c>
      <c r="AK101" t="s">
        <v>139</v>
      </c>
      <c r="AL101">
        <v>50</v>
      </c>
      <c r="AM101" t="s">
        <v>140</v>
      </c>
      <c r="AN101" t="s">
        <v>111</v>
      </c>
      <c r="AO101">
        <v>13.744999999999999</v>
      </c>
    </row>
    <row r="102" spans="1:51" ht="15.6">
      <c r="A102">
        <v>2</v>
      </c>
      <c r="B102" t="s">
        <v>118</v>
      </c>
      <c r="C102" t="s">
        <v>119</v>
      </c>
      <c r="D102" s="3">
        <f t="shared" si="21"/>
        <v>61.111111111111114</v>
      </c>
      <c r="E102" s="3">
        <f t="shared" si="22"/>
        <v>66.666666666666657</v>
      </c>
      <c r="F102">
        <v>2016</v>
      </c>
      <c r="G102">
        <f t="shared" si="14"/>
        <v>9</v>
      </c>
      <c r="H102">
        <f t="shared" si="23"/>
        <v>0.27722222222222226</v>
      </c>
      <c r="I102">
        <v>0.47399999999999998</v>
      </c>
      <c r="J102">
        <f t="shared" si="24"/>
        <v>18</v>
      </c>
      <c r="K102">
        <v>2</v>
      </c>
      <c r="L102">
        <v>18</v>
      </c>
      <c r="M102" s="12">
        <f t="shared" si="25"/>
        <v>5.2286728395061724E-2</v>
      </c>
      <c r="N102">
        <f t="shared" si="20"/>
        <v>5.5154328932550713E-2</v>
      </c>
      <c r="O102">
        <v>0.23400000000000001</v>
      </c>
      <c r="P102" t="s">
        <v>123</v>
      </c>
      <c r="Q102" t="s">
        <v>378</v>
      </c>
      <c r="R102">
        <v>9.2360000000000007</v>
      </c>
      <c r="S102">
        <f t="shared" si="26"/>
        <v>11.202222222222222</v>
      </c>
      <c r="T102" t="s">
        <v>103</v>
      </c>
      <c r="U102">
        <v>42</v>
      </c>
      <c r="V102" t="s">
        <v>138</v>
      </c>
      <c r="W102">
        <f t="shared" si="27"/>
        <v>36.777777777777779</v>
      </c>
      <c r="X102" t="s">
        <v>380</v>
      </c>
      <c r="Y102">
        <v>2011</v>
      </c>
      <c r="Z102">
        <f>2025-AVERAGE($Y$99:$Y$116)</f>
        <v>13.055555555555657</v>
      </c>
      <c r="AA102">
        <v>0.01</v>
      </c>
      <c r="AB102">
        <v>3.0000000000000001E-3</v>
      </c>
      <c r="AC102">
        <v>0.38</v>
      </c>
      <c r="AD102" s="3">
        <v>0.36</v>
      </c>
      <c r="AE102">
        <v>1</v>
      </c>
      <c r="AF102" t="s">
        <v>138</v>
      </c>
      <c r="AG102">
        <v>2</v>
      </c>
      <c r="AH102">
        <v>2</v>
      </c>
      <c r="AI102">
        <f t="shared" si="28"/>
        <v>2.7222222222222223</v>
      </c>
      <c r="AJ102">
        <f t="shared" si="29"/>
        <v>3.2777777777777777</v>
      </c>
      <c r="AK102" t="s">
        <v>139</v>
      </c>
      <c r="AL102">
        <v>50</v>
      </c>
      <c r="AM102" t="s">
        <v>140</v>
      </c>
      <c r="AN102" t="s">
        <v>111</v>
      </c>
      <c r="AO102">
        <v>13.744999999999999</v>
      </c>
    </row>
    <row r="103" spans="1:51" ht="15.6">
      <c r="A103">
        <v>2</v>
      </c>
      <c r="B103" t="s">
        <v>118</v>
      </c>
      <c r="C103" t="s">
        <v>119</v>
      </c>
      <c r="D103" s="3">
        <f t="shared" si="21"/>
        <v>61.111111111111114</v>
      </c>
      <c r="E103" s="3">
        <f t="shared" si="22"/>
        <v>66.666666666666657</v>
      </c>
      <c r="F103">
        <v>2016</v>
      </c>
      <c r="G103">
        <f t="shared" si="14"/>
        <v>9</v>
      </c>
      <c r="H103">
        <f t="shared" si="23"/>
        <v>0.27722222222222226</v>
      </c>
      <c r="I103">
        <v>0.47399999999999998</v>
      </c>
      <c r="J103">
        <f t="shared" si="24"/>
        <v>18</v>
      </c>
      <c r="K103">
        <v>2</v>
      </c>
      <c r="L103">
        <v>18</v>
      </c>
      <c r="M103" s="12">
        <f t="shared" si="25"/>
        <v>5.2286728395061724E-2</v>
      </c>
      <c r="N103">
        <f t="shared" si="20"/>
        <v>5.5154328932550713E-2</v>
      </c>
      <c r="O103">
        <v>0.23400000000000001</v>
      </c>
      <c r="P103" t="s">
        <v>124</v>
      </c>
      <c r="Q103" t="s">
        <v>378</v>
      </c>
      <c r="R103">
        <v>9.2360000000000007</v>
      </c>
      <c r="S103">
        <f t="shared" si="26"/>
        <v>11.202222222222222</v>
      </c>
      <c r="T103" t="s">
        <v>101</v>
      </c>
      <c r="U103">
        <v>44</v>
      </c>
      <c r="V103" t="s">
        <v>138</v>
      </c>
      <c r="W103">
        <f t="shared" si="27"/>
        <v>36.777777777777779</v>
      </c>
      <c r="X103" t="s">
        <v>380</v>
      </c>
      <c r="Y103">
        <v>2011</v>
      </c>
      <c r="Z103">
        <f>2025-AVERAGE($Y$99:$Y$116)</f>
        <v>13.055555555555657</v>
      </c>
      <c r="AA103">
        <v>3.3000000000000002E-2</v>
      </c>
      <c r="AB103">
        <v>0.57099999999999995</v>
      </c>
      <c r="AC103">
        <v>0.84</v>
      </c>
      <c r="AD103" s="3">
        <v>0.17</v>
      </c>
      <c r="AE103">
        <v>1</v>
      </c>
      <c r="AF103" t="s">
        <v>138</v>
      </c>
      <c r="AG103">
        <v>2</v>
      </c>
      <c r="AH103">
        <v>2</v>
      </c>
      <c r="AI103">
        <f t="shared" si="28"/>
        <v>2.7222222222222223</v>
      </c>
      <c r="AJ103">
        <f t="shared" si="29"/>
        <v>3.2777777777777777</v>
      </c>
      <c r="AK103" t="s">
        <v>139</v>
      </c>
      <c r="AL103">
        <v>50</v>
      </c>
      <c r="AM103" t="s">
        <v>140</v>
      </c>
      <c r="AN103" t="s">
        <v>111</v>
      </c>
      <c r="AO103">
        <v>13.744999999999999</v>
      </c>
    </row>
    <row r="104" spans="1:51" ht="15.6">
      <c r="A104">
        <v>2</v>
      </c>
      <c r="B104" t="s">
        <v>118</v>
      </c>
      <c r="C104" t="s">
        <v>119</v>
      </c>
      <c r="D104" s="3">
        <f t="shared" si="21"/>
        <v>61.111111111111114</v>
      </c>
      <c r="E104" s="3">
        <f t="shared" si="22"/>
        <v>66.666666666666657</v>
      </c>
      <c r="F104">
        <v>2016</v>
      </c>
      <c r="G104">
        <f t="shared" si="14"/>
        <v>9</v>
      </c>
      <c r="H104">
        <f t="shared" si="23"/>
        <v>0.27722222222222226</v>
      </c>
      <c r="I104">
        <v>0.47399999999999998</v>
      </c>
      <c r="J104">
        <f t="shared" si="24"/>
        <v>18</v>
      </c>
      <c r="K104">
        <v>2</v>
      </c>
      <c r="L104">
        <v>18</v>
      </c>
      <c r="M104" s="12">
        <f t="shared" si="25"/>
        <v>5.2286728395061724E-2</v>
      </c>
      <c r="N104">
        <f t="shared" si="20"/>
        <v>5.5154328932550713E-2</v>
      </c>
      <c r="O104">
        <v>0.23400000000000001</v>
      </c>
      <c r="P104" t="s">
        <v>125</v>
      </c>
      <c r="Q104" t="s">
        <v>378</v>
      </c>
      <c r="R104">
        <v>12.172000000000001</v>
      </c>
      <c r="S104">
        <f t="shared" si="26"/>
        <v>11.202222222222222</v>
      </c>
      <c r="T104" t="s">
        <v>103</v>
      </c>
      <c r="U104">
        <v>22</v>
      </c>
      <c r="V104" t="s">
        <v>138</v>
      </c>
      <c r="W104">
        <f t="shared" si="27"/>
        <v>36.777777777777779</v>
      </c>
      <c r="X104" t="s">
        <v>380</v>
      </c>
      <c r="Y104">
        <v>2014</v>
      </c>
      <c r="Z104">
        <f>2025-AVERAGE($Y$99:$Y$116)</f>
        <v>13.055555555555657</v>
      </c>
      <c r="AA104">
        <v>1E-3</v>
      </c>
      <c r="AB104" t="s">
        <v>396</v>
      </c>
      <c r="AC104">
        <v>0.12</v>
      </c>
      <c r="AD104" s="3">
        <v>0.27</v>
      </c>
      <c r="AE104">
        <v>1</v>
      </c>
      <c r="AF104" t="s">
        <v>138</v>
      </c>
      <c r="AG104">
        <v>3</v>
      </c>
      <c r="AH104">
        <v>2</v>
      </c>
      <c r="AI104">
        <f t="shared" si="28"/>
        <v>2.7222222222222223</v>
      </c>
      <c r="AJ104">
        <f t="shared" si="29"/>
        <v>3.2777777777777777</v>
      </c>
      <c r="AK104" t="s">
        <v>139</v>
      </c>
      <c r="AL104">
        <v>50</v>
      </c>
      <c r="AM104" t="s">
        <v>140</v>
      </c>
      <c r="AN104" t="s">
        <v>111</v>
      </c>
      <c r="AO104">
        <v>13.744999999999999</v>
      </c>
    </row>
    <row r="105" spans="1:51" ht="15.6">
      <c r="A105">
        <v>2</v>
      </c>
      <c r="B105" t="s">
        <v>118</v>
      </c>
      <c r="C105" t="s">
        <v>119</v>
      </c>
      <c r="D105" s="3">
        <f t="shared" si="21"/>
        <v>61.111111111111114</v>
      </c>
      <c r="E105" s="3">
        <f t="shared" si="22"/>
        <v>66.666666666666657</v>
      </c>
      <c r="F105">
        <v>2016</v>
      </c>
      <c r="G105">
        <f t="shared" si="14"/>
        <v>9</v>
      </c>
      <c r="H105">
        <f t="shared" si="23"/>
        <v>0.27722222222222226</v>
      </c>
      <c r="I105">
        <v>0.47399999999999998</v>
      </c>
      <c r="J105">
        <f t="shared" si="24"/>
        <v>18</v>
      </c>
      <c r="K105">
        <v>2</v>
      </c>
      <c r="L105">
        <v>18</v>
      </c>
      <c r="M105" s="12">
        <f t="shared" si="25"/>
        <v>5.2286728395061724E-2</v>
      </c>
      <c r="N105">
        <f t="shared" si="20"/>
        <v>5.5154328932550713E-2</v>
      </c>
      <c r="O105">
        <v>0.23400000000000001</v>
      </c>
      <c r="P105" t="s">
        <v>126</v>
      </c>
      <c r="Q105" t="s">
        <v>378</v>
      </c>
      <c r="R105">
        <v>12.172000000000001</v>
      </c>
      <c r="S105">
        <f t="shared" si="26"/>
        <v>11.202222222222222</v>
      </c>
      <c r="T105" t="s">
        <v>101</v>
      </c>
      <c r="U105">
        <v>32</v>
      </c>
      <c r="V105" t="s">
        <v>138</v>
      </c>
      <c r="W105">
        <f t="shared" si="27"/>
        <v>36.777777777777779</v>
      </c>
      <c r="X105" t="s">
        <v>380</v>
      </c>
      <c r="Y105">
        <v>2014</v>
      </c>
      <c r="Z105">
        <f>2025-AVERAGE($Y$99:$Y$116)</f>
        <v>13.055555555555657</v>
      </c>
      <c r="AA105">
        <v>0.01</v>
      </c>
      <c r="AB105">
        <v>0.67400000000000004</v>
      </c>
      <c r="AC105">
        <v>0.76</v>
      </c>
      <c r="AD105" s="3">
        <v>-0.12</v>
      </c>
      <c r="AE105">
        <v>1</v>
      </c>
      <c r="AF105" t="s">
        <v>138</v>
      </c>
      <c r="AG105">
        <v>2</v>
      </c>
      <c r="AH105">
        <v>4</v>
      </c>
      <c r="AI105">
        <f t="shared" si="28"/>
        <v>2.7222222222222223</v>
      </c>
      <c r="AJ105">
        <f t="shared" si="29"/>
        <v>3.2777777777777777</v>
      </c>
      <c r="AK105" t="s">
        <v>139</v>
      </c>
      <c r="AL105">
        <v>50</v>
      </c>
      <c r="AM105" t="s">
        <v>140</v>
      </c>
      <c r="AN105" t="s">
        <v>111</v>
      </c>
      <c r="AO105">
        <v>13.744999999999999</v>
      </c>
    </row>
    <row r="106" spans="1:51" ht="15.6">
      <c r="A106">
        <v>2</v>
      </c>
      <c r="B106" t="s">
        <v>118</v>
      </c>
      <c r="C106" t="s">
        <v>119</v>
      </c>
      <c r="D106" s="3">
        <f t="shared" si="21"/>
        <v>61.111111111111114</v>
      </c>
      <c r="E106" s="3">
        <f t="shared" si="22"/>
        <v>66.666666666666657</v>
      </c>
      <c r="F106">
        <v>2016</v>
      </c>
      <c r="G106">
        <f t="shared" si="14"/>
        <v>9</v>
      </c>
      <c r="H106">
        <f t="shared" si="23"/>
        <v>0.27722222222222226</v>
      </c>
      <c r="I106">
        <v>0.47399999999999998</v>
      </c>
      <c r="J106">
        <f t="shared" si="24"/>
        <v>18</v>
      </c>
      <c r="K106">
        <v>2</v>
      </c>
      <c r="L106">
        <v>18</v>
      </c>
      <c r="M106" s="12">
        <f t="shared" si="25"/>
        <v>5.2286728395061724E-2</v>
      </c>
      <c r="N106">
        <f t="shared" si="20"/>
        <v>5.5154328932550713E-2</v>
      </c>
      <c r="O106">
        <v>0.23400000000000001</v>
      </c>
      <c r="P106" t="s">
        <v>127</v>
      </c>
      <c r="Q106" t="s">
        <v>378</v>
      </c>
      <c r="R106">
        <v>9.2360000000000007</v>
      </c>
      <c r="S106">
        <f t="shared" si="26"/>
        <v>11.202222222222222</v>
      </c>
      <c r="T106" t="s">
        <v>103</v>
      </c>
      <c r="U106">
        <v>31</v>
      </c>
      <c r="V106" t="s">
        <v>138</v>
      </c>
      <c r="W106">
        <f t="shared" si="27"/>
        <v>36.777777777777779</v>
      </c>
      <c r="X106" t="s">
        <v>380</v>
      </c>
      <c r="Y106">
        <v>2011</v>
      </c>
      <c r="Z106">
        <f>2025-AVERAGE($Y$99:$Y$116)</f>
        <v>13.055555555555657</v>
      </c>
      <c r="AA106" t="s">
        <v>396</v>
      </c>
      <c r="AB106">
        <v>1E-3</v>
      </c>
      <c r="AC106">
        <v>0.72</v>
      </c>
      <c r="AD106" s="3">
        <v>0.73</v>
      </c>
      <c r="AE106">
        <v>1</v>
      </c>
      <c r="AF106" t="s">
        <v>138</v>
      </c>
      <c r="AG106">
        <v>3</v>
      </c>
      <c r="AH106">
        <v>3</v>
      </c>
      <c r="AI106">
        <f t="shared" si="28"/>
        <v>2.7222222222222223</v>
      </c>
      <c r="AJ106">
        <f t="shared" si="29"/>
        <v>3.2777777777777777</v>
      </c>
      <c r="AK106" t="s">
        <v>139</v>
      </c>
      <c r="AL106">
        <v>50</v>
      </c>
      <c r="AM106" t="s">
        <v>140</v>
      </c>
      <c r="AN106" t="s">
        <v>111</v>
      </c>
      <c r="AO106">
        <v>13.744999999999999</v>
      </c>
    </row>
    <row r="107" spans="1:51" ht="15.6">
      <c r="A107">
        <v>2</v>
      </c>
      <c r="B107" t="s">
        <v>118</v>
      </c>
      <c r="C107" t="s">
        <v>119</v>
      </c>
      <c r="D107" s="3">
        <f t="shared" si="21"/>
        <v>61.111111111111114</v>
      </c>
      <c r="E107" s="3">
        <f t="shared" si="22"/>
        <v>66.666666666666657</v>
      </c>
      <c r="F107">
        <v>2016</v>
      </c>
      <c r="G107">
        <f t="shared" si="14"/>
        <v>9</v>
      </c>
      <c r="H107">
        <f t="shared" si="23"/>
        <v>0.27722222222222226</v>
      </c>
      <c r="I107">
        <v>0.47399999999999998</v>
      </c>
      <c r="J107">
        <f t="shared" si="24"/>
        <v>18</v>
      </c>
      <c r="K107">
        <v>2</v>
      </c>
      <c r="L107">
        <v>18</v>
      </c>
      <c r="M107" s="12">
        <f t="shared" si="25"/>
        <v>5.2286728395061724E-2</v>
      </c>
      <c r="N107">
        <f t="shared" si="20"/>
        <v>5.5154328932550713E-2</v>
      </c>
      <c r="O107">
        <v>0.23400000000000001</v>
      </c>
      <c r="P107" t="s">
        <v>128</v>
      </c>
      <c r="Q107" t="s">
        <v>379</v>
      </c>
      <c r="R107">
        <v>21.196999999999999</v>
      </c>
      <c r="S107">
        <f t="shared" si="26"/>
        <v>11.202222222222222</v>
      </c>
      <c r="T107" t="s">
        <v>101</v>
      </c>
      <c r="U107">
        <v>32</v>
      </c>
      <c r="V107" t="s">
        <v>138</v>
      </c>
      <c r="W107">
        <f t="shared" si="27"/>
        <v>36.777777777777779</v>
      </c>
      <c r="X107" t="s">
        <v>380</v>
      </c>
      <c r="Y107">
        <v>2011</v>
      </c>
      <c r="Z107">
        <f>2025-AVERAGE($Y$99:$Y$116)</f>
        <v>13.055555555555657</v>
      </c>
      <c r="AA107">
        <v>0.03</v>
      </c>
      <c r="AB107">
        <v>5.5E-2</v>
      </c>
      <c r="AC107">
        <v>0.21</v>
      </c>
      <c r="AD107" s="3">
        <v>0.12</v>
      </c>
      <c r="AE107">
        <v>1</v>
      </c>
      <c r="AF107" t="s">
        <v>138</v>
      </c>
      <c r="AG107">
        <v>2</v>
      </c>
      <c r="AH107">
        <v>4</v>
      </c>
      <c r="AI107">
        <f t="shared" si="28"/>
        <v>2.7222222222222223</v>
      </c>
      <c r="AJ107">
        <f t="shared" si="29"/>
        <v>3.2777777777777777</v>
      </c>
      <c r="AK107" t="s">
        <v>139</v>
      </c>
      <c r="AL107">
        <v>50</v>
      </c>
      <c r="AM107" t="s">
        <v>140</v>
      </c>
      <c r="AN107" t="s">
        <v>111</v>
      </c>
      <c r="AO107">
        <v>13.744999999999999</v>
      </c>
    </row>
    <row r="108" spans="1:51" ht="15.6">
      <c r="A108">
        <v>2</v>
      </c>
      <c r="B108" t="s">
        <v>118</v>
      </c>
      <c r="C108" t="s">
        <v>119</v>
      </c>
      <c r="D108" s="3">
        <f t="shared" si="21"/>
        <v>61.111111111111114</v>
      </c>
      <c r="E108" s="3">
        <f t="shared" si="22"/>
        <v>66.666666666666657</v>
      </c>
      <c r="F108">
        <v>2016</v>
      </c>
      <c r="G108">
        <f t="shared" si="14"/>
        <v>9</v>
      </c>
      <c r="H108">
        <f t="shared" si="23"/>
        <v>0.27722222222222226</v>
      </c>
      <c r="I108">
        <v>0.47399999999999998</v>
      </c>
      <c r="J108">
        <f t="shared" si="24"/>
        <v>18</v>
      </c>
      <c r="K108">
        <v>2</v>
      </c>
      <c r="L108">
        <v>18</v>
      </c>
      <c r="M108" s="12">
        <f t="shared" si="25"/>
        <v>5.2286728395061724E-2</v>
      </c>
      <c r="N108">
        <f t="shared" si="20"/>
        <v>5.5154328932550713E-2</v>
      </c>
      <c r="O108">
        <v>0.23400000000000001</v>
      </c>
      <c r="P108" t="s">
        <v>129</v>
      </c>
      <c r="Q108" t="s">
        <v>378</v>
      </c>
      <c r="R108">
        <v>10.472</v>
      </c>
      <c r="S108">
        <f t="shared" si="26"/>
        <v>11.202222222222222</v>
      </c>
      <c r="T108" t="s">
        <v>103</v>
      </c>
      <c r="U108">
        <v>41</v>
      </c>
      <c r="V108" t="s">
        <v>138</v>
      </c>
      <c r="W108">
        <f t="shared" si="27"/>
        <v>36.777777777777779</v>
      </c>
      <c r="X108" t="s">
        <v>380</v>
      </c>
      <c r="Y108">
        <v>2013</v>
      </c>
      <c r="Z108">
        <f>2025-AVERAGE($Y$99:$Y$116)</f>
        <v>13.055555555555657</v>
      </c>
      <c r="AA108">
        <v>1.0999999999999999E-2</v>
      </c>
      <c r="AB108">
        <v>2.5999999999999999E-2</v>
      </c>
      <c r="AC108">
        <v>0.45</v>
      </c>
      <c r="AD108" s="3">
        <v>0.31</v>
      </c>
      <c r="AE108">
        <v>1</v>
      </c>
      <c r="AF108" t="s">
        <v>138</v>
      </c>
      <c r="AG108">
        <v>3</v>
      </c>
      <c r="AH108">
        <v>4</v>
      </c>
      <c r="AI108">
        <f t="shared" si="28"/>
        <v>2.7222222222222223</v>
      </c>
      <c r="AJ108">
        <f t="shared" si="29"/>
        <v>3.2777777777777777</v>
      </c>
      <c r="AK108" t="s">
        <v>139</v>
      </c>
      <c r="AL108">
        <v>50</v>
      </c>
      <c r="AM108" t="s">
        <v>140</v>
      </c>
      <c r="AN108" t="s">
        <v>111</v>
      </c>
      <c r="AO108">
        <v>13.744999999999999</v>
      </c>
    </row>
    <row r="109" spans="1:51" ht="15.6">
      <c r="A109">
        <v>2</v>
      </c>
      <c r="B109" t="s">
        <v>118</v>
      </c>
      <c r="C109" t="s">
        <v>119</v>
      </c>
      <c r="D109" s="3">
        <f t="shared" si="21"/>
        <v>61.111111111111114</v>
      </c>
      <c r="E109" s="3">
        <f t="shared" si="22"/>
        <v>66.666666666666657</v>
      </c>
      <c r="F109">
        <v>2016</v>
      </c>
      <c r="G109">
        <f t="shared" si="14"/>
        <v>9</v>
      </c>
      <c r="H109">
        <f t="shared" si="23"/>
        <v>0.27722222222222226</v>
      </c>
      <c r="I109">
        <v>0.47399999999999998</v>
      </c>
      <c r="J109">
        <f t="shared" si="24"/>
        <v>18</v>
      </c>
      <c r="K109">
        <v>2</v>
      </c>
      <c r="L109">
        <v>18</v>
      </c>
      <c r="M109" s="12">
        <f t="shared" si="25"/>
        <v>5.2286728395061724E-2</v>
      </c>
      <c r="N109">
        <f t="shared" si="20"/>
        <v>5.5154328932550713E-2</v>
      </c>
      <c r="O109">
        <v>0.23400000000000001</v>
      </c>
      <c r="P109" t="s">
        <v>130</v>
      </c>
      <c r="Q109" t="s">
        <v>378</v>
      </c>
      <c r="R109">
        <v>8.9770000000000003</v>
      </c>
      <c r="S109">
        <f t="shared" si="26"/>
        <v>11.202222222222222</v>
      </c>
      <c r="T109" t="s">
        <v>103</v>
      </c>
      <c r="U109">
        <v>16</v>
      </c>
      <c r="V109" t="s">
        <v>138</v>
      </c>
      <c r="W109">
        <f t="shared" si="27"/>
        <v>36.777777777777779</v>
      </c>
      <c r="X109" t="s">
        <v>380</v>
      </c>
      <c r="Y109">
        <v>2012</v>
      </c>
      <c r="Z109">
        <f>2025-AVERAGE($Y$99:$Y$116)</f>
        <v>13.055555555555657</v>
      </c>
      <c r="AA109" t="s">
        <v>396</v>
      </c>
      <c r="AB109">
        <v>4.0000000000000001E-3</v>
      </c>
      <c r="AC109">
        <v>0.64</v>
      </c>
      <c r="AD109" s="3">
        <v>0.44</v>
      </c>
      <c r="AE109">
        <v>1</v>
      </c>
      <c r="AF109" t="s">
        <v>138</v>
      </c>
      <c r="AG109">
        <v>2</v>
      </c>
      <c r="AH109">
        <v>3</v>
      </c>
      <c r="AI109">
        <f t="shared" si="28"/>
        <v>2.7222222222222223</v>
      </c>
      <c r="AJ109">
        <f t="shared" si="29"/>
        <v>3.2777777777777777</v>
      </c>
      <c r="AK109" t="s">
        <v>139</v>
      </c>
      <c r="AL109">
        <v>50</v>
      </c>
      <c r="AM109" t="s">
        <v>140</v>
      </c>
      <c r="AN109" t="s">
        <v>111</v>
      </c>
      <c r="AO109">
        <v>13.744999999999999</v>
      </c>
    </row>
    <row r="110" spans="1:51" ht="15.6">
      <c r="A110">
        <v>2</v>
      </c>
      <c r="B110" t="s">
        <v>118</v>
      </c>
      <c r="C110" t="s">
        <v>119</v>
      </c>
      <c r="D110" s="3">
        <f t="shared" si="21"/>
        <v>61.111111111111114</v>
      </c>
      <c r="E110" s="3">
        <f t="shared" si="22"/>
        <v>66.666666666666657</v>
      </c>
      <c r="F110">
        <v>2016</v>
      </c>
      <c r="G110">
        <f t="shared" si="14"/>
        <v>9</v>
      </c>
      <c r="H110">
        <f t="shared" si="23"/>
        <v>0.27722222222222226</v>
      </c>
      <c r="I110">
        <v>0.47399999999999998</v>
      </c>
      <c r="J110">
        <f t="shared" si="24"/>
        <v>18</v>
      </c>
      <c r="K110">
        <v>2</v>
      </c>
      <c r="L110">
        <v>18</v>
      </c>
      <c r="M110" s="12">
        <f t="shared" si="25"/>
        <v>5.2286728395061724E-2</v>
      </c>
      <c r="N110">
        <f t="shared" si="20"/>
        <v>5.5154328932550713E-2</v>
      </c>
      <c r="O110">
        <v>0.23400000000000001</v>
      </c>
      <c r="P110" t="s">
        <v>131</v>
      </c>
      <c r="Q110" t="s">
        <v>378</v>
      </c>
      <c r="R110">
        <v>8.9770000000000003</v>
      </c>
      <c r="S110">
        <f t="shared" si="26"/>
        <v>11.202222222222222</v>
      </c>
      <c r="T110" t="s">
        <v>103</v>
      </c>
      <c r="U110">
        <v>38</v>
      </c>
      <c r="V110" t="s">
        <v>138</v>
      </c>
      <c r="W110">
        <f t="shared" si="27"/>
        <v>36.777777777777779</v>
      </c>
      <c r="X110" t="s">
        <v>380</v>
      </c>
      <c r="Y110">
        <v>2012</v>
      </c>
      <c r="Z110">
        <f>2025-AVERAGE($Y$99:$Y$116)</f>
        <v>13.055555555555657</v>
      </c>
      <c r="AA110">
        <v>1E-3</v>
      </c>
      <c r="AB110" t="s">
        <v>396</v>
      </c>
      <c r="AC110">
        <v>0.3</v>
      </c>
      <c r="AD110" s="3">
        <v>0.33</v>
      </c>
      <c r="AE110">
        <v>1</v>
      </c>
      <c r="AF110" t="s">
        <v>138</v>
      </c>
      <c r="AG110">
        <v>3</v>
      </c>
      <c r="AH110">
        <v>3</v>
      </c>
      <c r="AI110">
        <f t="shared" si="28"/>
        <v>2.7222222222222223</v>
      </c>
      <c r="AJ110">
        <f t="shared" si="29"/>
        <v>3.2777777777777777</v>
      </c>
      <c r="AK110" t="s">
        <v>139</v>
      </c>
      <c r="AL110">
        <v>50</v>
      </c>
      <c r="AM110" t="s">
        <v>140</v>
      </c>
      <c r="AN110" t="s">
        <v>111</v>
      </c>
      <c r="AO110">
        <v>13.744999999999999</v>
      </c>
    </row>
    <row r="111" spans="1:51" ht="15.6">
      <c r="A111">
        <v>2</v>
      </c>
      <c r="B111" t="s">
        <v>118</v>
      </c>
      <c r="C111" t="s">
        <v>119</v>
      </c>
      <c r="D111" s="3">
        <f t="shared" si="21"/>
        <v>61.111111111111114</v>
      </c>
      <c r="E111" s="3">
        <f t="shared" si="22"/>
        <v>66.666666666666657</v>
      </c>
      <c r="F111">
        <v>2016</v>
      </c>
      <c r="G111">
        <f t="shared" si="14"/>
        <v>9</v>
      </c>
      <c r="H111">
        <f t="shared" si="23"/>
        <v>0.27722222222222226</v>
      </c>
      <c r="I111">
        <v>0.47399999999999998</v>
      </c>
      <c r="J111">
        <f t="shared" si="24"/>
        <v>18</v>
      </c>
      <c r="K111">
        <v>2</v>
      </c>
      <c r="L111">
        <v>18</v>
      </c>
      <c r="M111" s="12">
        <f t="shared" si="25"/>
        <v>5.2286728395061724E-2</v>
      </c>
      <c r="N111">
        <f t="shared" si="20"/>
        <v>5.5154328932550713E-2</v>
      </c>
      <c r="O111">
        <v>0.23400000000000001</v>
      </c>
      <c r="P111" t="s">
        <v>132</v>
      </c>
      <c r="Q111" t="s">
        <v>378</v>
      </c>
      <c r="R111">
        <v>9.2360000000000007</v>
      </c>
      <c r="S111">
        <f t="shared" si="26"/>
        <v>11.202222222222222</v>
      </c>
      <c r="T111" t="s">
        <v>101</v>
      </c>
      <c r="U111">
        <v>28</v>
      </c>
      <c r="V111" t="s">
        <v>138</v>
      </c>
      <c r="W111">
        <f t="shared" si="27"/>
        <v>36.777777777777779</v>
      </c>
      <c r="X111" t="s">
        <v>380</v>
      </c>
      <c r="Y111">
        <v>2011</v>
      </c>
      <c r="Z111">
        <f>2025-AVERAGE($Y$99:$Y$116)</f>
        <v>13.055555555555657</v>
      </c>
      <c r="AA111">
        <v>4.0000000000000001E-3</v>
      </c>
      <c r="AB111">
        <v>0.14199999999999999</v>
      </c>
      <c r="AC111">
        <v>0.83</v>
      </c>
      <c r="AD111" s="3">
        <v>0.37</v>
      </c>
      <c r="AE111">
        <v>1</v>
      </c>
      <c r="AF111" t="s">
        <v>138</v>
      </c>
      <c r="AG111">
        <v>3</v>
      </c>
      <c r="AH111">
        <v>3</v>
      </c>
      <c r="AI111">
        <f t="shared" si="28"/>
        <v>2.7222222222222223</v>
      </c>
      <c r="AJ111">
        <f t="shared" si="29"/>
        <v>3.2777777777777777</v>
      </c>
      <c r="AK111" t="s">
        <v>139</v>
      </c>
      <c r="AL111">
        <v>50</v>
      </c>
      <c r="AM111" t="s">
        <v>140</v>
      </c>
      <c r="AN111" t="s">
        <v>111</v>
      </c>
      <c r="AO111">
        <v>13.744999999999999</v>
      </c>
    </row>
    <row r="112" spans="1:51" ht="15.6">
      <c r="A112">
        <v>2</v>
      </c>
      <c r="B112" t="s">
        <v>118</v>
      </c>
      <c r="C112" t="s">
        <v>119</v>
      </c>
      <c r="D112" s="3">
        <f t="shared" si="21"/>
        <v>61.111111111111114</v>
      </c>
      <c r="E112" s="3">
        <f t="shared" si="22"/>
        <v>66.666666666666657</v>
      </c>
      <c r="F112">
        <v>2016</v>
      </c>
      <c r="G112">
        <f t="shared" si="14"/>
        <v>9</v>
      </c>
      <c r="H112">
        <f t="shared" si="23"/>
        <v>0.27722222222222226</v>
      </c>
      <c r="I112">
        <v>0.47399999999999998</v>
      </c>
      <c r="J112">
        <f t="shared" si="24"/>
        <v>18</v>
      </c>
      <c r="K112">
        <v>2</v>
      </c>
      <c r="L112">
        <v>18</v>
      </c>
      <c r="M112" s="12">
        <f t="shared" si="25"/>
        <v>5.2286728395061724E-2</v>
      </c>
      <c r="N112">
        <f t="shared" si="20"/>
        <v>5.5154328932550713E-2</v>
      </c>
      <c r="O112">
        <v>0.23400000000000001</v>
      </c>
      <c r="P112" t="s">
        <v>133</v>
      </c>
      <c r="Q112" t="s">
        <v>378</v>
      </c>
      <c r="R112">
        <v>9.2360000000000007</v>
      </c>
      <c r="S112">
        <f t="shared" si="26"/>
        <v>11.202222222222222</v>
      </c>
      <c r="T112" t="s">
        <v>101</v>
      </c>
      <c r="U112">
        <v>72</v>
      </c>
      <c r="V112" t="s">
        <v>138</v>
      </c>
      <c r="W112">
        <f t="shared" si="27"/>
        <v>36.777777777777779</v>
      </c>
      <c r="X112" t="s">
        <v>380</v>
      </c>
      <c r="Y112">
        <v>2011</v>
      </c>
      <c r="Z112">
        <f>2025-AVERAGE($Y$99:$Y$116)</f>
        <v>13.055555555555657</v>
      </c>
      <c r="AA112">
        <v>3.1E-2</v>
      </c>
      <c r="AB112">
        <v>0.93300000000000005</v>
      </c>
      <c r="AC112">
        <v>0.28000000000000003</v>
      </c>
      <c r="AD112" s="3">
        <v>-0.01</v>
      </c>
      <c r="AE112">
        <v>1</v>
      </c>
      <c r="AF112" t="s">
        <v>138</v>
      </c>
      <c r="AG112">
        <v>2</v>
      </c>
      <c r="AH112">
        <v>3</v>
      </c>
      <c r="AI112">
        <f t="shared" si="28"/>
        <v>2.7222222222222223</v>
      </c>
      <c r="AJ112">
        <f t="shared" si="29"/>
        <v>3.2777777777777777</v>
      </c>
      <c r="AK112" t="s">
        <v>139</v>
      </c>
      <c r="AL112">
        <v>50</v>
      </c>
      <c r="AM112" t="s">
        <v>140</v>
      </c>
      <c r="AN112" t="s">
        <v>111</v>
      </c>
      <c r="AO112">
        <v>13.744999999999999</v>
      </c>
    </row>
    <row r="113" spans="1:75" ht="15.6">
      <c r="A113">
        <v>2</v>
      </c>
      <c r="B113" t="s">
        <v>118</v>
      </c>
      <c r="C113" t="s">
        <v>119</v>
      </c>
      <c r="D113" s="3">
        <f t="shared" si="21"/>
        <v>61.111111111111114</v>
      </c>
      <c r="E113" s="3">
        <f t="shared" si="22"/>
        <v>66.666666666666657</v>
      </c>
      <c r="F113">
        <v>2016</v>
      </c>
      <c r="G113">
        <f t="shared" si="14"/>
        <v>9</v>
      </c>
      <c r="H113">
        <f t="shared" si="23"/>
        <v>0.27722222222222226</v>
      </c>
      <c r="I113">
        <v>0.47399999999999998</v>
      </c>
      <c r="J113">
        <f t="shared" si="24"/>
        <v>18</v>
      </c>
      <c r="K113">
        <v>2</v>
      </c>
      <c r="L113">
        <v>18</v>
      </c>
      <c r="M113" s="12">
        <f t="shared" si="25"/>
        <v>5.2286728395061724E-2</v>
      </c>
      <c r="N113">
        <f t="shared" si="20"/>
        <v>5.5154328932550713E-2</v>
      </c>
      <c r="O113">
        <v>0.23400000000000001</v>
      </c>
      <c r="P113" t="s">
        <v>134</v>
      </c>
      <c r="Q113" t="s">
        <v>378</v>
      </c>
      <c r="R113">
        <v>8.9770000000000003</v>
      </c>
      <c r="S113" s="1">
        <f t="shared" si="26"/>
        <v>11.202222222222222</v>
      </c>
      <c r="T113" t="s">
        <v>103</v>
      </c>
      <c r="U113">
        <v>45</v>
      </c>
      <c r="V113" t="s">
        <v>138</v>
      </c>
      <c r="W113">
        <f t="shared" si="27"/>
        <v>36.777777777777779</v>
      </c>
      <c r="X113" t="s">
        <v>380</v>
      </c>
      <c r="Y113">
        <v>2012</v>
      </c>
      <c r="Z113">
        <f>2025-AVERAGE($Y$99:$Y$116)</f>
        <v>13.055555555555657</v>
      </c>
      <c r="AA113" t="s">
        <v>396</v>
      </c>
      <c r="AB113">
        <v>1.6E-2</v>
      </c>
      <c r="AC113">
        <v>0.49</v>
      </c>
      <c r="AD113" s="3">
        <v>0.34</v>
      </c>
      <c r="AE113">
        <v>1</v>
      </c>
      <c r="AF113" t="s">
        <v>138</v>
      </c>
      <c r="AG113">
        <v>2</v>
      </c>
      <c r="AH113">
        <v>5</v>
      </c>
      <c r="AI113">
        <f t="shared" si="28"/>
        <v>2.7222222222222223</v>
      </c>
      <c r="AJ113">
        <f t="shared" si="29"/>
        <v>3.2777777777777777</v>
      </c>
      <c r="AK113" t="s">
        <v>139</v>
      </c>
      <c r="AL113">
        <v>50</v>
      </c>
      <c r="AM113" t="s">
        <v>140</v>
      </c>
      <c r="AN113" t="s">
        <v>111</v>
      </c>
      <c r="AO113">
        <v>13.744999999999999</v>
      </c>
      <c r="AR113" s="1"/>
      <c r="AY113" s="1"/>
      <c r="BW113" s="1"/>
    </row>
    <row r="114" spans="1:75" ht="15.6">
      <c r="A114">
        <v>2</v>
      </c>
      <c r="B114" t="s">
        <v>118</v>
      </c>
      <c r="C114" t="s">
        <v>119</v>
      </c>
      <c r="D114" s="3">
        <f t="shared" si="21"/>
        <v>61.111111111111114</v>
      </c>
      <c r="E114" s="3">
        <f t="shared" si="22"/>
        <v>66.666666666666657</v>
      </c>
      <c r="F114">
        <v>2016</v>
      </c>
      <c r="G114">
        <f t="shared" si="14"/>
        <v>9</v>
      </c>
      <c r="H114">
        <f t="shared" si="23"/>
        <v>0.27722222222222226</v>
      </c>
      <c r="I114">
        <v>0.47399999999999998</v>
      </c>
      <c r="J114">
        <f t="shared" si="24"/>
        <v>18</v>
      </c>
      <c r="K114">
        <v>2</v>
      </c>
      <c r="L114">
        <v>18</v>
      </c>
      <c r="M114" s="12">
        <f t="shared" si="25"/>
        <v>5.2286728395061724E-2</v>
      </c>
      <c r="N114">
        <f t="shared" si="20"/>
        <v>5.5154328932550713E-2</v>
      </c>
      <c r="O114">
        <v>0.23400000000000001</v>
      </c>
      <c r="P114" t="s">
        <v>135</v>
      </c>
      <c r="Q114" t="s">
        <v>378</v>
      </c>
      <c r="R114">
        <v>8.9770000000000003</v>
      </c>
      <c r="S114">
        <f t="shared" si="26"/>
        <v>11.202222222222222</v>
      </c>
      <c r="T114" t="s">
        <v>103</v>
      </c>
      <c r="U114">
        <v>26</v>
      </c>
      <c r="V114" t="s">
        <v>138</v>
      </c>
      <c r="W114">
        <f t="shared" si="27"/>
        <v>36.777777777777779</v>
      </c>
      <c r="X114" t="s">
        <v>380</v>
      </c>
      <c r="Y114">
        <v>2012</v>
      </c>
      <c r="Z114">
        <f>2025-AVERAGE($Y$99:$Y$116)</f>
        <v>13.055555555555657</v>
      </c>
      <c r="AA114">
        <v>1.6E-2</v>
      </c>
      <c r="AB114">
        <v>0.01</v>
      </c>
      <c r="AC114">
        <v>0.66</v>
      </c>
      <c r="AD114" s="3">
        <v>0.53</v>
      </c>
      <c r="AE114">
        <v>1</v>
      </c>
      <c r="AF114" t="s">
        <v>138</v>
      </c>
      <c r="AG114">
        <v>3</v>
      </c>
      <c r="AH114">
        <v>3</v>
      </c>
      <c r="AI114">
        <f t="shared" si="28"/>
        <v>2.7222222222222223</v>
      </c>
      <c r="AJ114">
        <f t="shared" si="29"/>
        <v>3.2777777777777777</v>
      </c>
      <c r="AK114" t="s">
        <v>139</v>
      </c>
      <c r="AL114">
        <v>50</v>
      </c>
      <c r="AM114" t="s">
        <v>140</v>
      </c>
      <c r="AN114" t="s">
        <v>111</v>
      </c>
      <c r="AO114">
        <v>13.744999999999999</v>
      </c>
    </row>
    <row r="115" spans="1:75" ht="15.6">
      <c r="A115">
        <v>2</v>
      </c>
      <c r="B115" t="s">
        <v>118</v>
      </c>
      <c r="C115" t="s">
        <v>119</v>
      </c>
      <c r="D115" s="3">
        <f t="shared" si="21"/>
        <v>61.111111111111114</v>
      </c>
      <c r="E115" s="3">
        <f t="shared" si="22"/>
        <v>66.666666666666657</v>
      </c>
      <c r="F115">
        <v>2016</v>
      </c>
      <c r="G115">
        <f t="shared" si="14"/>
        <v>9</v>
      </c>
      <c r="H115">
        <f t="shared" si="23"/>
        <v>0.27722222222222226</v>
      </c>
      <c r="I115">
        <v>0.47399999999999998</v>
      </c>
      <c r="J115">
        <f t="shared" si="24"/>
        <v>18</v>
      </c>
      <c r="K115">
        <v>2</v>
      </c>
      <c r="L115">
        <v>18</v>
      </c>
      <c r="M115" s="12">
        <f t="shared" si="25"/>
        <v>5.2286728395061724E-2</v>
      </c>
      <c r="N115">
        <f t="shared" si="20"/>
        <v>5.5154328932550713E-2</v>
      </c>
      <c r="O115">
        <v>0.23400000000000001</v>
      </c>
      <c r="P115" t="s">
        <v>136</v>
      </c>
      <c r="Q115" t="s">
        <v>378</v>
      </c>
      <c r="R115">
        <v>9.2360000000000007</v>
      </c>
      <c r="S115">
        <f t="shared" si="26"/>
        <v>11.202222222222222</v>
      </c>
      <c r="T115" t="s">
        <v>103</v>
      </c>
      <c r="U115">
        <v>29</v>
      </c>
      <c r="V115" t="s">
        <v>138</v>
      </c>
      <c r="W115">
        <f t="shared" si="27"/>
        <v>36.777777777777779</v>
      </c>
      <c r="X115" t="s">
        <v>380</v>
      </c>
      <c r="Y115">
        <v>2011</v>
      </c>
      <c r="Z115">
        <f>2025-AVERAGE($Y$99:$Y$116)</f>
        <v>13.055555555555657</v>
      </c>
      <c r="AA115" t="s">
        <v>396</v>
      </c>
      <c r="AB115">
        <v>1E-3</v>
      </c>
      <c r="AC115">
        <v>0.32</v>
      </c>
      <c r="AD115" s="3">
        <v>0.3</v>
      </c>
      <c r="AE115">
        <v>1</v>
      </c>
      <c r="AF115" t="s">
        <v>138</v>
      </c>
      <c r="AG115">
        <v>3</v>
      </c>
      <c r="AH115">
        <v>4</v>
      </c>
      <c r="AI115">
        <f t="shared" si="28"/>
        <v>2.7222222222222223</v>
      </c>
      <c r="AJ115">
        <f t="shared" si="29"/>
        <v>3.2777777777777777</v>
      </c>
      <c r="AK115" t="s">
        <v>139</v>
      </c>
      <c r="AL115">
        <v>50</v>
      </c>
      <c r="AM115" t="s">
        <v>140</v>
      </c>
      <c r="AN115" t="s">
        <v>111</v>
      </c>
      <c r="AO115">
        <v>13.744999999999999</v>
      </c>
    </row>
    <row r="116" spans="1:75" s="3" customFormat="1" ht="15.6">
      <c r="A116" s="3">
        <v>2</v>
      </c>
      <c r="B116" s="3" t="s">
        <v>118</v>
      </c>
      <c r="C116" s="3" t="s">
        <v>119</v>
      </c>
      <c r="D116" s="3">
        <f t="shared" si="21"/>
        <v>61.111111111111114</v>
      </c>
      <c r="E116" s="3">
        <f t="shared" si="22"/>
        <v>66.666666666666657</v>
      </c>
      <c r="F116">
        <v>2016</v>
      </c>
      <c r="G116">
        <f t="shared" si="14"/>
        <v>9</v>
      </c>
      <c r="H116" s="3">
        <f t="shared" si="23"/>
        <v>0.27722222222222226</v>
      </c>
      <c r="I116" s="3">
        <v>0.47399999999999998</v>
      </c>
      <c r="J116" s="3">
        <f t="shared" si="24"/>
        <v>18</v>
      </c>
      <c r="K116" s="3">
        <v>2</v>
      </c>
      <c r="L116" s="3">
        <v>18</v>
      </c>
      <c r="M116" s="12">
        <f t="shared" si="25"/>
        <v>5.2286728395061724E-2</v>
      </c>
      <c r="N116" s="3">
        <f t="shared" si="20"/>
        <v>5.5154328932550713E-2</v>
      </c>
      <c r="O116" s="3">
        <v>0.23400000000000001</v>
      </c>
      <c r="P116" s="3" t="s">
        <v>137</v>
      </c>
      <c r="Q116" s="3" t="s">
        <v>379</v>
      </c>
      <c r="R116" s="3">
        <v>27.113</v>
      </c>
      <c r="S116" s="3">
        <f t="shared" si="26"/>
        <v>11.202222222222222</v>
      </c>
      <c r="T116" s="3" t="s">
        <v>101</v>
      </c>
      <c r="U116" s="3">
        <v>47</v>
      </c>
      <c r="V116" s="3" t="s">
        <v>138</v>
      </c>
      <c r="W116" s="3">
        <f t="shared" si="27"/>
        <v>36.777777777777779</v>
      </c>
      <c r="X116" s="3" t="s">
        <v>380</v>
      </c>
      <c r="Y116" s="3">
        <v>2014</v>
      </c>
      <c r="Z116" s="3">
        <f>2025-AVERAGE($Y$99:$Y$116)</f>
        <v>13.055555555555657</v>
      </c>
      <c r="AA116" s="3">
        <v>7.0000000000000007E-2</v>
      </c>
      <c r="AB116" s="3">
        <v>0.154</v>
      </c>
      <c r="AC116" s="3">
        <v>0.28000000000000003</v>
      </c>
      <c r="AD116" s="3">
        <v>-0.12</v>
      </c>
      <c r="AE116" s="3">
        <v>1</v>
      </c>
      <c r="AF116" s="3" t="s">
        <v>138</v>
      </c>
      <c r="AG116" s="3">
        <v>4</v>
      </c>
      <c r="AH116" s="3">
        <v>4</v>
      </c>
      <c r="AI116" s="3">
        <f t="shared" si="28"/>
        <v>2.7222222222222223</v>
      </c>
      <c r="AJ116" s="3">
        <f t="shared" si="29"/>
        <v>3.2777777777777777</v>
      </c>
      <c r="AK116" s="3" t="s">
        <v>139</v>
      </c>
      <c r="AL116" s="3">
        <v>50</v>
      </c>
      <c r="AM116" s="3" t="s">
        <v>140</v>
      </c>
      <c r="AN116" s="3" t="s">
        <v>111</v>
      </c>
      <c r="AO116" s="3">
        <v>13.744999999999999</v>
      </c>
    </row>
    <row r="117" spans="1:75" ht="15.6">
      <c r="A117">
        <v>3</v>
      </c>
      <c r="B117" t="s">
        <v>141</v>
      </c>
      <c r="C117" t="s">
        <v>142</v>
      </c>
      <c r="D117" s="3">
        <f>100*(13/21)</f>
        <v>61.904761904761905</v>
      </c>
      <c r="E117" s="3">
        <f>100*(14/21)</f>
        <v>66.666666666666657</v>
      </c>
      <c r="F117">
        <v>2018</v>
      </c>
      <c r="G117">
        <f t="shared" si="14"/>
        <v>7</v>
      </c>
      <c r="H117">
        <f>AVERAGE($AD$117:$AD$137)</f>
        <v>0.24908090357142859</v>
      </c>
      <c r="I117">
        <f>AVERAGE($AC$117:$AC$137)</f>
        <v>0.45953198095238096</v>
      </c>
      <c r="J117">
        <f>COUNTA($C$117:$C$137)</f>
        <v>21</v>
      </c>
      <c r="K117">
        <v>2</v>
      </c>
      <c r="L117">
        <v>24</v>
      </c>
      <c r="M117" s="12">
        <f>_xlfn.VAR.P($AC$117:$AC$137)</f>
        <v>5.0114606556775659E-2</v>
      </c>
      <c r="N117">
        <f t="shared" ref="N117:N137" si="30">$O$117/SQRT($J$117)</f>
        <v>6.0161021154775098E-2</v>
      </c>
      <c r="O117">
        <f>_xlfn.STDEV.P($AD$117:$AD$137)</f>
        <v>0.27569243332759646</v>
      </c>
      <c r="P117" t="s">
        <v>164</v>
      </c>
      <c r="Q117" t="s">
        <v>111</v>
      </c>
      <c r="R117">
        <v>13.481</v>
      </c>
      <c r="S117">
        <f>AVERAGE($R$117:$R$137)</f>
        <v>14.399476190476191</v>
      </c>
      <c r="T117" t="s">
        <v>101</v>
      </c>
      <c r="U117">
        <v>31</v>
      </c>
      <c r="W117">
        <f>AVERAGE($U$117:$U$137)</f>
        <v>27.285714285714285</v>
      </c>
      <c r="X117" t="s">
        <v>380</v>
      </c>
      <c r="Y117">
        <v>2010</v>
      </c>
      <c r="Z117">
        <f>2025-AVERAGE($Y$117:$Y$137)</f>
        <v>13.190476190476147</v>
      </c>
      <c r="AA117">
        <v>4.8559953000000003E-2</v>
      </c>
      <c r="AB117">
        <v>0.12528903999999999</v>
      </c>
      <c r="AC117">
        <v>0.26972803000000001</v>
      </c>
      <c r="AD117" s="3">
        <v>6.2703826000000004E-2</v>
      </c>
      <c r="AE117">
        <v>0</v>
      </c>
      <c r="AF117" t="s">
        <v>186</v>
      </c>
      <c r="AG117">
        <v>3</v>
      </c>
      <c r="AH117">
        <v>4</v>
      </c>
      <c r="AI117">
        <f>AVERAGE($AG$117:$AG$137)</f>
        <v>3.0952380952380953</v>
      </c>
      <c r="AJ117">
        <f>AVERAGE($AH$117:$AH$137)</f>
        <v>4</v>
      </c>
      <c r="AK117" t="s">
        <v>1143</v>
      </c>
      <c r="AL117">
        <v>56</v>
      </c>
      <c r="AM117" t="s">
        <v>140</v>
      </c>
      <c r="AN117" t="s">
        <v>185</v>
      </c>
      <c r="AO117">
        <v>4.0519999999999996</v>
      </c>
    </row>
    <row r="118" spans="1:75" ht="15.6">
      <c r="A118">
        <v>3</v>
      </c>
      <c r="B118" t="s">
        <v>141</v>
      </c>
      <c r="C118" t="s">
        <v>143</v>
      </c>
      <c r="D118" s="3">
        <f t="shared" ref="D118:D137" si="31">100*(13/21)</f>
        <v>61.904761904761905</v>
      </c>
      <c r="E118" s="3">
        <f t="shared" ref="E118:E137" si="32">100*(14/21)</f>
        <v>66.666666666666657</v>
      </c>
      <c r="F118">
        <v>2018</v>
      </c>
      <c r="G118">
        <f t="shared" si="14"/>
        <v>7</v>
      </c>
      <c r="H118">
        <f t="shared" ref="H118:H137" si="33">AVERAGE($AD$117:$AD$137)</f>
        <v>0.24908090357142859</v>
      </c>
      <c r="I118">
        <f t="shared" ref="I118:I137" si="34">AVERAGE($AC$117:$AC$137)</f>
        <v>0.45953198095238096</v>
      </c>
      <c r="J118">
        <f t="shared" ref="J118:J137" si="35">COUNTA($C$117:$C$137)</f>
        <v>21</v>
      </c>
      <c r="K118">
        <v>2</v>
      </c>
      <c r="L118">
        <v>24</v>
      </c>
      <c r="M118" s="12">
        <f t="shared" ref="M118:M137" si="36">_xlfn.VAR.P($AC$117:$AC$137)</f>
        <v>5.0114606556775659E-2</v>
      </c>
      <c r="N118">
        <f t="shared" si="30"/>
        <v>6.0161021154775098E-2</v>
      </c>
      <c r="O118">
        <f t="shared" ref="O118:O137" si="37">_xlfn.STDEV.P($AD$117:$AD$137)</f>
        <v>0.27569243332759646</v>
      </c>
      <c r="P118" t="s">
        <v>165</v>
      </c>
      <c r="Q118" t="s">
        <v>111</v>
      </c>
      <c r="R118">
        <v>13.318</v>
      </c>
      <c r="S118">
        <f t="shared" ref="S118:S137" si="38">AVERAGE($R$117:$R$137)</f>
        <v>14.399476190476191</v>
      </c>
      <c r="T118" t="s">
        <v>103</v>
      </c>
      <c r="U118">
        <v>38</v>
      </c>
      <c r="W118">
        <f t="shared" ref="W118:W137" si="39">AVERAGE($U$117:$U$137)</f>
        <v>27.285714285714285</v>
      </c>
      <c r="X118" t="s">
        <v>380</v>
      </c>
      <c r="Y118">
        <v>2012</v>
      </c>
      <c r="Z118">
        <f>2025-AVERAGE($Y$117:$Y$137)</f>
        <v>13.190476190476147</v>
      </c>
      <c r="AA118">
        <v>3.1017339999999998E-9</v>
      </c>
      <c r="AB118">
        <v>1.3382199999999999E-4</v>
      </c>
      <c r="AC118">
        <v>0.96138060000000003</v>
      </c>
      <c r="AD118" s="3">
        <v>0.82887018000000001</v>
      </c>
      <c r="AE118">
        <v>0</v>
      </c>
      <c r="AF118" t="s">
        <v>186</v>
      </c>
      <c r="AG118">
        <v>3</v>
      </c>
      <c r="AH118">
        <v>4</v>
      </c>
      <c r="AI118">
        <f t="shared" ref="AI118:AI137" si="40">AVERAGE($AG$117:$AG$137)</f>
        <v>3.0952380952380953</v>
      </c>
      <c r="AJ118">
        <f t="shared" ref="AJ118:AJ137" si="41">AVERAGE($AH$117:$AH$137)</f>
        <v>4</v>
      </c>
      <c r="AK118" t="s">
        <v>1143</v>
      </c>
      <c r="AL118">
        <v>56</v>
      </c>
      <c r="AM118" t="s">
        <v>140</v>
      </c>
      <c r="AN118" t="s">
        <v>185</v>
      </c>
      <c r="AO118">
        <v>4.0519999999999996</v>
      </c>
    </row>
    <row r="119" spans="1:75" ht="15.6">
      <c r="A119">
        <v>3</v>
      </c>
      <c r="B119" t="s">
        <v>141</v>
      </c>
      <c r="C119" t="s">
        <v>144</v>
      </c>
      <c r="D119" s="3">
        <f t="shared" si="31"/>
        <v>61.904761904761905</v>
      </c>
      <c r="E119" s="3">
        <f t="shared" si="32"/>
        <v>66.666666666666657</v>
      </c>
      <c r="F119">
        <v>2018</v>
      </c>
      <c r="G119">
        <f t="shared" si="14"/>
        <v>7</v>
      </c>
      <c r="H119">
        <f t="shared" si="33"/>
        <v>0.24908090357142859</v>
      </c>
      <c r="I119">
        <f t="shared" si="34"/>
        <v>0.45953198095238096</v>
      </c>
      <c r="J119">
        <f t="shared" si="35"/>
        <v>21</v>
      </c>
      <c r="K119">
        <v>2</v>
      </c>
      <c r="L119">
        <v>24</v>
      </c>
      <c r="M119" s="12">
        <f t="shared" si="36"/>
        <v>5.0114606556775659E-2</v>
      </c>
      <c r="N119">
        <f t="shared" si="30"/>
        <v>6.0161021154775098E-2</v>
      </c>
      <c r="O119">
        <f t="shared" si="37"/>
        <v>0.27569243332759646</v>
      </c>
      <c r="P119" t="s">
        <v>166</v>
      </c>
      <c r="Q119" t="s">
        <v>111</v>
      </c>
      <c r="R119">
        <v>13.318</v>
      </c>
      <c r="S119" s="1">
        <f t="shared" si="38"/>
        <v>14.399476190476191</v>
      </c>
      <c r="T119" t="s">
        <v>103</v>
      </c>
      <c r="U119">
        <v>23</v>
      </c>
      <c r="W119">
        <f t="shared" si="39"/>
        <v>27.285714285714285</v>
      </c>
      <c r="X119" t="s">
        <v>380</v>
      </c>
      <c r="Y119">
        <v>2012</v>
      </c>
      <c r="Z119">
        <f>2025-AVERAGE($Y$117:$Y$137)</f>
        <v>13.190476190476147</v>
      </c>
      <c r="AA119">
        <v>1.7756648E-2</v>
      </c>
      <c r="AB119">
        <v>2.2329834999999999E-2</v>
      </c>
      <c r="AC119">
        <v>0.27788921999999999</v>
      </c>
      <c r="AD119" s="3">
        <v>0.14641741999999999</v>
      </c>
      <c r="AE119">
        <v>0</v>
      </c>
      <c r="AF119" t="s">
        <v>186</v>
      </c>
      <c r="AG119">
        <v>2</v>
      </c>
      <c r="AH119">
        <v>4</v>
      </c>
      <c r="AI119">
        <f t="shared" si="40"/>
        <v>3.0952380952380953</v>
      </c>
      <c r="AJ119">
        <f t="shared" si="41"/>
        <v>4</v>
      </c>
      <c r="AK119" t="s">
        <v>1143</v>
      </c>
      <c r="AL119">
        <v>56</v>
      </c>
      <c r="AM119" t="s">
        <v>140</v>
      </c>
      <c r="AN119" t="s">
        <v>185</v>
      </c>
      <c r="AO119">
        <v>4.0519999999999996</v>
      </c>
      <c r="AY119" s="1"/>
    </row>
    <row r="120" spans="1:75" ht="15.6">
      <c r="A120">
        <v>3</v>
      </c>
      <c r="B120" t="s">
        <v>141</v>
      </c>
      <c r="C120" t="s">
        <v>145</v>
      </c>
      <c r="D120" s="3">
        <f t="shared" si="31"/>
        <v>61.904761904761905</v>
      </c>
      <c r="E120" s="3">
        <f t="shared" si="32"/>
        <v>66.666666666666657</v>
      </c>
      <c r="F120">
        <v>2018</v>
      </c>
      <c r="G120">
        <f t="shared" si="14"/>
        <v>7</v>
      </c>
      <c r="H120">
        <f t="shared" si="33"/>
        <v>0.24908090357142859</v>
      </c>
      <c r="I120">
        <f t="shared" si="34"/>
        <v>0.45953198095238096</v>
      </c>
      <c r="J120">
        <f t="shared" si="35"/>
        <v>21</v>
      </c>
      <c r="K120">
        <v>2</v>
      </c>
      <c r="L120">
        <v>24</v>
      </c>
      <c r="M120" s="12">
        <f t="shared" si="36"/>
        <v>5.0114606556775659E-2</v>
      </c>
      <c r="N120">
        <f t="shared" si="30"/>
        <v>6.0161021154775098E-2</v>
      </c>
      <c r="O120">
        <f t="shared" si="37"/>
        <v>0.27569243332759646</v>
      </c>
      <c r="P120" t="s">
        <v>167</v>
      </c>
      <c r="Q120" t="s">
        <v>412</v>
      </c>
      <c r="R120">
        <v>19.690000000000001</v>
      </c>
      <c r="S120">
        <f t="shared" si="38"/>
        <v>14.399476190476191</v>
      </c>
      <c r="T120" t="s">
        <v>103</v>
      </c>
      <c r="U120">
        <v>28</v>
      </c>
      <c r="W120">
        <f t="shared" si="39"/>
        <v>27.285714285714285</v>
      </c>
      <c r="X120" t="s">
        <v>380</v>
      </c>
      <c r="Y120">
        <v>2013</v>
      </c>
      <c r="Z120">
        <f>2025-AVERAGE($Y$117:$Y$137)</f>
        <v>13.190476190476147</v>
      </c>
      <c r="AA120">
        <v>5.4063951999999998E-5</v>
      </c>
      <c r="AB120">
        <v>2.957182E-3</v>
      </c>
      <c r="AC120">
        <v>0.52465247999999998</v>
      </c>
      <c r="AD120" s="3">
        <v>0.36050302000000001</v>
      </c>
      <c r="AE120">
        <v>0</v>
      </c>
      <c r="AF120" t="s">
        <v>186</v>
      </c>
      <c r="AG120">
        <v>4</v>
      </c>
      <c r="AH120">
        <v>2</v>
      </c>
      <c r="AI120">
        <f t="shared" si="40"/>
        <v>3.0952380952380953</v>
      </c>
      <c r="AJ120">
        <f t="shared" si="41"/>
        <v>4</v>
      </c>
      <c r="AK120" t="s">
        <v>1143</v>
      </c>
      <c r="AL120">
        <v>56</v>
      </c>
      <c r="AM120" t="s">
        <v>140</v>
      </c>
      <c r="AN120" t="s">
        <v>185</v>
      </c>
      <c r="AO120">
        <v>4.0519999999999996</v>
      </c>
    </row>
    <row r="121" spans="1:75" ht="15.6">
      <c r="A121">
        <v>3</v>
      </c>
      <c r="B121" t="s">
        <v>141</v>
      </c>
      <c r="C121" t="s">
        <v>146</v>
      </c>
      <c r="D121" s="3">
        <f t="shared" si="31"/>
        <v>61.904761904761905</v>
      </c>
      <c r="E121" s="3">
        <f t="shared" si="32"/>
        <v>66.666666666666657</v>
      </c>
      <c r="F121">
        <v>2018</v>
      </c>
      <c r="G121">
        <f t="shared" si="14"/>
        <v>7</v>
      </c>
      <c r="H121">
        <f t="shared" si="33"/>
        <v>0.24908090357142859</v>
      </c>
      <c r="I121">
        <f t="shared" si="34"/>
        <v>0.45953198095238096</v>
      </c>
      <c r="J121">
        <f t="shared" si="35"/>
        <v>21</v>
      </c>
      <c r="K121">
        <v>2</v>
      </c>
      <c r="L121">
        <v>24</v>
      </c>
      <c r="M121" s="12">
        <f t="shared" si="36"/>
        <v>5.0114606556775659E-2</v>
      </c>
      <c r="N121">
        <f t="shared" si="30"/>
        <v>6.0161021154775098E-2</v>
      </c>
      <c r="O121">
        <f t="shared" si="37"/>
        <v>0.27569243332759646</v>
      </c>
      <c r="P121" t="s">
        <v>168</v>
      </c>
      <c r="Q121" t="s">
        <v>111</v>
      </c>
      <c r="R121">
        <v>13.318</v>
      </c>
      <c r="S121">
        <f t="shared" si="38"/>
        <v>14.399476190476191</v>
      </c>
      <c r="T121" t="s">
        <v>103</v>
      </c>
      <c r="U121">
        <v>30</v>
      </c>
      <c r="W121">
        <f t="shared" si="39"/>
        <v>27.285714285714285</v>
      </c>
      <c r="X121" t="s">
        <v>380</v>
      </c>
      <c r="Y121">
        <v>2012</v>
      </c>
      <c r="Z121">
        <f>2025-AVERAGE($Y$117:$Y$137)</f>
        <v>13.190476190476147</v>
      </c>
      <c r="AA121">
        <v>4.2279498000000002E-3</v>
      </c>
      <c r="AB121">
        <v>1.2224E-5</v>
      </c>
      <c r="AC121">
        <v>0.67359084000000002</v>
      </c>
      <c r="AD121" s="3">
        <v>0.43645983999999999</v>
      </c>
      <c r="AE121">
        <v>0</v>
      </c>
      <c r="AF121" t="s">
        <v>186</v>
      </c>
      <c r="AG121">
        <v>3</v>
      </c>
      <c r="AH121">
        <v>4</v>
      </c>
      <c r="AI121">
        <f t="shared" si="40"/>
        <v>3.0952380952380953</v>
      </c>
      <c r="AJ121">
        <f t="shared" si="41"/>
        <v>4</v>
      </c>
      <c r="AK121" t="s">
        <v>1143</v>
      </c>
      <c r="AL121">
        <v>56</v>
      </c>
      <c r="AM121" t="s">
        <v>140</v>
      </c>
      <c r="AN121" t="s">
        <v>185</v>
      </c>
      <c r="AO121">
        <v>4.0519999999999996</v>
      </c>
    </row>
    <row r="122" spans="1:75" ht="15.6">
      <c r="A122">
        <v>3</v>
      </c>
      <c r="B122" t="s">
        <v>141</v>
      </c>
      <c r="C122" t="s">
        <v>147</v>
      </c>
      <c r="D122" s="3">
        <f t="shared" si="31"/>
        <v>61.904761904761905</v>
      </c>
      <c r="E122" s="3">
        <f t="shared" si="32"/>
        <v>66.666666666666657</v>
      </c>
      <c r="F122">
        <v>2018</v>
      </c>
      <c r="G122">
        <f t="shared" si="14"/>
        <v>7</v>
      </c>
      <c r="H122">
        <f t="shared" si="33"/>
        <v>0.24908090357142859</v>
      </c>
      <c r="I122">
        <f t="shared" si="34"/>
        <v>0.45953198095238096</v>
      </c>
      <c r="J122">
        <f t="shared" si="35"/>
        <v>21</v>
      </c>
      <c r="K122">
        <v>2</v>
      </c>
      <c r="L122">
        <v>24</v>
      </c>
      <c r="M122" s="12">
        <f t="shared" si="36"/>
        <v>5.0114606556775659E-2</v>
      </c>
      <c r="N122">
        <f t="shared" si="30"/>
        <v>6.0161021154775098E-2</v>
      </c>
      <c r="O122">
        <f t="shared" si="37"/>
        <v>0.27569243332759646</v>
      </c>
      <c r="P122" t="s">
        <v>169</v>
      </c>
      <c r="Q122" t="s">
        <v>111</v>
      </c>
      <c r="R122">
        <v>13.318</v>
      </c>
      <c r="S122">
        <f t="shared" si="38"/>
        <v>14.399476190476191</v>
      </c>
      <c r="T122" t="s">
        <v>101</v>
      </c>
      <c r="U122">
        <v>37</v>
      </c>
      <c r="W122">
        <f t="shared" si="39"/>
        <v>27.285714285714285</v>
      </c>
      <c r="X122" t="s">
        <v>380</v>
      </c>
      <c r="Y122">
        <v>2012</v>
      </c>
      <c r="Z122">
        <f>2025-AVERAGE($Y$117:$Y$137)</f>
        <v>13.190476190476147</v>
      </c>
      <c r="AA122">
        <v>2.9151877E-2</v>
      </c>
      <c r="AB122">
        <v>0.41526753</v>
      </c>
      <c r="AC122">
        <v>0.28914034</v>
      </c>
      <c r="AD122" s="3">
        <v>-3.5470117000000002E-2</v>
      </c>
      <c r="AE122">
        <v>0</v>
      </c>
      <c r="AF122" t="s">
        <v>186</v>
      </c>
      <c r="AG122">
        <v>2</v>
      </c>
      <c r="AH122">
        <v>4</v>
      </c>
      <c r="AI122">
        <f t="shared" si="40"/>
        <v>3.0952380952380953</v>
      </c>
      <c r="AJ122">
        <f t="shared" si="41"/>
        <v>4</v>
      </c>
      <c r="AK122" t="s">
        <v>1143</v>
      </c>
      <c r="AL122">
        <v>56</v>
      </c>
      <c r="AM122" t="s">
        <v>140</v>
      </c>
      <c r="AN122" t="s">
        <v>185</v>
      </c>
      <c r="AO122">
        <v>4.0519999999999996</v>
      </c>
    </row>
    <row r="123" spans="1:75" ht="15.6">
      <c r="A123">
        <v>3</v>
      </c>
      <c r="B123" t="s">
        <v>141</v>
      </c>
      <c r="C123" t="s">
        <v>148</v>
      </c>
      <c r="D123" s="3">
        <f t="shared" si="31"/>
        <v>61.904761904761905</v>
      </c>
      <c r="E123" s="3">
        <f t="shared" si="32"/>
        <v>66.666666666666657</v>
      </c>
      <c r="F123">
        <v>2018</v>
      </c>
      <c r="G123">
        <f t="shared" si="14"/>
        <v>7</v>
      </c>
      <c r="H123">
        <f t="shared" si="33"/>
        <v>0.24908090357142859</v>
      </c>
      <c r="I123">
        <f t="shared" si="34"/>
        <v>0.45953198095238096</v>
      </c>
      <c r="J123">
        <f t="shared" si="35"/>
        <v>21</v>
      </c>
      <c r="K123">
        <v>2</v>
      </c>
      <c r="L123">
        <v>24</v>
      </c>
      <c r="M123" s="12">
        <f t="shared" si="36"/>
        <v>5.0114606556775659E-2</v>
      </c>
      <c r="N123">
        <f t="shared" si="30"/>
        <v>6.0161021154775098E-2</v>
      </c>
      <c r="O123">
        <f t="shared" si="37"/>
        <v>0.27569243332759646</v>
      </c>
      <c r="P123" t="s">
        <v>170</v>
      </c>
      <c r="Q123" t="s">
        <v>111</v>
      </c>
      <c r="R123">
        <v>12.052</v>
      </c>
      <c r="S123">
        <f t="shared" si="38"/>
        <v>14.399476190476191</v>
      </c>
      <c r="T123" t="s">
        <v>103</v>
      </c>
      <c r="U123">
        <v>38</v>
      </c>
      <c r="W123">
        <f t="shared" si="39"/>
        <v>27.285714285714285</v>
      </c>
      <c r="X123" t="s">
        <v>380</v>
      </c>
      <c r="Y123">
        <v>2014</v>
      </c>
      <c r="Z123">
        <f>2025-AVERAGE($Y$117:$Y$137)</f>
        <v>13.190476190476147</v>
      </c>
      <c r="AA123">
        <v>2.6997961E-3</v>
      </c>
      <c r="AB123">
        <v>2.1022599999999999E-4</v>
      </c>
      <c r="AC123">
        <v>0.22296940000000001</v>
      </c>
      <c r="AD123" s="3">
        <v>0.18233825000000001</v>
      </c>
      <c r="AE123">
        <v>0</v>
      </c>
      <c r="AF123" t="s">
        <v>186</v>
      </c>
      <c r="AG123">
        <v>3</v>
      </c>
      <c r="AH123">
        <v>4</v>
      </c>
      <c r="AI123">
        <f t="shared" si="40"/>
        <v>3.0952380952380953</v>
      </c>
      <c r="AJ123">
        <f t="shared" si="41"/>
        <v>4</v>
      </c>
      <c r="AK123" t="s">
        <v>1143</v>
      </c>
      <c r="AL123">
        <v>56</v>
      </c>
      <c r="AM123" t="s">
        <v>140</v>
      </c>
      <c r="AN123" t="s">
        <v>185</v>
      </c>
      <c r="AO123">
        <v>4.0519999999999996</v>
      </c>
    </row>
    <row r="124" spans="1:75" ht="15.6">
      <c r="A124">
        <v>3</v>
      </c>
      <c r="B124" t="s">
        <v>141</v>
      </c>
      <c r="C124" t="s">
        <v>149</v>
      </c>
      <c r="D124" s="3">
        <f t="shared" si="31"/>
        <v>61.904761904761905</v>
      </c>
      <c r="E124" s="3">
        <f t="shared" si="32"/>
        <v>66.666666666666657</v>
      </c>
      <c r="F124">
        <v>2018</v>
      </c>
      <c r="G124">
        <f t="shared" si="14"/>
        <v>7</v>
      </c>
      <c r="H124">
        <f t="shared" si="33"/>
        <v>0.24908090357142859</v>
      </c>
      <c r="I124">
        <f t="shared" si="34"/>
        <v>0.45953198095238096</v>
      </c>
      <c r="J124">
        <f t="shared" si="35"/>
        <v>21</v>
      </c>
      <c r="K124">
        <v>2</v>
      </c>
      <c r="L124">
        <v>24</v>
      </c>
      <c r="M124" s="12">
        <f t="shared" si="36"/>
        <v>5.0114606556775659E-2</v>
      </c>
      <c r="N124">
        <f t="shared" si="30"/>
        <v>6.0161021154775098E-2</v>
      </c>
      <c r="O124">
        <f t="shared" si="37"/>
        <v>0.27569243332759646</v>
      </c>
      <c r="P124" t="s">
        <v>171</v>
      </c>
      <c r="Q124" t="s">
        <v>412</v>
      </c>
      <c r="R124">
        <v>18.78</v>
      </c>
      <c r="S124">
        <f t="shared" si="38"/>
        <v>14.399476190476191</v>
      </c>
      <c r="T124" t="s">
        <v>103</v>
      </c>
      <c r="U124">
        <v>30</v>
      </c>
      <c r="W124">
        <f t="shared" si="39"/>
        <v>27.285714285714285</v>
      </c>
      <c r="X124" t="s">
        <v>380</v>
      </c>
      <c r="Y124">
        <v>2014</v>
      </c>
      <c r="Z124">
        <f>2025-AVERAGE($Y$117:$Y$137)</f>
        <v>13.190476190476147</v>
      </c>
      <c r="AA124">
        <v>1.4272976E-10</v>
      </c>
      <c r="AB124">
        <v>1.5799999999999999E-6</v>
      </c>
      <c r="AC124">
        <v>0.81581437999999995</v>
      </c>
      <c r="AD124" s="3">
        <v>0.83205013999999999</v>
      </c>
      <c r="AE124">
        <v>0</v>
      </c>
      <c r="AF124" t="s">
        <v>186</v>
      </c>
      <c r="AG124">
        <v>4</v>
      </c>
      <c r="AH124">
        <v>5</v>
      </c>
      <c r="AI124">
        <f t="shared" si="40"/>
        <v>3.0952380952380953</v>
      </c>
      <c r="AJ124">
        <f t="shared" si="41"/>
        <v>4</v>
      </c>
      <c r="AK124" t="s">
        <v>1143</v>
      </c>
      <c r="AL124">
        <v>56</v>
      </c>
      <c r="AM124" t="s">
        <v>140</v>
      </c>
      <c r="AN124" t="s">
        <v>185</v>
      </c>
      <c r="AO124">
        <v>4.0519999999999996</v>
      </c>
    </row>
    <row r="125" spans="1:75" ht="15.6">
      <c r="A125">
        <v>3</v>
      </c>
      <c r="B125" t="s">
        <v>141</v>
      </c>
      <c r="C125" t="s">
        <v>150</v>
      </c>
      <c r="D125" s="3">
        <f t="shared" si="31"/>
        <v>61.904761904761905</v>
      </c>
      <c r="E125" s="3">
        <f t="shared" si="32"/>
        <v>66.666666666666657</v>
      </c>
      <c r="F125">
        <v>2018</v>
      </c>
      <c r="G125">
        <f t="shared" si="14"/>
        <v>7</v>
      </c>
      <c r="H125">
        <f t="shared" si="33"/>
        <v>0.24908090357142859</v>
      </c>
      <c r="I125">
        <f t="shared" si="34"/>
        <v>0.45953198095238096</v>
      </c>
      <c r="J125">
        <f t="shared" si="35"/>
        <v>21</v>
      </c>
      <c r="K125">
        <v>2</v>
      </c>
      <c r="L125">
        <v>24</v>
      </c>
      <c r="M125" s="12">
        <f t="shared" si="36"/>
        <v>5.0114606556775659E-2</v>
      </c>
      <c r="N125">
        <f t="shared" si="30"/>
        <v>6.0161021154775098E-2</v>
      </c>
      <c r="O125">
        <f t="shared" si="37"/>
        <v>0.27569243332759646</v>
      </c>
      <c r="P125" t="s">
        <v>172</v>
      </c>
      <c r="Q125" t="s">
        <v>111</v>
      </c>
      <c r="R125">
        <v>13.481</v>
      </c>
      <c r="S125">
        <f t="shared" si="38"/>
        <v>14.399476190476191</v>
      </c>
      <c r="T125" t="s">
        <v>103</v>
      </c>
      <c r="U125">
        <v>32</v>
      </c>
      <c r="W125">
        <f t="shared" si="39"/>
        <v>27.285714285714285</v>
      </c>
      <c r="X125" t="s">
        <v>380</v>
      </c>
      <c r="Y125">
        <v>2010</v>
      </c>
      <c r="Z125">
        <f>2025-AVERAGE($Y$117:$Y$137)</f>
        <v>13.190476190476147</v>
      </c>
      <c r="AA125">
        <v>8.3617042000000007E-9</v>
      </c>
      <c r="AB125">
        <v>2.5201497999999999E-2</v>
      </c>
      <c r="AC125">
        <v>0.63140059000000004</v>
      </c>
      <c r="AD125" s="3">
        <v>0.34381703000000002</v>
      </c>
      <c r="AE125">
        <v>0</v>
      </c>
      <c r="AF125" t="s">
        <v>186</v>
      </c>
      <c r="AG125">
        <v>4</v>
      </c>
      <c r="AH125">
        <v>2</v>
      </c>
      <c r="AI125">
        <f t="shared" si="40"/>
        <v>3.0952380952380953</v>
      </c>
      <c r="AJ125">
        <f t="shared" si="41"/>
        <v>4</v>
      </c>
      <c r="AK125" t="s">
        <v>1143</v>
      </c>
      <c r="AL125">
        <v>56</v>
      </c>
      <c r="AM125" t="s">
        <v>140</v>
      </c>
      <c r="AN125" t="s">
        <v>185</v>
      </c>
      <c r="AO125">
        <v>4.0519999999999996</v>
      </c>
    </row>
    <row r="126" spans="1:75" ht="15.6">
      <c r="A126">
        <v>3</v>
      </c>
      <c r="B126" t="s">
        <v>141</v>
      </c>
      <c r="C126" t="s">
        <v>151</v>
      </c>
      <c r="D126" s="3">
        <f t="shared" si="31"/>
        <v>61.904761904761905</v>
      </c>
      <c r="E126" s="3">
        <f t="shared" si="32"/>
        <v>66.666666666666657</v>
      </c>
      <c r="F126">
        <v>2018</v>
      </c>
      <c r="G126">
        <f t="shared" si="14"/>
        <v>7</v>
      </c>
      <c r="H126">
        <f t="shared" si="33"/>
        <v>0.24908090357142859</v>
      </c>
      <c r="I126">
        <f t="shared" si="34"/>
        <v>0.45953198095238096</v>
      </c>
      <c r="J126">
        <f t="shared" si="35"/>
        <v>21</v>
      </c>
      <c r="K126">
        <v>2</v>
      </c>
      <c r="L126">
        <v>24</v>
      </c>
      <c r="M126" s="12">
        <f t="shared" si="36"/>
        <v>5.0114606556775659E-2</v>
      </c>
      <c r="N126">
        <f t="shared" si="30"/>
        <v>6.0161021154775098E-2</v>
      </c>
      <c r="O126">
        <f t="shared" si="37"/>
        <v>0.27569243332759646</v>
      </c>
      <c r="P126" t="s">
        <v>173</v>
      </c>
      <c r="Q126" t="s">
        <v>111</v>
      </c>
      <c r="R126">
        <v>14.238</v>
      </c>
      <c r="S126">
        <f t="shared" si="38"/>
        <v>14.399476190476191</v>
      </c>
      <c r="T126" t="s">
        <v>103</v>
      </c>
      <c r="U126">
        <v>31</v>
      </c>
      <c r="W126">
        <f t="shared" si="39"/>
        <v>27.285714285714285</v>
      </c>
      <c r="X126" t="s">
        <v>380</v>
      </c>
      <c r="Y126">
        <v>2011</v>
      </c>
      <c r="Z126">
        <f>2025-AVERAGE($Y$117:$Y$137)</f>
        <v>13.190476190476147</v>
      </c>
      <c r="AA126">
        <v>3.9268718000000002E-5</v>
      </c>
      <c r="AB126">
        <v>5.886077E-3</v>
      </c>
      <c r="AC126">
        <v>0.60227637999999994</v>
      </c>
      <c r="AD126" s="3">
        <v>0.38413259</v>
      </c>
      <c r="AE126">
        <v>0</v>
      </c>
      <c r="AF126" t="s">
        <v>186</v>
      </c>
      <c r="AG126">
        <v>2</v>
      </c>
      <c r="AH126">
        <v>4</v>
      </c>
      <c r="AI126">
        <f t="shared" si="40"/>
        <v>3.0952380952380953</v>
      </c>
      <c r="AJ126">
        <f t="shared" si="41"/>
        <v>4</v>
      </c>
      <c r="AK126" t="s">
        <v>1143</v>
      </c>
      <c r="AL126">
        <v>56</v>
      </c>
      <c r="AM126" t="s">
        <v>140</v>
      </c>
      <c r="AN126" t="s">
        <v>185</v>
      </c>
      <c r="AO126">
        <v>4.0519999999999996</v>
      </c>
    </row>
    <row r="127" spans="1:75" ht="15.6">
      <c r="A127">
        <v>3</v>
      </c>
      <c r="B127" t="s">
        <v>141</v>
      </c>
      <c r="C127" t="s">
        <v>152</v>
      </c>
      <c r="D127" s="3">
        <f t="shared" si="31"/>
        <v>61.904761904761905</v>
      </c>
      <c r="E127" s="3">
        <f t="shared" si="32"/>
        <v>66.666666666666657</v>
      </c>
      <c r="F127">
        <v>2018</v>
      </c>
      <c r="G127">
        <f t="shared" si="14"/>
        <v>7</v>
      </c>
      <c r="H127">
        <f t="shared" si="33"/>
        <v>0.24908090357142859</v>
      </c>
      <c r="I127">
        <f t="shared" si="34"/>
        <v>0.45953198095238096</v>
      </c>
      <c r="J127">
        <f t="shared" si="35"/>
        <v>21</v>
      </c>
      <c r="K127">
        <v>2</v>
      </c>
      <c r="L127">
        <v>24</v>
      </c>
      <c r="M127" s="12">
        <f t="shared" si="36"/>
        <v>5.0114606556775659E-2</v>
      </c>
      <c r="N127">
        <f t="shared" si="30"/>
        <v>6.0161021154775098E-2</v>
      </c>
      <c r="O127">
        <f t="shared" si="37"/>
        <v>0.27569243332759646</v>
      </c>
      <c r="P127" t="s">
        <v>174</v>
      </c>
      <c r="Q127" t="s">
        <v>111</v>
      </c>
      <c r="R127">
        <v>12.41</v>
      </c>
      <c r="S127">
        <f t="shared" si="38"/>
        <v>14.399476190476191</v>
      </c>
      <c r="T127" t="s">
        <v>101</v>
      </c>
      <c r="U127">
        <v>37</v>
      </c>
      <c r="W127">
        <f t="shared" si="39"/>
        <v>27.285714285714285</v>
      </c>
      <c r="X127" t="s">
        <v>380</v>
      </c>
      <c r="Y127">
        <v>2013</v>
      </c>
      <c r="Z127">
        <f>2025-AVERAGE($Y$117:$Y$137)</f>
        <v>13.190476190476147</v>
      </c>
      <c r="AA127">
        <v>1.3326087E-2</v>
      </c>
      <c r="AB127">
        <v>0.46811007999999998</v>
      </c>
      <c r="AC127">
        <v>0.26906911</v>
      </c>
      <c r="AD127" s="3">
        <v>-2.7254447000000001E-2</v>
      </c>
      <c r="AE127">
        <v>0</v>
      </c>
      <c r="AF127" t="s">
        <v>186</v>
      </c>
      <c r="AG127">
        <v>2</v>
      </c>
      <c r="AH127">
        <v>5</v>
      </c>
      <c r="AI127">
        <f t="shared" si="40"/>
        <v>3.0952380952380953</v>
      </c>
      <c r="AJ127">
        <f t="shared" si="41"/>
        <v>4</v>
      </c>
      <c r="AK127" t="s">
        <v>1143</v>
      </c>
      <c r="AL127">
        <v>56</v>
      </c>
      <c r="AM127" t="s">
        <v>140</v>
      </c>
      <c r="AN127" t="s">
        <v>185</v>
      </c>
      <c r="AO127">
        <v>4.0519999999999996</v>
      </c>
    </row>
    <row r="128" spans="1:75" ht="15.6">
      <c r="A128">
        <v>3</v>
      </c>
      <c r="B128" t="s">
        <v>141</v>
      </c>
      <c r="C128" t="s">
        <v>153</v>
      </c>
      <c r="D128" s="3">
        <f t="shared" si="31"/>
        <v>61.904761904761905</v>
      </c>
      <c r="E128" s="3">
        <f t="shared" si="32"/>
        <v>66.666666666666657</v>
      </c>
      <c r="F128">
        <v>2018</v>
      </c>
      <c r="G128">
        <f t="shared" si="14"/>
        <v>7</v>
      </c>
      <c r="H128">
        <f t="shared" si="33"/>
        <v>0.24908090357142859</v>
      </c>
      <c r="I128">
        <f t="shared" si="34"/>
        <v>0.45953198095238096</v>
      </c>
      <c r="J128">
        <f t="shared" si="35"/>
        <v>21</v>
      </c>
      <c r="K128">
        <v>2</v>
      </c>
      <c r="L128">
        <v>24</v>
      </c>
      <c r="M128" s="12">
        <f t="shared" si="36"/>
        <v>5.0114606556775659E-2</v>
      </c>
      <c r="N128">
        <f t="shared" si="30"/>
        <v>6.0161021154775098E-2</v>
      </c>
      <c r="O128">
        <f t="shared" si="37"/>
        <v>0.27569243332759646</v>
      </c>
      <c r="P128" t="s">
        <v>175</v>
      </c>
      <c r="Q128" t="s">
        <v>111</v>
      </c>
      <c r="R128">
        <v>13.481</v>
      </c>
      <c r="S128">
        <f t="shared" si="38"/>
        <v>14.399476190476191</v>
      </c>
      <c r="T128" t="s">
        <v>103</v>
      </c>
      <c r="U128">
        <v>15</v>
      </c>
      <c r="W128">
        <f t="shared" si="39"/>
        <v>27.285714285714285</v>
      </c>
      <c r="X128" t="s">
        <v>380</v>
      </c>
      <c r="Y128">
        <v>2010</v>
      </c>
      <c r="Z128">
        <f>2025-AVERAGE($Y$117:$Y$137)</f>
        <v>13.190476190476147</v>
      </c>
      <c r="AA128">
        <v>2.3826132E-2</v>
      </c>
      <c r="AB128">
        <v>3.4999999999999998E-10</v>
      </c>
      <c r="AC128">
        <v>0.45049948000000001</v>
      </c>
      <c r="AD128" s="3">
        <v>0.58620399000000001</v>
      </c>
      <c r="AE128">
        <v>0</v>
      </c>
      <c r="AF128" t="s">
        <v>186</v>
      </c>
      <c r="AG128">
        <v>3</v>
      </c>
      <c r="AH128">
        <v>2</v>
      </c>
      <c r="AI128">
        <f t="shared" si="40"/>
        <v>3.0952380952380953</v>
      </c>
      <c r="AJ128">
        <f t="shared" si="41"/>
        <v>4</v>
      </c>
      <c r="AK128" t="s">
        <v>1143</v>
      </c>
      <c r="AL128">
        <v>56</v>
      </c>
      <c r="AM128" t="s">
        <v>140</v>
      </c>
      <c r="AN128" t="s">
        <v>185</v>
      </c>
      <c r="AO128">
        <v>4.0519999999999996</v>
      </c>
    </row>
    <row r="129" spans="1:62" ht="15.6">
      <c r="A129">
        <v>3</v>
      </c>
      <c r="B129" t="s">
        <v>141</v>
      </c>
      <c r="C129" t="s">
        <v>154</v>
      </c>
      <c r="D129" s="3">
        <f t="shared" si="31"/>
        <v>61.904761904761905</v>
      </c>
      <c r="E129" s="3">
        <f t="shared" si="32"/>
        <v>66.666666666666657</v>
      </c>
      <c r="F129">
        <v>2018</v>
      </c>
      <c r="G129">
        <f t="shared" si="14"/>
        <v>7</v>
      </c>
      <c r="H129">
        <f t="shared" si="33"/>
        <v>0.24908090357142859</v>
      </c>
      <c r="I129">
        <f t="shared" si="34"/>
        <v>0.45953198095238096</v>
      </c>
      <c r="J129">
        <f t="shared" si="35"/>
        <v>21</v>
      </c>
      <c r="K129">
        <v>2</v>
      </c>
      <c r="L129">
        <v>24</v>
      </c>
      <c r="M129" s="12">
        <f t="shared" si="36"/>
        <v>5.0114606556775659E-2</v>
      </c>
      <c r="N129">
        <f t="shared" si="30"/>
        <v>6.0161021154775098E-2</v>
      </c>
      <c r="O129">
        <f t="shared" si="37"/>
        <v>0.27569243332759646</v>
      </c>
      <c r="P129" t="s">
        <v>176</v>
      </c>
      <c r="Q129" t="s">
        <v>111</v>
      </c>
      <c r="R129">
        <v>13.481</v>
      </c>
      <c r="S129">
        <f t="shared" si="38"/>
        <v>14.399476190476191</v>
      </c>
      <c r="T129" t="s">
        <v>101</v>
      </c>
      <c r="U129">
        <v>8</v>
      </c>
      <c r="W129">
        <f t="shared" si="39"/>
        <v>27.285714285714285</v>
      </c>
      <c r="X129" t="s">
        <v>380</v>
      </c>
      <c r="Y129">
        <v>2010</v>
      </c>
      <c r="Z129">
        <f>2025-AVERAGE($Y$117:$Y$137)</f>
        <v>13.190476190476147</v>
      </c>
      <c r="AA129">
        <v>1.3330429E-2</v>
      </c>
      <c r="AB129">
        <v>0.43615346999999999</v>
      </c>
      <c r="AC129">
        <v>0.38813424000000002</v>
      </c>
      <c r="AD129" s="3">
        <v>-4.6322691999999999E-2</v>
      </c>
      <c r="AE129">
        <v>0</v>
      </c>
      <c r="AF129" t="s">
        <v>186</v>
      </c>
      <c r="AG129">
        <v>2</v>
      </c>
      <c r="AH129">
        <v>4</v>
      </c>
      <c r="AI129">
        <f t="shared" si="40"/>
        <v>3.0952380952380953</v>
      </c>
      <c r="AJ129">
        <f t="shared" si="41"/>
        <v>4</v>
      </c>
      <c r="AK129" t="s">
        <v>1143</v>
      </c>
      <c r="AL129">
        <v>56</v>
      </c>
      <c r="AM129" t="s">
        <v>140</v>
      </c>
      <c r="AN129" t="s">
        <v>185</v>
      </c>
      <c r="AO129">
        <v>4.0519999999999996</v>
      </c>
    </row>
    <row r="130" spans="1:62" ht="15.6">
      <c r="A130">
        <v>3</v>
      </c>
      <c r="B130" t="s">
        <v>141</v>
      </c>
      <c r="C130" t="s">
        <v>155</v>
      </c>
      <c r="D130" s="3">
        <f t="shared" si="31"/>
        <v>61.904761904761905</v>
      </c>
      <c r="E130" s="3">
        <f t="shared" si="32"/>
        <v>66.666666666666657</v>
      </c>
      <c r="F130">
        <v>2018</v>
      </c>
      <c r="G130">
        <f t="shared" si="14"/>
        <v>7</v>
      </c>
      <c r="H130">
        <f t="shared" si="33"/>
        <v>0.24908090357142859</v>
      </c>
      <c r="I130">
        <f t="shared" si="34"/>
        <v>0.45953198095238096</v>
      </c>
      <c r="J130">
        <f t="shared" si="35"/>
        <v>21</v>
      </c>
      <c r="K130">
        <v>2</v>
      </c>
      <c r="L130">
        <v>24</v>
      </c>
      <c r="M130" s="12">
        <f t="shared" si="36"/>
        <v>5.0114606556775659E-2</v>
      </c>
      <c r="N130">
        <f t="shared" si="30"/>
        <v>6.0161021154775098E-2</v>
      </c>
      <c r="O130">
        <f t="shared" si="37"/>
        <v>0.27569243332759646</v>
      </c>
      <c r="P130" t="s">
        <v>177</v>
      </c>
      <c r="Q130" t="s">
        <v>111</v>
      </c>
      <c r="R130">
        <v>13.481</v>
      </c>
      <c r="S130">
        <f t="shared" si="38"/>
        <v>14.399476190476191</v>
      </c>
      <c r="T130" t="s">
        <v>103</v>
      </c>
      <c r="U130">
        <v>31</v>
      </c>
      <c r="W130">
        <f t="shared" si="39"/>
        <v>27.285714285714285</v>
      </c>
      <c r="X130" t="s">
        <v>380</v>
      </c>
      <c r="Y130">
        <v>2010</v>
      </c>
      <c r="Z130">
        <f>2025-AVERAGE($Y$117:$Y$137)</f>
        <v>13.190476190476147</v>
      </c>
      <c r="AA130">
        <v>9.2059383000000009E-3</v>
      </c>
      <c r="AB130">
        <v>6.48563E-4</v>
      </c>
      <c r="AC130">
        <v>0.45311347000000002</v>
      </c>
      <c r="AD130" s="3">
        <v>0.3546918</v>
      </c>
      <c r="AE130">
        <v>0</v>
      </c>
      <c r="AF130" t="s">
        <v>186</v>
      </c>
      <c r="AG130">
        <v>3</v>
      </c>
      <c r="AH130">
        <v>4</v>
      </c>
      <c r="AI130">
        <f t="shared" si="40"/>
        <v>3.0952380952380953</v>
      </c>
      <c r="AJ130">
        <f t="shared" si="41"/>
        <v>4</v>
      </c>
      <c r="AK130" t="s">
        <v>1143</v>
      </c>
      <c r="AL130">
        <v>56</v>
      </c>
      <c r="AM130" t="s">
        <v>140</v>
      </c>
      <c r="AN130" t="s">
        <v>185</v>
      </c>
      <c r="AO130">
        <v>4.0519999999999996</v>
      </c>
    </row>
    <row r="131" spans="1:62" ht="15.6">
      <c r="A131">
        <v>3</v>
      </c>
      <c r="B131" t="s">
        <v>141</v>
      </c>
      <c r="C131" t="s">
        <v>156</v>
      </c>
      <c r="D131" s="3">
        <f t="shared" si="31"/>
        <v>61.904761904761905</v>
      </c>
      <c r="E131" s="3">
        <f t="shared" si="32"/>
        <v>66.666666666666657</v>
      </c>
      <c r="F131">
        <v>2018</v>
      </c>
      <c r="G131">
        <f t="shared" ref="G131:G194" si="42">2025-F131</f>
        <v>7</v>
      </c>
      <c r="H131">
        <f t="shared" si="33"/>
        <v>0.24908090357142859</v>
      </c>
      <c r="I131">
        <f t="shared" si="34"/>
        <v>0.45953198095238096</v>
      </c>
      <c r="J131">
        <f t="shared" si="35"/>
        <v>21</v>
      </c>
      <c r="K131">
        <v>2</v>
      </c>
      <c r="L131">
        <v>24</v>
      </c>
      <c r="M131" s="12">
        <f t="shared" si="36"/>
        <v>5.0114606556775659E-2</v>
      </c>
      <c r="N131">
        <f t="shared" si="30"/>
        <v>6.0161021154775098E-2</v>
      </c>
      <c r="O131">
        <f t="shared" si="37"/>
        <v>0.27569243332759646</v>
      </c>
      <c r="P131" t="s">
        <v>178</v>
      </c>
      <c r="Q131" t="s">
        <v>412</v>
      </c>
      <c r="R131">
        <v>19.669</v>
      </c>
      <c r="S131">
        <f t="shared" si="38"/>
        <v>14.399476190476191</v>
      </c>
      <c r="T131" t="s">
        <v>103</v>
      </c>
      <c r="U131">
        <v>30</v>
      </c>
      <c r="W131">
        <f t="shared" si="39"/>
        <v>27.285714285714285</v>
      </c>
      <c r="X131" t="s">
        <v>380</v>
      </c>
      <c r="Y131">
        <v>2015</v>
      </c>
      <c r="Z131">
        <f>2025-AVERAGE($Y$117:$Y$137)</f>
        <v>13.190476190476147</v>
      </c>
      <c r="AA131">
        <v>4.4010378999999999E-3</v>
      </c>
      <c r="AB131">
        <v>1.0949132E-2</v>
      </c>
      <c r="AC131">
        <v>0.2005827</v>
      </c>
      <c r="AD131" s="3">
        <v>0.11604169</v>
      </c>
      <c r="AE131">
        <v>0</v>
      </c>
      <c r="AF131" t="s">
        <v>186</v>
      </c>
      <c r="AG131">
        <v>4</v>
      </c>
      <c r="AH131">
        <v>4</v>
      </c>
      <c r="AI131">
        <f t="shared" si="40"/>
        <v>3.0952380952380953</v>
      </c>
      <c r="AJ131">
        <f t="shared" si="41"/>
        <v>4</v>
      </c>
      <c r="AK131" t="s">
        <v>1143</v>
      </c>
      <c r="AL131">
        <v>56</v>
      </c>
      <c r="AM131" t="s">
        <v>140</v>
      </c>
      <c r="AN131" t="s">
        <v>185</v>
      </c>
      <c r="AO131">
        <v>4.0519999999999996</v>
      </c>
    </row>
    <row r="132" spans="1:62" ht="15.6">
      <c r="A132">
        <v>3</v>
      </c>
      <c r="B132" t="s">
        <v>141</v>
      </c>
      <c r="C132" t="s">
        <v>157</v>
      </c>
      <c r="D132" s="3">
        <f t="shared" si="31"/>
        <v>61.904761904761905</v>
      </c>
      <c r="E132" s="3">
        <f t="shared" si="32"/>
        <v>66.666666666666657</v>
      </c>
      <c r="F132">
        <v>2018</v>
      </c>
      <c r="G132">
        <f t="shared" si="42"/>
        <v>7</v>
      </c>
      <c r="H132">
        <f t="shared" si="33"/>
        <v>0.24908090357142859</v>
      </c>
      <c r="I132">
        <f t="shared" si="34"/>
        <v>0.45953198095238096</v>
      </c>
      <c r="J132">
        <f t="shared" si="35"/>
        <v>21</v>
      </c>
      <c r="K132">
        <v>2</v>
      </c>
      <c r="L132">
        <v>24</v>
      </c>
      <c r="M132" s="12">
        <f t="shared" si="36"/>
        <v>5.0114606556775659E-2</v>
      </c>
      <c r="N132">
        <f t="shared" si="30"/>
        <v>6.0161021154775098E-2</v>
      </c>
      <c r="O132">
        <f t="shared" si="37"/>
        <v>0.27569243332759646</v>
      </c>
      <c r="P132" t="s">
        <v>179</v>
      </c>
      <c r="Q132" t="s">
        <v>111</v>
      </c>
      <c r="R132">
        <v>13.481</v>
      </c>
      <c r="S132">
        <f t="shared" si="38"/>
        <v>14.399476190476191</v>
      </c>
      <c r="T132" t="s">
        <v>103</v>
      </c>
      <c r="U132">
        <v>6</v>
      </c>
      <c r="W132">
        <f t="shared" si="39"/>
        <v>27.285714285714285</v>
      </c>
      <c r="X132" t="s">
        <v>380</v>
      </c>
      <c r="Y132">
        <v>2010</v>
      </c>
      <c r="Z132">
        <f>2025-AVERAGE($Y$117:$Y$137)</f>
        <v>13.190476190476147</v>
      </c>
      <c r="AA132">
        <v>2.3603487999999999E-2</v>
      </c>
      <c r="AB132">
        <v>8.7084390000000001E-3</v>
      </c>
      <c r="AC132">
        <v>0.37653737999999998</v>
      </c>
      <c r="AD132" s="3">
        <v>0.14973016</v>
      </c>
      <c r="AE132">
        <v>0</v>
      </c>
      <c r="AF132" t="s">
        <v>186</v>
      </c>
      <c r="AG132">
        <v>2</v>
      </c>
      <c r="AH132">
        <v>4</v>
      </c>
      <c r="AI132">
        <f t="shared" si="40"/>
        <v>3.0952380952380953</v>
      </c>
      <c r="AJ132">
        <f t="shared" si="41"/>
        <v>4</v>
      </c>
      <c r="AK132" t="s">
        <v>1143</v>
      </c>
      <c r="AL132">
        <v>56</v>
      </c>
      <c r="AM132" t="s">
        <v>140</v>
      </c>
      <c r="AN132" t="s">
        <v>185</v>
      </c>
      <c r="AO132">
        <v>4.0519999999999996</v>
      </c>
    </row>
    <row r="133" spans="1:62" ht="15.6">
      <c r="A133">
        <v>3</v>
      </c>
      <c r="B133" t="s">
        <v>141</v>
      </c>
      <c r="C133" t="s">
        <v>158</v>
      </c>
      <c r="D133" s="3">
        <f t="shared" si="31"/>
        <v>61.904761904761905</v>
      </c>
      <c r="E133" s="3">
        <f t="shared" si="32"/>
        <v>66.666666666666657</v>
      </c>
      <c r="F133">
        <v>2018</v>
      </c>
      <c r="G133">
        <f t="shared" si="42"/>
        <v>7</v>
      </c>
      <c r="H133">
        <f t="shared" si="33"/>
        <v>0.24908090357142859</v>
      </c>
      <c r="I133">
        <f t="shared" si="34"/>
        <v>0.45953198095238096</v>
      </c>
      <c r="J133">
        <f t="shared" si="35"/>
        <v>21</v>
      </c>
      <c r="K133">
        <v>2</v>
      </c>
      <c r="L133">
        <v>24</v>
      </c>
      <c r="M133" s="12">
        <f t="shared" si="36"/>
        <v>5.0114606556775659E-2</v>
      </c>
      <c r="N133">
        <f t="shared" si="30"/>
        <v>6.0161021154775098E-2</v>
      </c>
      <c r="O133">
        <f t="shared" si="37"/>
        <v>0.27569243332759646</v>
      </c>
      <c r="P133" t="s">
        <v>180</v>
      </c>
      <c r="Q133" t="s">
        <v>111</v>
      </c>
      <c r="R133">
        <v>14.238</v>
      </c>
      <c r="S133">
        <f t="shared" si="38"/>
        <v>14.399476190476191</v>
      </c>
      <c r="T133" t="s">
        <v>101</v>
      </c>
      <c r="U133">
        <v>28</v>
      </c>
      <c r="W133">
        <f t="shared" si="39"/>
        <v>27.285714285714285</v>
      </c>
      <c r="X133" t="s">
        <v>380</v>
      </c>
      <c r="Y133">
        <v>2011</v>
      </c>
      <c r="Z133">
        <f>2025-AVERAGE($Y$117:$Y$137)</f>
        <v>13.190476190476147</v>
      </c>
      <c r="AA133">
        <v>3.0215393E-5</v>
      </c>
      <c r="AB133">
        <v>0.39386377</v>
      </c>
      <c r="AC133">
        <v>0.79315537000000003</v>
      </c>
      <c r="AD133" s="3">
        <v>-9.8183989999999999E-2</v>
      </c>
      <c r="AE133">
        <v>0</v>
      </c>
      <c r="AF133" t="s">
        <v>186</v>
      </c>
      <c r="AG133">
        <v>2</v>
      </c>
      <c r="AH133">
        <v>4</v>
      </c>
      <c r="AI133">
        <f t="shared" si="40"/>
        <v>3.0952380952380953</v>
      </c>
      <c r="AJ133">
        <f t="shared" si="41"/>
        <v>4</v>
      </c>
      <c r="AK133" t="s">
        <v>1143</v>
      </c>
      <c r="AL133">
        <v>56</v>
      </c>
      <c r="AM133" t="s">
        <v>140</v>
      </c>
      <c r="AN133" t="s">
        <v>185</v>
      </c>
      <c r="AO133">
        <v>4.0519999999999996</v>
      </c>
    </row>
    <row r="134" spans="1:62" ht="15.6">
      <c r="A134">
        <v>3</v>
      </c>
      <c r="B134" t="s">
        <v>141</v>
      </c>
      <c r="C134" t="s">
        <v>159</v>
      </c>
      <c r="D134" s="3">
        <f t="shared" si="31"/>
        <v>61.904761904761905</v>
      </c>
      <c r="E134" s="3">
        <f t="shared" si="32"/>
        <v>66.666666666666657</v>
      </c>
      <c r="F134">
        <v>2018</v>
      </c>
      <c r="G134">
        <f t="shared" si="42"/>
        <v>7</v>
      </c>
      <c r="H134">
        <f t="shared" si="33"/>
        <v>0.24908090357142859</v>
      </c>
      <c r="I134">
        <f t="shared" si="34"/>
        <v>0.45953198095238096</v>
      </c>
      <c r="J134">
        <f t="shared" si="35"/>
        <v>21</v>
      </c>
      <c r="K134">
        <v>2</v>
      </c>
      <c r="L134">
        <v>24</v>
      </c>
      <c r="M134" s="12">
        <f t="shared" si="36"/>
        <v>5.0114606556775659E-2</v>
      </c>
      <c r="N134">
        <f t="shared" si="30"/>
        <v>6.0161021154775098E-2</v>
      </c>
      <c r="O134">
        <f t="shared" si="37"/>
        <v>0.27569243332759646</v>
      </c>
      <c r="P134" t="s">
        <v>181</v>
      </c>
      <c r="Q134" t="s">
        <v>412</v>
      </c>
      <c r="R134">
        <v>17.545999999999999</v>
      </c>
      <c r="S134">
        <f t="shared" si="38"/>
        <v>14.399476190476191</v>
      </c>
      <c r="T134" t="s">
        <v>101</v>
      </c>
      <c r="U134">
        <v>30</v>
      </c>
      <c r="W134">
        <f t="shared" si="39"/>
        <v>27.285714285714285</v>
      </c>
      <c r="X134" t="s">
        <v>380</v>
      </c>
      <c r="Y134">
        <v>2012</v>
      </c>
      <c r="Z134">
        <f>2025-AVERAGE($Y$117:$Y$137)</f>
        <v>13.190476190476147</v>
      </c>
      <c r="AA134">
        <v>8.8706342999999993E-3</v>
      </c>
      <c r="AB134">
        <v>0.23357507999999999</v>
      </c>
      <c r="AC134">
        <v>0.14098142</v>
      </c>
      <c r="AD134" s="3">
        <v>2.5786534E-2</v>
      </c>
      <c r="AE134">
        <v>0</v>
      </c>
      <c r="AF134" t="s">
        <v>186</v>
      </c>
      <c r="AG134">
        <v>3</v>
      </c>
      <c r="AH134">
        <v>5</v>
      </c>
      <c r="AI134">
        <f t="shared" si="40"/>
        <v>3.0952380952380953</v>
      </c>
      <c r="AJ134">
        <f t="shared" si="41"/>
        <v>4</v>
      </c>
      <c r="AK134" t="s">
        <v>1143</v>
      </c>
      <c r="AL134">
        <v>56</v>
      </c>
      <c r="AM134" t="s">
        <v>140</v>
      </c>
      <c r="AN134" t="s">
        <v>185</v>
      </c>
      <c r="AO134">
        <v>4.0519999999999996</v>
      </c>
    </row>
    <row r="135" spans="1:62" ht="15.6">
      <c r="A135">
        <v>3</v>
      </c>
      <c r="B135" t="s">
        <v>141</v>
      </c>
      <c r="C135" t="s">
        <v>160</v>
      </c>
      <c r="D135" s="3">
        <f t="shared" si="31"/>
        <v>61.904761904761905</v>
      </c>
      <c r="E135" s="3">
        <f t="shared" si="32"/>
        <v>66.666666666666657</v>
      </c>
      <c r="F135">
        <v>2018</v>
      </c>
      <c r="G135">
        <f t="shared" si="42"/>
        <v>7</v>
      </c>
      <c r="H135">
        <f t="shared" si="33"/>
        <v>0.24908090357142859</v>
      </c>
      <c r="I135">
        <f t="shared" si="34"/>
        <v>0.45953198095238096</v>
      </c>
      <c r="J135">
        <f t="shared" si="35"/>
        <v>21</v>
      </c>
      <c r="K135">
        <v>2</v>
      </c>
      <c r="L135">
        <v>24</v>
      </c>
      <c r="M135" s="12">
        <f t="shared" si="36"/>
        <v>5.0114606556775659E-2</v>
      </c>
      <c r="N135">
        <f t="shared" si="30"/>
        <v>6.0161021154775098E-2</v>
      </c>
      <c r="O135">
        <f t="shared" si="37"/>
        <v>0.27569243332759646</v>
      </c>
      <c r="P135" t="s">
        <v>182</v>
      </c>
      <c r="Q135" t="s">
        <v>111</v>
      </c>
      <c r="R135">
        <v>13.318</v>
      </c>
      <c r="S135">
        <f t="shared" si="38"/>
        <v>14.399476190476191</v>
      </c>
      <c r="T135" t="s">
        <v>101</v>
      </c>
      <c r="U135">
        <v>34</v>
      </c>
      <c r="W135">
        <f t="shared" si="39"/>
        <v>27.285714285714285</v>
      </c>
      <c r="X135" t="s">
        <v>380</v>
      </c>
      <c r="Y135">
        <v>2012</v>
      </c>
      <c r="Z135">
        <f>2025-AVERAGE($Y$117:$Y$137)</f>
        <v>13.190476190476147</v>
      </c>
      <c r="AA135">
        <v>4.6294663E-2</v>
      </c>
      <c r="AB135">
        <v>0.70950502000000004</v>
      </c>
      <c r="AC135">
        <v>0.26744499999999999</v>
      </c>
      <c r="AD135" s="3">
        <v>-1.500574E-2</v>
      </c>
      <c r="AE135">
        <v>0</v>
      </c>
      <c r="AF135" t="s">
        <v>186</v>
      </c>
      <c r="AG135">
        <v>3</v>
      </c>
      <c r="AH135">
        <v>5</v>
      </c>
      <c r="AI135">
        <f t="shared" si="40"/>
        <v>3.0952380952380953</v>
      </c>
      <c r="AJ135">
        <f t="shared" si="41"/>
        <v>4</v>
      </c>
      <c r="AK135" t="s">
        <v>1143</v>
      </c>
      <c r="AL135">
        <v>56</v>
      </c>
      <c r="AM135" t="s">
        <v>140</v>
      </c>
      <c r="AN135" t="s">
        <v>185</v>
      </c>
      <c r="AO135">
        <v>4.0519999999999996</v>
      </c>
    </row>
    <row r="136" spans="1:62" ht="15.6">
      <c r="A136">
        <v>3</v>
      </c>
      <c r="B136" t="s">
        <v>141</v>
      </c>
      <c r="C136" t="s">
        <v>161</v>
      </c>
      <c r="D136" s="3">
        <f t="shared" si="31"/>
        <v>61.904761904761905</v>
      </c>
      <c r="E136" s="3">
        <f t="shared" si="32"/>
        <v>66.666666666666657</v>
      </c>
      <c r="F136">
        <v>2018</v>
      </c>
      <c r="G136">
        <f t="shared" si="42"/>
        <v>7</v>
      </c>
      <c r="H136">
        <f t="shared" si="33"/>
        <v>0.24908090357142859</v>
      </c>
      <c r="I136">
        <f t="shared" si="34"/>
        <v>0.45953198095238096</v>
      </c>
      <c r="J136">
        <f t="shared" si="35"/>
        <v>21</v>
      </c>
      <c r="K136">
        <v>2</v>
      </c>
      <c r="L136">
        <v>24</v>
      </c>
      <c r="M136" s="12">
        <f t="shared" si="36"/>
        <v>5.0114606556775659E-2</v>
      </c>
      <c r="N136">
        <f t="shared" si="30"/>
        <v>6.0161021154775098E-2</v>
      </c>
      <c r="O136">
        <f t="shared" si="37"/>
        <v>0.27569243332759646</v>
      </c>
      <c r="P136" t="s">
        <v>183</v>
      </c>
      <c r="Q136" t="s">
        <v>111</v>
      </c>
      <c r="R136">
        <v>14.238</v>
      </c>
      <c r="S136">
        <f t="shared" si="38"/>
        <v>14.399476190476191</v>
      </c>
      <c r="T136" t="s">
        <v>101</v>
      </c>
      <c r="U136">
        <v>9</v>
      </c>
      <c r="W136">
        <f t="shared" si="39"/>
        <v>27.285714285714285</v>
      </c>
      <c r="X136" t="s">
        <v>380</v>
      </c>
      <c r="Y136">
        <v>2011</v>
      </c>
      <c r="Z136">
        <f>2025-AVERAGE($Y$117:$Y$137)</f>
        <v>13.190476190476147</v>
      </c>
      <c r="AA136">
        <v>1.7421178999999999E-3</v>
      </c>
      <c r="AB136">
        <v>0.44927672000000002</v>
      </c>
      <c r="AC136">
        <v>0.36764622000000002</v>
      </c>
      <c r="AD136" s="3">
        <v>4.9590591000000003E-2</v>
      </c>
      <c r="AE136">
        <v>0</v>
      </c>
      <c r="AF136" t="s">
        <v>186</v>
      </c>
      <c r="AG136">
        <v>3</v>
      </c>
      <c r="AH136">
        <v>6</v>
      </c>
      <c r="AI136">
        <f t="shared" si="40"/>
        <v>3.0952380952380953</v>
      </c>
      <c r="AJ136">
        <f t="shared" si="41"/>
        <v>4</v>
      </c>
      <c r="AK136" t="s">
        <v>1143</v>
      </c>
      <c r="AL136">
        <v>56</v>
      </c>
      <c r="AM136" t="s">
        <v>140</v>
      </c>
      <c r="AN136" t="s">
        <v>185</v>
      </c>
      <c r="AO136">
        <v>4.0519999999999996</v>
      </c>
    </row>
    <row r="137" spans="1:62" s="3" customFormat="1" ht="15.6">
      <c r="A137" s="3">
        <v>3</v>
      </c>
      <c r="B137" s="3" t="s">
        <v>141</v>
      </c>
      <c r="C137" s="3" t="s">
        <v>162</v>
      </c>
      <c r="D137" s="3">
        <f t="shared" si="31"/>
        <v>61.904761904761905</v>
      </c>
      <c r="E137" s="3">
        <f t="shared" si="32"/>
        <v>66.666666666666657</v>
      </c>
      <c r="F137">
        <v>2018</v>
      </c>
      <c r="G137">
        <f t="shared" si="42"/>
        <v>7</v>
      </c>
      <c r="H137" s="3">
        <f t="shared" si="33"/>
        <v>0.24908090357142859</v>
      </c>
      <c r="I137" s="3">
        <f t="shared" si="34"/>
        <v>0.45953198095238096</v>
      </c>
      <c r="J137" s="3">
        <f t="shared" si="35"/>
        <v>21</v>
      </c>
      <c r="K137" s="3">
        <v>2</v>
      </c>
      <c r="L137" s="3">
        <v>24</v>
      </c>
      <c r="M137" s="12">
        <f t="shared" si="36"/>
        <v>5.0114606556775659E-2</v>
      </c>
      <c r="N137" s="3">
        <f t="shared" si="30"/>
        <v>6.0161021154775098E-2</v>
      </c>
      <c r="O137" s="3">
        <f t="shared" si="37"/>
        <v>0.27569243332759646</v>
      </c>
      <c r="P137" s="3" t="s">
        <v>184</v>
      </c>
      <c r="Q137" s="3" t="s">
        <v>111</v>
      </c>
      <c r="R137" s="3">
        <v>12.052</v>
      </c>
      <c r="S137" s="3">
        <f t="shared" si="38"/>
        <v>14.399476190476191</v>
      </c>
      <c r="T137" s="3" t="s">
        <v>103</v>
      </c>
      <c r="U137" s="3">
        <v>27</v>
      </c>
      <c r="W137" s="3">
        <f t="shared" si="39"/>
        <v>27.285714285714285</v>
      </c>
      <c r="X137" s="3" t="s">
        <v>380</v>
      </c>
      <c r="Y137" s="3">
        <v>2014</v>
      </c>
      <c r="Z137">
        <f>2025-AVERAGE($Y$117:$Y$137)</f>
        <v>13.190476190476147</v>
      </c>
      <c r="AA137" s="9">
        <v>4.4143863999999997E-5</v>
      </c>
      <c r="AB137" s="3">
        <v>6.8001699999999996E-5</v>
      </c>
      <c r="AC137" s="3">
        <v>0.67416494999999999</v>
      </c>
      <c r="AD137" s="9">
        <v>0.59359890000000004</v>
      </c>
      <c r="AE137">
        <v>0</v>
      </c>
      <c r="AF137" s="3" t="s">
        <v>186</v>
      </c>
      <c r="AG137" s="3">
        <v>8</v>
      </c>
      <c r="AH137" s="3">
        <v>4</v>
      </c>
      <c r="AI137" s="3">
        <f t="shared" si="40"/>
        <v>3.0952380952380953</v>
      </c>
      <c r="AJ137" s="3">
        <f t="shared" si="41"/>
        <v>4</v>
      </c>
      <c r="AK137" s="3" t="s">
        <v>1143</v>
      </c>
      <c r="AL137" s="3">
        <v>56</v>
      </c>
      <c r="AM137" s="3" t="s">
        <v>140</v>
      </c>
      <c r="AN137" s="3" t="s">
        <v>185</v>
      </c>
      <c r="AO137" s="3">
        <v>4.0519999999999996</v>
      </c>
      <c r="BE137" s="9"/>
      <c r="BF137" s="9"/>
      <c r="BI137" s="9"/>
      <c r="BJ137" s="9"/>
    </row>
    <row r="138" spans="1:62" ht="15.6">
      <c r="A138">
        <v>4</v>
      </c>
      <c r="B138" t="s">
        <v>199</v>
      </c>
      <c r="C138" t="s">
        <v>187</v>
      </c>
      <c r="D138" s="3">
        <v>70</v>
      </c>
      <c r="E138" s="3">
        <v>80</v>
      </c>
      <c r="F138">
        <v>2022</v>
      </c>
      <c r="G138">
        <f t="shared" si="42"/>
        <v>3</v>
      </c>
      <c r="H138">
        <f>AVERAGE($AD$138:$AD$147)</f>
        <v>0.47525000000000006</v>
      </c>
      <c r="I138">
        <f>AVERAGE($AC$138:$AC$147)</f>
        <v>0.60477073969921791</v>
      </c>
      <c r="J138">
        <f>COUNTA($C$138:$C$147)</f>
        <v>10</v>
      </c>
      <c r="K138">
        <v>1</v>
      </c>
      <c r="L138">
        <v>8</v>
      </c>
      <c r="M138" s="12">
        <f>_xlfn.VAR.P($AD$138:$AD$147)</f>
        <v>0.13742181249999993</v>
      </c>
      <c r="N138">
        <f t="shared" ref="N138:N147" si="43">$O$138/SQRT($J$138)</f>
        <v>0.11722704999273841</v>
      </c>
      <c r="O138">
        <f t="shared" ref="O138:O147" si="44">_xlfn.STDEV.P($AD$138:$AD$147)</f>
        <v>0.37070448135947848</v>
      </c>
      <c r="P138" t="s">
        <v>189</v>
      </c>
      <c r="Q138" t="s">
        <v>188</v>
      </c>
      <c r="R138">
        <v>3.5640000000000001</v>
      </c>
      <c r="S138">
        <f>AVERAGE($R$138:$R$147)</f>
        <v>3.5691999999999999</v>
      </c>
      <c r="T138" t="s">
        <v>103</v>
      </c>
      <c r="U138">
        <v>64</v>
      </c>
      <c r="W138">
        <f>AVERAGE($U$138:$U$147)</f>
        <v>43.2</v>
      </c>
      <c r="X138" t="s">
        <v>380</v>
      </c>
      <c r="Y138">
        <v>2013</v>
      </c>
      <c r="Z138">
        <f>2025-AVERAGE($Y$138:$Y$147)</f>
        <v>14.799999999999955</v>
      </c>
      <c r="AA138">
        <v>1.612E-6</v>
      </c>
      <c r="AB138">
        <v>0.29656666999999998</v>
      </c>
      <c r="AC138">
        <v>0.60417026945503705</v>
      </c>
      <c r="AD138" s="3">
        <v>0.33</v>
      </c>
      <c r="AE138">
        <v>1</v>
      </c>
      <c r="AF138" t="s">
        <v>138</v>
      </c>
      <c r="AG138">
        <v>3</v>
      </c>
      <c r="AH138">
        <v>2</v>
      </c>
      <c r="AI138">
        <f>AVERAGE($AG$138:$AG$147)</f>
        <v>2.5</v>
      </c>
      <c r="AJ138">
        <f>AVERAGE($AH$138:$AH$147)</f>
        <v>1.8</v>
      </c>
      <c r="AK138" t="s">
        <v>139</v>
      </c>
      <c r="AL138">
        <v>23</v>
      </c>
      <c r="AM138" t="s">
        <v>140</v>
      </c>
      <c r="AN138" t="s">
        <v>188</v>
      </c>
      <c r="AO138">
        <v>5.3220000000000001</v>
      </c>
    </row>
    <row r="139" spans="1:62" ht="15.6">
      <c r="A139">
        <v>4</v>
      </c>
      <c r="B139" t="s">
        <v>199</v>
      </c>
      <c r="C139" t="s">
        <v>187</v>
      </c>
      <c r="D139" s="3">
        <v>70</v>
      </c>
      <c r="E139" s="3">
        <v>80</v>
      </c>
      <c r="F139">
        <v>2022</v>
      </c>
      <c r="G139">
        <f t="shared" si="42"/>
        <v>3</v>
      </c>
      <c r="H139">
        <f t="shared" ref="H139:H147" si="45">AVERAGE($AD$138:$AD$147)</f>
        <v>0.47525000000000006</v>
      </c>
      <c r="I139">
        <f t="shared" ref="I139:I147" si="46">AVERAGE($AC$138:$AC$147)</f>
        <v>0.60477073969921791</v>
      </c>
      <c r="J139">
        <f t="shared" ref="J139:J147" si="47">COUNTA($C$138:$C$147)</f>
        <v>10</v>
      </c>
      <c r="K139">
        <v>1</v>
      </c>
      <c r="L139">
        <v>8</v>
      </c>
      <c r="M139" s="12">
        <f t="shared" ref="M139:M147" si="48">_xlfn.VAR.P($AD$138:$AD$147)</f>
        <v>0.13742181249999993</v>
      </c>
      <c r="N139">
        <f t="shared" si="43"/>
        <v>0.11722704999273841</v>
      </c>
      <c r="O139">
        <f t="shared" si="44"/>
        <v>0.37070448135947848</v>
      </c>
      <c r="P139" t="s">
        <v>190</v>
      </c>
      <c r="Q139" t="s">
        <v>188</v>
      </c>
      <c r="R139">
        <v>3.1059999999999999</v>
      </c>
      <c r="S139">
        <f t="shared" ref="S139:S147" si="49">AVERAGE($R$138:$R$147)</f>
        <v>3.5691999999999999</v>
      </c>
      <c r="T139" t="s">
        <v>101</v>
      </c>
      <c r="U139">
        <v>43</v>
      </c>
      <c r="W139">
        <f t="shared" ref="W139:W147" si="50">AVERAGE($U$138:$U$147)</f>
        <v>43.2</v>
      </c>
      <c r="X139" t="s">
        <v>380</v>
      </c>
      <c r="Y139">
        <v>2006</v>
      </c>
      <c r="Z139">
        <f>2025-AVERAGE($Y$138:$Y$147)</f>
        <v>14.799999999999955</v>
      </c>
      <c r="AA139">
        <v>5.5E-2</v>
      </c>
      <c r="AB139">
        <f>AVERAGE(0.221,0.0478)</f>
        <v>0.13439999999999999</v>
      </c>
      <c r="AC139">
        <v>0.20517720283702801</v>
      </c>
      <c r="AD139" s="3">
        <v>0.105</v>
      </c>
      <c r="AE139">
        <v>1</v>
      </c>
      <c r="AF139" t="s">
        <v>138</v>
      </c>
      <c r="AG139">
        <v>2</v>
      </c>
      <c r="AH139">
        <v>2</v>
      </c>
      <c r="AI139">
        <f t="shared" ref="AI139:AI147" si="51">AVERAGE($AG$138:$AG$147)</f>
        <v>2.5</v>
      </c>
      <c r="AJ139">
        <f t="shared" ref="AJ139:AJ147" si="52">AVERAGE($AH$138:$AH$147)</f>
        <v>1.8</v>
      </c>
      <c r="AK139" t="s">
        <v>139</v>
      </c>
      <c r="AL139">
        <v>23</v>
      </c>
      <c r="AM139" t="s">
        <v>140</v>
      </c>
      <c r="AN139" t="s">
        <v>188</v>
      </c>
      <c r="AO139">
        <v>5.3220000000000001</v>
      </c>
    </row>
    <row r="140" spans="1:62" ht="15.6">
      <c r="A140">
        <v>4</v>
      </c>
      <c r="B140" t="s">
        <v>199</v>
      </c>
      <c r="C140" t="s">
        <v>187</v>
      </c>
      <c r="D140" s="3">
        <v>70</v>
      </c>
      <c r="E140" s="3">
        <v>80</v>
      </c>
      <c r="F140">
        <v>2022</v>
      </c>
      <c r="G140">
        <f t="shared" si="42"/>
        <v>3</v>
      </c>
      <c r="H140">
        <f t="shared" si="45"/>
        <v>0.47525000000000006</v>
      </c>
      <c r="I140">
        <f t="shared" si="46"/>
        <v>0.60477073969921791</v>
      </c>
      <c r="J140">
        <f t="shared" si="47"/>
        <v>10</v>
      </c>
      <c r="K140">
        <v>1</v>
      </c>
      <c r="L140">
        <v>8</v>
      </c>
      <c r="M140" s="12">
        <f t="shared" si="48"/>
        <v>0.13742181249999993</v>
      </c>
      <c r="N140">
        <f t="shared" si="43"/>
        <v>0.11722704999273841</v>
      </c>
      <c r="O140">
        <f t="shared" si="44"/>
        <v>0.37070448135947848</v>
      </c>
      <c r="P140" t="s">
        <v>191</v>
      </c>
      <c r="Q140" t="s">
        <v>188</v>
      </c>
      <c r="R140">
        <v>3.0209999999999999</v>
      </c>
      <c r="S140" s="1">
        <f t="shared" si="49"/>
        <v>3.5691999999999999</v>
      </c>
      <c r="T140" t="s">
        <v>103</v>
      </c>
      <c r="U140">
        <v>31</v>
      </c>
      <c r="W140">
        <f t="shared" si="50"/>
        <v>43.2</v>
      </c>
      <c r="X140" t="s">
        <v>380</v>
      </c>
      <c r="Y140">
        <v>2011</v>
      </c>
      <c r="Z140">
        <f>2025-AVERAGE($Y$138:$Y$147)</f>
        <v>14.799999999999955</v>
      </c>
      <c r="AA140">
        <v>1.5500000000000001E-220</v>
      </c>
      <c r="AB140">
        <f>AVERAGE(3.79E-180,1.41E-258)</f>
        <v>1.8949999999999999E-180</v>
      </c>
      <c r="AC140">
        <v>0.99999958026732105</v>
      </c>
      <c r="AD140" s="3">
        <v>0.99</v>
      </c>
      <c r="AE140">
        <v>1</v>
      </c>
      <c r="AF140" t="s">
        <v>138</v>
      </c>
      <c r="AG140">
        <v>3</v>
      </c>
      <c r="AH140">
        <v>2</v>
      </c>
      <c r="AI140">
        <f t="shared" si="51"/>
        <v>2.5</v>
      </c>
      <c r="AJ140">
        <f t="shared" si="52"/>
        <v>1.8</v>
      </c>
      <c r="AK140" t="s">
        <v>139</v>
      </c>
      <c r="AL140">
        <v>23</v>
      </c>
      <c r="AM140" t="s">
        <v>140</v>
      </c>
      <c r="AN140" t="s">
        <v>188</v>
      </c>
      <c r="AO140">
        <v>5.3220000000000001</v>
      </c>
      <c r="AY140" s="1"/>
      <c r="BE140" s="1"/>
    </row>
    <row r="141" spans="1:62" ht="15.6">
      <c r="A141">
        <v>4</v>
      </c>
      <c r="B141" t="s">
        <v>199</v>
      </c>
      <c r="C141" t="s">
        <v>187</v>
      </c>
      <c r="D141" s="3">
        <v>70</v>
      </c>
      <c r="E141" s="3">
        <v>80</v>
      </c>
      <c r="F141">
        <v>2022</v>
      </c>
      <c r="G141">
        <f t="shared" si="42"/>
        <v>3</v>
      </c>
      <c r="H141">
        <f t="shared" si="45"/>
        <v>0.47525000000000006</v>
      </c>
      <c r="I141">
        <f t="shared" si="46"/>
        <v>0.60477073969921791</v>
      </c>
      <c r="J141">
        <f t="shared" si="47"/>
        <v>10</v>
      </c>
      <c r="K141">
        <v>1</v>
      </c>
      <c r="L141">
        <v>8</v>
      </c>
      <c r="M141" s="12">
        <f t="shared" si="48"/>
        <v>0.13742181249999993</v>
      </c>
      <c r="N141">
        <f t="shared" si="43"/>
        <v>0.11722704999273841</v>
      </c>
      <c r="O141">
        <f t="shared" si="44"/>
        <v>0.37070448135947848</v>
      </c>
      <c r="P141" t="s">
        <v>192</v>
      </c>
      <c r="Q141" t="s">
        <v>188</v>
      </c>
      <c r="R141">
        <v>3.984</v>
      </c>
      <c r="S141">
        <f t="shared" si="49"/>
        <v>3.5691999999999999</v>
      </c>
      <c r="T141" t="s">
        <v>101</v>
      </c>
      <c r="U141">
        <v>32</v>
      </c>
      <c r="W141">
        <f t="shared" si="50"/>
        <v>43.2</v>
      </c>
      <c r="X141" t="s">
        <v>380</v>
      </c>
      <c r="Y141">
        <v>2008</v>
      </c>
      <c r="Z141">
        <f>2025-AVERAGE($Y$138:$Y$147)</f>
        <v>14.799999999999955</v>
      </c>
      <c r="AA141">
        <v>1.03E-2</v>
      </c>
      <c r="AB141">
        <v>0.12404999999999999</v>
      </c>
      <c r="AC141">
        <v>0.363247963737866</v>
      </c>
      <c r="AD141" s="3">
        <v>0.1525</v>
      </c>
      <c r="AE141">
        <v>1</v>
      </c>
      <c r="AF141" t="s">
        <v>138</v>
      </c>
      <c r="AG141">
        <v>2</v>
      </c>
      <c r="AH141">
        <v>2</v>
      </c>
      <c r="AI141">
        <f t="shared" si="51"/>
        <v>2.5</v>
      </c>
      <c r="AJ141">
        <f t="shared" si="52"/>
        <v>1.8</v>
      </c>
      <c r="AK141" t="s">
        <v>139</v>
      </c>
      <c r="AL141">
        <v>23</v>
      </c>
      <c r="AM141" t="s">
        <v>140</v>
      </c>
      <c r="AN141" t="s">
        <v>188</v>
      </c>
      <c r="AO141">
        <v>5.3220000000000001</v>
      </c>
    </row>
    <row r="142" spans="1:62" ht="15.6">
      <c r="A142">
        <v>4</v>
      </c>
      <c r="B142" t="s">
        <v>199</v>
      </c>
      <c r="C142" t="s">
        <v>187</v>
      </c>
      <c r="D142" s="3">
        <v>70</v>
      </c>
      <c r="E142" s="3">
        <v>80</v>
      </c>
      <c r="F142">
        <v>2022</v>
      </c>
      <c r="G142">
        <f t="shared" si="42"/>
        <v>3</v>
      </c>
      <c r="H142">
        <f t="shared" si="45"/>
        <v>0.47525000000000006</v>
      </c>
      <c r="I142">
        <f t="shared" si="46"/>
        <v>0.60477073969921791</v>
      </c>
      <c r="J142">
        <f t="shared" si="47"/>
        <v>10</v>
      </c>
      <c r="K142">
        <v>1</v>
      </c>
      <c r="L142">
        <v>8</v>
      </c>
      <c r="M142" s="12">
        <f t="shared" si="48"/>
        <v>0.13742181249999993</v>
      </c>
      <c r="N142">
        <f t="shared" si="43"/>
        <v>0.11722704999273841</v>
      </c>
      <c r="O142">
        <f t="shared" si="44"/>
        <v>0.37070448135947848</v>
      </c>
      <c r="P142" t="s">
        <v>193</v>
      </c>
      <c r="Q142" t="s">
        <v>188</v>
      </c>
      <c r="R142">
        <v>3.984</v>
      </c>
      <c r="S142">
        <f t="shared" si="49"/>
        <v>3.5691999999999999</v>
      </c>
      <c r="T142" t="s">
        <v>101</v>
      </c>
      <c r="U142">
        <v>28</v>
      </c>
      <c r="W142">
        <f t="shared" si="50"/>
        <v>43.2</v>
      </c>
      <c r="X142" t="s">
        <v>380</v>
      </c>
      <c r="Y142">
        <v>2008</v>
      </c>
      <c r="Z142">
        <f>2025-AVERAGE($Y$138:$Y$147)</f>
        <v>14.799999999999955</v>
      </c>
      <c r="AA142">
        <v>4.7E-2</v>
      </c>
      <c r="AB142">
        <v>0.47804999999999997</v>
      </c>
      <c r="AC142">
        <v>8.8333914046459294E-2</v>
      </c>
      <c r="AD142" s="3">
        <v>0.05</v>
      </c>
      <c r="AE142">
        <v>1</v>
      </c>
      <c r="AF142" t="s">
        <v>138</v>
      </c>
      <c r="AG142">
        <v>2</v>
      </c>
      <c r="AH142">
        <v>2</v>
      </c>
      <c r="AI142">
        <f t="shared" si="51"/>
        <v>2.5</v>
      </c>
      <c r="AJ142">
        <f t="shared" si="52"/>
        <v>1.8</v>
      </c>
      <c r="AK142" t="s">
        <v>139</v>
      </c>
      <c r="AL142">
        <v>23</v>
      </c>
      <c r="AM142" t="s">
        <v>140</v>
      </c>
      <c r="AN142" t="s">
        <v>188</v>
      </c>
      <c r="AO142">
        <v>5.3220000000000001</v>
      </c>
    </row>
    <row r="143" spans="1:62" ht="15.6">
      <c r="A143">
        <v>4</v>
      </c>
      <c r="B143" t="s">
        <v>199</v>
      </c>
      <c r="C143" t="s">
        <v>187</v>
      </c>
      <c r="D143" s="3">
        <v>70</v>
      </c>
      <c r="E143" s="3">
        <v>80</v>
      </c>
      <c r="F143">
        <v>2022</v>
      </c>
      <c r="G143">
        <f t="shared" si="42"/>
        <v>3</v>
      </c>
      <c r="H143">
        <f t="shared" si="45"/>
        <v>0.47525000000000006</v>
      </c>
      <c r="I143">
        <f t="shared" si="46"/>
        <v>0.60477073969921791</v>
      </c>
      <c r="J143">
        <f t="shared" si="47"/>
        <v>10</v>
      </c>
      <c r="K143">
        <v>1</v>
      </c>
      <c r="L143">
        <v>8</v>
      </c>
      <c r="M143" s="12">
        <f t="shared" si="48"/>
        <v>0.13742181249999993</v>
      </c>
      <c r="N143">
        <f t="shared" si="43"/>
        <v>0.11722704999273841</v>
      </c>
      <c r="O143">
        <f t="shared" si="44"/>
        <v>0.37070448135947848</v>
      </c>
      <c r="P143" t="s">
        <v>194</v>
      </c>
      <c r="Q143" t="s">
        <v>188</v>
      </c>
      <c r="R143">
        <v>3.8730000000000002</v>
      </c>
      <c r="S143">
        <f t="shared" si="49"/>
        <v>3.5691999999999999</v>
      </c>
      <c r="T143" t="s">
        <v>103</v>
      </c>
      <c r="U143">
        <v>28</v>
      </c>
      <c r="W143">
        <f t="shared" si="50"/>
        <v>43.2</v>
      </c>
      <c r="X143" t="s">
        <v>380</v>
      </c>
      <c r="Y143">
        <v>2016</v>
      </c>
      <c r="Z143">
        <f>2025-AVERAGE($Y$138:$Y$147)</f>
        <v>14.799999999999955</v>
      </c>
      <c r="AA143">
        <f>AVERAGE(6.58E-18,0.0000000229)</f>
        <v>1.145000000329E-8</v>
      </c>
      <c r="AB143">
        <v>5.169E-3</v>
      </c>
      <c r="AC143">
        <v>0.89083000000000001</v>
      </c>
      <c r="AD143" s="3">
        <v>0.76</v>
      </c>
      <c r="AE143">
        <v>1</v>
      </c>
      <c r="AF143" t="s">
        <v>138</v>
      </c>
      <c r="AG143">
        <v>2</v>
      </c>
      <c r="AH143">
        <v>1</v>
      </c>
      <c r="AI143">
        <f t="shared" si="51"/>
        <v>2.5</v>
      </c>
      <c r="AJ143">
        <f t="shared" si="52"/>
        <v>1.8</v>
      </c>
      <c r="AK143" t="s">
        <v>139</v>
      </c>
      <c r="AL143">
        <v>23</v>
      </c>
      <c r="AM143" t="s">
        <v>140</v>
      </c>
      <c r="AN143" t="s">
        <v>188</v>
      </c>
      <c r="AO143">
        <v>5.3220000000000001</v>
      </c>
      <c r="AR143" s="1"/>
    </row>
    <row r="144" spans="1:62" ht="15.6">
      <c r="A144">
        <v>4</v>
      </c>
      <c r="B144" t="s">
        <v>199</v>
      </c>
      <c r="C144" t="s">
        <v>187</v>
      </c>
      <c r="D144" s="3">
        <v>70</v>
      </c>
      <c r="E144" s="3">
        <v>80</v>
      </c>
      <c r="F144">
        <v>2022</v>
      </c>
      <c r="G144">
        <f t="shared" si="42"/>
        <v>3</v>
      </c>
      <c r="H144">
        <f t="shared" si="45"/>
        <v>0.47525000000000006</v>
      </c>
      <c r="I144">
        <f t="shared" si="46"/>
        <v>0.60477073969921791</v>
      </c>
      <c r="J144">
        <f t="shared" si="47"/>
        <v>10</v>
      </c>
      <c r="K144">
        <v>1</v>
      </c>
      <c r="L144">
        <v>8</v>
      </c>
      <c r="M144" s="12">
        <f t="shared" si="48"/>
        <v>0.13742181249999993</v>
      </c>
      <c r="N144">
        <f t="shared" si="43"/>
        <v>0.11722704999273841</v>
      </c>
      <c r="O144">
        <f t="shared" si="44"/>
        <v>0.37070448135947848</v>
      </c>
      <c r="P144" t="s">
        <v>195</v>
      </c>
      <c r="Q144" t="s">
        <v>188</v>
      </c>
      <c r="R144">
        <v>3.0209999999999999</v>
      </c>
      <c r="S144">
        <f t="shared" si="49"/>
        <v>3.5691999999999999</v>
      </c>
      <c r="T144" t="s">
        <v>103</v>
      </c>
      <c r="U144">
        <v>58</v>
      </c>
      <c r="W144">
        <f t="shared" si="50"/>
        <v>43.2</v>
      </c>
      <c r="X144" t="s">
        <v>380</v>
      </c>
      <c r="Y144">
        <v>2011</v>
      </c>
      <c r="Z144">
        <f>2025-AVERAGE($Y$138:$Y$147)</f>
        <v>14.799999999999955</v>
      </c>
      <c r="AA144">
        <f>AVERAGE(2.11E-26,0.0000000000000454)</f>
        <v>2.2700000000010549E-14</v>
      </c>
      <c r="AB144">
        <f>AVERAGE(0.00000188,0.0000338,3.27E-25,0.000000000000231)</f>
        <v>8.9200000577500009E-6</v>
      </c>
      <c r="AC144">
        <v>0.882239</v>
      </c>
      <c r="AD144" s="3">
        <v>0.64249999999999996</v>
      </c>
      <c r="AE144">
        <v>1</v>
      </c>
      <c r="AF144" t="s">
        <v>138</v>
      </c>
      <c r="AG144">
        <v>3</v>
      </c>
      <c r="AH144">
        <v>2</v>
      </c>
      <c r="AI144">
        <f t="shared" si="51"/>
        <v>2.5</v>
      </c>
      <c r="AJ144">
        <f t="shared" si="52"/>
        <v>1.8</v>
      </c>
      <c r="AK144" t="s">
        <v>139</v>
      </c>
      <c r="AL144">
        <v>23</v>
      </c>
      <c r="AM144" t="s">
        <v>140</v>
      </c>
      <c r="AN144" t="s">
        <v>188</v>
      </c>
      <c r="AO144">
        <v>5.3220000000000001</v>
      </c>
      <c r="AR144" s="1"/>
    </row>
    <row r="145" spans="1:75" ht="15.6">
      <c r="A145">
        <v>4</v>
      </c>
      <c r="B145" t="s">
        <v>199</v>
      </c>
      <c r="C145" t="s">
        <v>187</v>
      </c>
      <c r="D145" s="3">
        <v>70</v>
      </c>
      <c r="E145" s="3">
        <v>80</v>
      </c>
      <c r="F145">
        <v>2022</v>
      </c>
      <c r="G145">
        <f t="shared" si="42"/>
        <v>3</v>
      </c>
      <c r="H145">
        <f t="shared" si="45"/>
        <v>0.47525000000000006</v>
      </c>
      <c r="I145">
        <f t="shared" si="46"/>
        <v>0.60477073969921791</v>
      </c>
      <c r="J145">
        <f t="shared" si="47"/>
        <v>10</v>
      </c>
      <c r="K145">
        <v>1</v>
      </c>
      <c r="L145">
        <v>8</v>
      </c>
      <c r="M145" s="12">
        <f t="shared" si="48"/>
        <v>0.13742181249999993</v>
      </c>
      <c r="N145">
        <f t="shared" si="43"/>
        <v>0.11722704999273841</v>
      </c>
      <c r="O145">
        <f t="shared" si="44"/>
        <v>0.37070448135947848</v>
      </c>
      <c r="P145" t="s">
        <v>196</v>
      </c>
      <c r="Q145" t="s">
        <v>188</v>
      </c>
      <c r="R145">
        <v>3.0209999999999999</v>
      </c>
      <c r="S145">
        <f t="shared" si="49"/>
        <v>3.5691999999999999</v>
      </c>
      <c r="T145" t="s">
        <v>103</v>
      </c>
      <c r="U145">
        <v>78</v>
      </c>
      <c r="W145">
        <f t="shared" si="50"/>
        <v>43.2</v>
      </c>
      <c r="X145" t="s">
        <v>380</v>
      </c>
      <c r="Y145">
        <v>2011</v>
      </c>
      <c r="Z145">
        <f>2025-AVERAGE($Y$138:$Y$147)</f>
        <v>14.799999999999955</v>
      </c>
      <c r="AA145">
        <f>AVERAGE(2.45E-23,2.83E-22)</f>
        <v>1.5375E-22</v>
      </c>
      <c r="AB145">
        <v>2.1600000000000001E-73</v>
      </c>
      <c r="AC145">
        <v>0.99966999999999995</v>
      </c>
      <c r="AD145" s="3">
        <v>0.99</v>
      </c>
      <c r="AE145">
        <v>1</v>
      </c>
      <c r="AF145" t="s">
        <v>138</v>
      </c>
      <c r="AG145">
        <v>3</v>
      </c>
      <c r="AH145">
        <v>2</v>
      </c>
      <c r="AI145">
        <f t="shared" si="51"/>
        <v>2.5</v>
      </c>
      <c r="AJ145">
        <f t="shared" si="52"/>
        <v>1.8</v>
      </c>
      <c r="AK145" t="s">
        <v>139</v>
      </c>
      <c r="AL145">
        <v>23</v>
      </c>
      <c r="AM145" t="s">
        <v>140</v>
      </c>
      <c r="AN145" t="s">
        <v>188</v>
      </c>
      <c r="AO145">
        <v>5.3220000000000001</v>
      </c>
    </row>
    <row r="146" spans="1:75" ht="15.6">
      <c r="A146">
        <v>4</v>
      </c>
      <c r="B146" t="s">
        <v>199</v>
      </c>
      <c r="C146" t="s">
        <v>187</v>
      </c>
      <c r="D146" s="3">
        <v>70</v>
      </c>
      <c r="E146" s="3">
        <v>80</v>
      </c>
      <c r="F146">
        <v>2022</v>
      </c>
      <c r="G146">
        <f t="shared" si="42"/>
        <v>3</v>
      </c>
      <c r="H146">
        <f t="shared" si="45"/>
        <v>0.47525000000000006</v>
      </c>
      <c r="I146">
        <f t="shared" si="46"/>
        <v>0.60477073969921791</v>
      </c>
      <c r="J146">
        <f t="shared" si="47"/>
        <v>10</v>
      </c>
      <c r="K146">
        <v>1</v>
      </c>
      <c r="L146">
        <v>8</v>
      </c>
      <c r="M146" s="12">
        <f t="shared" si="48"/>
        <v>0.13742181249999993</v>
      </c>
      <c r="N146">
        <f t="shared" si="43"/>
        <v>0.11722704999273841</v>
      </c>
      <c r="O146">
        <f t="shared" si="44"/>
        <v>0.37070448135947848</v>
      </c>
      <c r="P146" t="s">
        <v>197</v>
      </c>
      <c r="Q146" t="s">
        <v>188</v>
      </c>
      <c r="R146">
        <v>2.0379999999999998</v>
      </c>
      <c r="S146">
        <f t="shared" si="49"/>
        <v>3.5691999999999999</v>
      </c>
      <c r="T146" t="s">
        <v>103</v>
      </c>
      <c r="U146">
        <v>24</v>
      </c>
      <c r="W146">
        <f t="shared" si="50"/>
        <v>43.2</v>
      </c>
      <c r="X146" t="s">
        <v>380</v>
      </c>
      <c r="Y146">
        <v>2000</v>
      </c>
      <c r="Z146">
        <f>2025-AVERAGE($Y$138:$Y$147)</f>
        <v>14.799999999999955</v>
      </c>
      <c r="AA146">
        <f>AVERAGE(0.000000000000158,0.000000205)</f>
        <v>1.0250007899999999E-7</v>
      </c>
      <c r="AB146">
        <v>7.96E-6</v>
      </c>
      <c r="AC146">
        <v>0.80625000000000002</v>
      </c>
      <c r="AD146" s="3">
        <v>0.73250000000000004</v>
      </c>
      <c r="AE146">
        <v>1</v>
      </c>
      <c r="AF146" t="s">
        <v>138</v>
      </c>
      <c r="AG146">
        <v>2</v>
      </c>
      <c r="AH146">
        <v>1</v>
      </c>
      <c r="AI146">
        <f t="shared" si="51"/>
        <v>2.5</v>
      </c>
      <c r="AJ146">
        <f t="shared" si="52"/>
        <v>1.8</v>
      </c>
      <c r="AK146" t="s">
        <v>139</v>
      </c>
      <c r="AL146">
        <v>23</v>
      </c>
      <c r="AM146" t="s">
        <v>140</v>
      </c>
      <c r="AN146" t="s">
        <v>188</v>
      </c>
      <c r="AO146">
        <v>5.3220000000000001</v>
      </c>
    </row>
    <row r="147" spans="1:75" ht="15.6">
      <c r="A147">
        <v>4</v>
      </c>
      <c r="B147" t="s">
        <v>199</v>
      </c>
      <c r="C147" t="s">
        <v>187</v>
      </c>
      <c r="D147" s="3">
        <v>70</v>
      </c>
      <c r="E147" s="3">
        <v>80</v>
      </c>
      <c r="F147">
        <v>2022</v>
      </c>
      <c r="G147">
        <f t="shared" si="42"/>
        <v>3</v>
      </c>
      <c r="H147">
        <f t="shared" si="45"/>
        <v>0.47525000000000006</v>
      </c>
      <c r="I147">
        <f t="shared" si="46"/>
        <v>0.60477073969921791</v>
      </c>
      <c r="J147">
        <f t="shared" si="47"/>
        <v>10</v>
      </c>
      <c r="K147">
        <v>1</v>
      </c>
      <c r="L147">
        <v>8</v>
      </c>
      <c r="M147" s="12">
        <f t="shared" si="48"/>
        <v>0.13742181249999993</v>
      </c>
      <c r="N147">
        <f t="shared" si="43"/>
        <v>0.11722704999273841</v>
      </c>
      <c r="O147">
        <f t="shared" si="44"/>
        <v>0.37070448135947848</v>
      </c>
      <c r="P147" t="s">
        <v>198</v>
      </c>
      <c r="Q147" t="s">
        <v>188</v>
      </c>
      <c r="R147">
        <v>6.08</v>
      </c>
      <c r="S147">
        <f t="shared" si="49"/>
        <v>3.5691999999999999</v>
      </c>
      <c r="T147" t="s">
        <v>101</v>
      </c>
      <c r="U147">
        <v>46</v>
      </c>
      <c r="W147">
        <f t="shared" si="50"/>
        <v>43.2</v>
      </c>
      <c r="X147" t="s">
        <v>380</v>
      </c>
      <c r="Y147">
        <v>2018</v>
      </c>
      <c r="Z147">
        <f>2025-AVERAGE($Y$138:$Y$147)</f>
        <v>14.799999999999955</v>
      </c>
      <c r="AA147">
        <v>2.7E-2</v>
      </c>
      <c r="AB147">
        <v>0.437</v>
      </c>
      <c r="AC147">
        <v>0.20778946664846701</v>
      </c>
      <c r="AD147" s="3">
        <v>0</v>
      </c>
      <c r="AE147">
        <v>1</v>
      </c>
      <c r="AF147" t="s">
        <v>138</v>
      </c>
      <c r="AG147">
        <v>3</v>
      </c>
      <c r="AH147">
        <v>2</v>
      </c>
      <c r="AI147">
        <f t="shared" si="51"/>
        <v>2.5</v>
      </c>
      <c r="AJ147">
        <f t="shared" si="52"/>
        <v>1.8</v>
      </c>
      <c r="AK147" t="s">
        <v>139</v>
      </c>
      <c r="AL147">
        <v>23</v>
      </c>
      <c r="AM147" t="s">
        <v>140</v>
      </c>
      <c r="AN147" t="s">
        <v>188</v>
      </c>
      <c r="AO147">
        <v>5.3220000000000001</v>
      </c>
    </row>
    <row r="148" spans="1:75" ht="15.6">
      <c r="A148">
        <v>5</v>
      </c>
      <c r="B148" t="s">
        <v>200</v>
      </c>
      <c r="C148" t="s">
        <v>201</v>
      </c>
      <c r="D148" s="3">
        <f>100*(7/15)</f>
        <v>46.666666666666664</v>
      </c>
      <c r="E148" s="3">
        <f>100*(3/15)</f>
        <v>20</v>
      </c>
      <c r="F148">
        <v>2020</v>
      </c>
      <c r="G148">
        <f t="shared" si="42"/>
        <v>5</v>
      </c>
      <c r="H148">
        <f>AVERAGE($AD$148:$AD$162)</f>
        <v>0.16343999998013178</v>
      </c>
      <c r="I148">
        <f>AVERAGE($AC$148:$AC$162)</f>
        <v>0.4234147024084905</v>
      </c>
      <c r="J148">
        <f>COUNTA($D$148:$D$162)</f>
        <v>15</v>
      </c>
      <c r="K148">
        <v>9</v>
      </c>
      <c r="L148">
        <v>3</v>
      </c>
      <c r="M148" s="12">
        <f>_xlfn.VAR.P($AD$148:$AD$162)</f>
        <v>5.4359537075942765E-2</v>
      </c>
      <c r="N148">
        <f t="shared" ref="N148:N162" si="53">$O$148/SQRT($J$148)</f>
        <v>6.0199411445596249E-2</v>
      </c>
      <c r="O148">
        <f>_xlfn.STDEV.P($AD$148:$AD$162)</f>
        <v>0.23315131798028244</v>
      </c>
      <c r="P148" t="s">
        <v>202</v>
      </c>
      <c r="Q148" t="s">
        <v>521</v>
      </c>
      <c r="R148">
        <v>2.5499999999999998</v>
      </c>
      <c r="S148">
        <f>AVERAGE($R$148:$R$162)</f>
        <v>4.9645555555555561</v>
      </c>
      <c r="T148" t="s">
        <v>101</v>
      </c>
      <c r="U148">
        <v>17</v>
      </c>
      <c r="V148" t="s">
        <v>138</v>
      </c>
      <c r="W148">
        <f>AVERAGE($U$148:$U$162)</f>
        <v>40</v>
      </c>
      <c r="Y148">
        <v>2009</v>
      </c>
      <c r="Z148">
        <f>2025-AVERAGE($Y$148:$Y$162)</f>
        <v>23.933333333333394</v>
      </c>
      <c r="AC148">
        <v>0.49599999189376831</v>
      </c>
      <c r="AD148" s="3">
        <v>0.27</v>
      </c>
      <c r="AE148">
        <v>0</v>
      </c>
      <c r="AF148" t="s">
        <v>186</v>
      </c>
      <c r="AG148">
        <v>3</v>
      </c>
      <c r="AH148">
        <v>3</v>
      </c>
      <c r="AI148">
        <f>AVERAGE($AG$148:$AG$162)</f>
        <v>2.7333333333333334</v>
      </c>
      <c r="AJ148">
        <f>AVERAGE($AH$148:$AH$162)</f>
        <v>3.2</v>
      </c>
      <c r="AK148" t="s">
        <v>112</v>
      </c>
      <c r="AL148">
        <v>90</v>
      </c>
      <c r="AM148" t="s">
        <v>140</v>
      </c>
      <c r="AN148" t="s">
        <v>185</v>
      </c>
      <c r="AO148">
        <v>3.4340000000000002</v>
      </c>
    </row>
    <row r="149" spans="1:75" ht="15.6">
      <c r="A149">
        <v>5</v>
      </c>
      <c r="B149" t="s">
        <v>200</v>
      </c>
      <c r="C149" t="s">
        <v>201</v>
      </c>
      <c r="D149" s="3">
        <f t="shared" ref="D149:D162" si="54">100*(7/15)</f>
        <v>46.666666666666664</v>
      </c>
      <c r="E149" s="3">
        <f t="shared" ref="E149:E162" si="55">100*(3/15)</f>
        <v>20</v>
      </c>
      <c r="F149">
        <v>2020</v>
      </c>
      <c r="G149">
        <f t="shared" si="42"/>
        <v>5</v>
      </c>
      <c r="H149">
        <f t="shared" ref="H149:H162" si="56">AVERAGE($AD$148:$AD$162)</f>
        <v>0.16343999998013178</v>
      </c>
      <c r="I149">
        <f t="shared" ref="I149:I162" si="57">AVERAGE($AC$148:$AC$162)</f>
        <v>0.4234147024084905</v>
      </c>
      <c r="J149">
        <f t="shared" ref="J149:J162" si="58">COUNTA($D$148:$D$162)</f>
        <v>15</v>
      </c>
      <c r="K149">
        <v>9</v>
      </c>
      <c r="L149">
        <v>3</v>
      </c>
      <c r="M149" s="12">
        <f t="shared" ref="M149:M162" si="59">_xlfn.VAR.P($AD$148:$AD$162)</f>
        <v>5.4359537075942765E-2</v>
      </c>
      <c r="N149">
        <f t="shared" si="53"/>
        <v>6.0199411445596249E-2</v>
      </c>
      <c r="O149">
        <f t="shared" ref="O149:O162" si="60">_xlfn.STDEV.P($AD$148:$AD$162)</f>
        <v>0.23315131798028244</v>
      </c>
      <c r="P149" t="s">
        <v>203</v>
      </c>
      <c r="Q149" t="s">
        <v>111</v>
      </c>
      <c r="R149" t="s">
        <v>261</v>
      </c>
      <c r="S149">
        <f t="shared" ref="S149:S162" si="61">AVERAGE($R$148:$R$162)</f>
        <v>4.9645555555555561</v>
      </c>
      <c r="T149" t="s">
        <v>101</v>
      </c>
      <c r="U149">
        <v>27</v>
      </c>
      <c r="V149" t="s">
        <v>138</v>
      </c>
      <c r="W149">
        <f t="shared" ref="W149:W162" si="62">AVERAGE($U$148:$U$162)</f>
        <v>40</v>
      </c>
      <c r="Y149">
        <v>1981</v>
      </c>
      <c r="Z149">
        <f>2025-AVERAGE($Y$148:$Y$162)</f>
        <v>23.933333333333394</v>
      </c>
      <c r="AC149">
        <v>0.56999999284744263</v>
      </c>
      <c r="AD149" s="3">
        <v>0.6</v>
      </c>
      <c r="AE149">
        <v>0</v>
      </c>
      <c r="AF149" t="s">
        <v>186</v>
      </c>
      <c r="AG149">
        <v>2</v>
      </c>
      <c r="AH149">
        <v>3</v>
      </c>
      <c r="AI149">
        <f t="shared" ref="AI149:AI162" si="63">AVERAGE($AG$148:$AG$162)</f>
        <v>2.7333333333333334</v>
      </c>
      <c r="AJ149">
        <f t="shared" ref="AJ149:AJ162" si="64">AVERAGE($AH$148:$AH$162)</f>
        <v>3.2</v>
      </c>
      <c r="AK149" t="s">
        <v>112</v>
      </c>
      <c r="AL149">
        <v>90</v>
      </c>
      <c r="AM149" t="s">
        <v>140</v>
      </c>
      <c r="AN149" t="s">
        <v>185</v>
      </c>
      <c r="AO149">
        <v>3.4340000000000002</v>
      </c>
    </row>
    <row r="150" spans="1:75" ht="15.6">
      <c r="A150">
        <v>5</v>
      </c>
      <c r="B150" t="s">
        <v>200</v>
      </c>
      <c r="C150" t="s">
        <v>201</v>
      </c>
      <c r="D150" s="3">
        <f t="shared" si="54"/>
        <v>46.666666666666664</v>
      </c>
      <c r="E150" s="3">
        <f t="shared" si="55"/>
        <v>20</v>
      </c>
      <c r="F150">
        <v>2020</v>
      </c>
      <c r="G150">
        <f t="shared" si="42"/>
        <v>5</v>
      </c>
      <c r="H150">
        <f t="shared" si="56"/>
        <v>0.16343999998013178</v>
      </c>
      <c r="I150">
        <f t="shared" si="57"/>
        <v>0.4234147024084905</v>
      </c>
      <c r="J150">
        <f t="shared" si="58"/>
        <v>15</v>
      </c>
      <c r="K150">
        <v>9</v>
      </c>
      <c r="L150">
        <v>3</v>
      </c>
      <c r="M150" s="12">
        <f t="shared" si="59"/>
        <v>5.4359537075942765E-2</v>
      </c>
      <c r="N150">
        <f t="shared" si="53"/>
        <v>6.0199411445596249E-2</v>
      </c>
      <c r="O150">
        <f t="shared" si="60"/>
        <v>0.23315131798028244</v>
      </c>
      <c r="P150" t="s">
        <v>204</v>
      </c>
      <c r="Q150" t="s">
        <v>521</v>
      </c>
      <c r="R150">
        <v>2.6850000000000001</v>
      </c>
      <c r="S150">
        <f t="shared" si="61"/>
        <v>4.9645555555555561</v>
      </c>
      <c r="T150" t="s">
        <v>101</v>
      </c>
      <c r="U150">
        <v>54</v>
      </c>
      <c r="V150" t="s">
        <v>138</v>
      </c>
      <c r="W150">
        <f t="shared" si="62"/>
        <v>40</v>
      </c>
      <c r="Y150">
        <v>2010</v>
      </c>
      <c r="Z150">
        <f>2025-AVERAGE($Y$148:$Y$162)</f>
        <v>23.933333333333394</v>
      </c>
      <c r="AC150">
        <v>0.45899999141693115</v>
      </c>
      <c r="AD150" s="3">
        <v>0.13</v>
      </c>
      <c r="AE150">
        <v>0</v>
      </c>
      <c r="AF150" t="s">
        <v>186</v>
      </c>
      <c r="AG150">
        <v>2</v>
      </c>
      <c r="AH150">
        <v>3</v>
      </c>
      <c r="AI150">
        <f t="shared" si="63"/>
        <v>2.7333333333333334</v>
      </c>
      <c r="AJ150">
        <f t="shared" si="64"/>
        <v>3.2</v>
      </c>
      <c r="AK150" t="s">
        <v>112</v>
      </c>
      <c r="AL150">
        <v>90</v>
      </c>
      <c r="AM150" t="s">
        <v>140</v>
      </c>
      <c r="AN150" t="s">
        <v>185</v>
      </c>
      <c r="AO150">
        <v>3.4340000000000002</v>
      </c>
    </row>
    <row r="151" spans="1:75" ht="15.6">
      <c r="A151">
        <v>5</v>
      </c>
      <c r="B151" t="s">
        <v>200</v>
      </c>
      <c r="C151" t="s">
        <v>201</v>
      </c>
      <c r="D151" s="3">
        <f t="shared" si="54"/>
        <v>46.666666666666664</v>
      </c>
      <c r="E151" s="3">
        <f t="shared" si="55"/>
        <v>20</v>
      </c>
      <c r="F151">
        <v>2020</v>
      </c>
      <c r="G151">
        <f t="shared" si="42"/>
        <v>5</v>
      </c>
      <c r="H151">
        <f t="shared" si="56"/>
        <v>0.16343999998013178</v>
      </c>
      <c r="I151">
        <f t="shared" si="57"/>
        <v>0.4234147024084905</v>
      </c>
      <c r="J151">
        <f t="shared" si="58"/>
        <v>15</v>
      </c>
      <c r="K151">
        <v>9</v>
      </c>
      <c r="L151">
        <v>3</v>
      </c>
      <c r="M151" s="12">
        <f t="shared" si="59"/>
        <v>5.4359537075942765E-2</v>
      </c>
      <c r="N151">
        <f t="shared" si="53"/>
        <v>6.0199411445596249E-2</v>
      </c>
      <c r="O151">
        <f t="shared" si="60"/>
        <v>0.23315131798028244</v>
      </c>
      <c r="P151" t="s">
        <v>205</v>
      </c>
      <c r="Q151" t="s">
        <v>1141</v>
      </c>
      <c r="R151" t="s">
        <v>261</v>
      </c>
      <c r="S151">
        <f t="shared" si="61"/>
        <v>4.9645555555555561</v>
      </c>
      <c r="T151" t="s">
        <v>101</v>
      </c>
      <c r="U151">
        <v>22</v>
      </c>
      <c r="V151" t="s">
        <v>764</v>
      </c>
      <c r="W151">
        <f t="shared" si="62"/>
        <v>40</v>
      </c>
      <c r="Y151">
        <v>1991</v>
      </c>
      <c r="Z151">
        <f>2025-AVERAGE($Y$148:$Y$162)</f>
        <v>23.933333333333394</v>
      </c>
      <c r="AC151">
        <v>0.127</v>
      </c>
      <c r="AD151" s="3">
        <v>-7.0000000298023224E-2</v>
      </c>
      <c r="AE151">
        <v>0</v>
      </c>
      <c r="AF151" t="s">
        <v>186</v>
      </c>
      <c r="AG151">
        <v>3</v>
      </c>
      <c r="AH151">
        <v>4</v>
      </c>
      <c r="AI151">
        <f t="shared" si="63"/>
        <v>2.7333333333333334</v>
      </c>
      <c r="AJ151">
        <f t="shared" si="64"/>
        <v>3.2</v>
      </c>
      <c r="AK151" t="s">
        <v>112</v>
      </c>
      <c r="AL151">
        <v>90</v>
      </c>
      <c r="AM151" t="s">
        <v>140</v>
      </c>
      <c r="AN151" t="s">
        <v>185</v>
      </c>
      <c r="AO151">
        <v>3.4340000000000002</v>
      </c>
    </row>
    <row r="152" spans="1:75" ht="15.6">
      <c r="A152">
        <v>5</v>
      </c>
      <c r="B152" t="s">
        <v>200</v>
      </c>
      <c r="C152" t="s">
        <v>201</v>
      </c>
      <c r="D152" s="3">
        <f t="shared" si="54"/>
        <v>46.666666666666664</v>
      </c>
      <c r="E152" s="3">
        <f t="shared" si="55"/>
        <v>20</v>
      </c>
      <c r="F152">
        <v>2020</v>
      </c>
      <c r="G152">
        <f t="shared" si="42"/>
        <v>5</v>
      </c>
      <c r="H152">
        <f t="shared" si="56"/>
        <v>0.16343999998013178</v>
      </c>
      <c r="I152">
        <f t="shared" si="57"/>
        <v>0.4234147024084905</v>
      </c>
      <c r="J152">
        <f t="shared" si="58"/>
        <v>15</v>
      </c>
      <c r="K152">
        <v>9</v>
      </c>
      <c r="L152">
        <v>3</v>
      </c>
      <c r="M152" s="12">
        <f t="shared" si="59"/>
        <v>5.4359537075942765E-2</v>
      </c>
      <c r="N152">
        <f t="shared" si="53"/>
        <v>6.0199411445596249E-2</v>
      </c>
      <c r="O152">
        <f t="shared" si="60"/>
        <v>0.23315131798028244</v>
      </c>
      <c r="P152" t="s">
        <v>206</v>
      </c>
      <c r="Q152" t="s">
        <v>470</v>
      </c>
      <c r="R152">
        <v>0.91600000000000004</v>
      </c>
      <c r="S152">
        <f t="shared" si="61"/>
        <v>4.9645555555555561</v>
      </c>
      <c r="T152" t="s">
        <v>101</v>
      </c>
      <c r="U152">
        <v>43</v>
      </c>
      <c r="V152" t="s">
        <v>755</v>
      </c>
      <c r="W152">
        <f t="shared" si="62"/>
        <v>40</v>
      </c>
      <c r="Y152">
        <v>2007</v>
      </c>
      <c r="Z152">
        <f>2025-AVERAGE($Y$148:$Y$162)</f>
        <v>23.933333333333394</v>
      </c>
      <c r="AC152">
        <v>0.87660002708435059</v>
      </c>
      <c r="AD152" s="3">
        <v>0.78500000000000003</v>
      </c>
      <c r="AE152">
        <v>0</v>
      </c>
      <c r="AF152" t="s">
        <v>186</v>
      </c>
      <c r="AG152">
        <v>5</v>
      </c>
      <c r="AH152">
        <v>4</v>
      </c>
      <c r="AI152">
        <f t="shared" si="63"/>
        <v>2.7333333333333334</v>
      </c>
      <c r="AJ152">
        <f t="shared" si="64"/>
        <v>3.2</v>
      </c>
      <c r="AK152" t="s">
        <v>112</v>
      </c>
      <c r="AL152">
        <v>90</v>
      </c>
      <c r="AM152" t="s">
        <v>140</v>
      </c>
      <c r="AN152" t="s">
        <v>185</v>
      </c>
      <c r="AO152">
        <v>3.4340000000000002</v>
      </c>
    </row>
    <row r="153" spans="1:75" ht="15.6">
      <c r="A153">
        <v>5</v>
      </c>
      <c r="B153" t="s">
        <v>200</v>
      </c>
      <c r="C153" t="s">
        <v>201</v>
      </c>
      <c r="D153" s="3">
        <f t="shared" si="54"/>
        <v>46.666666666666664</v>
      </c>
      <c r="E153" s="3">
        <f t="shared" si="55"/>
        <v>20</v>
      </c>
      <c r="F153">
        <v>2020</v>
      </c>
      <c r="G153">
        <f t="shared" si="42"/>
        <v>5</v>
      </c>
      <c r="H153">
        <f t="shared" si="56"/>
        <v>0.16343999998013178</v>
      </c>
      <c r="I153">
        <f t="shared" si="57"/>
        <v>0.4234147024084905</v>
      </c>
      <c r="J153">
        <f t="shared" si="58"/>
        <v>15</v>
      </c>
      <c r="K153">
        <v>9</v>
      </c>
      <c r="L153">
        <v>3</v>
      </c>
      <c r="M153" s="12">
        <f t="shared" si="59"/>
        <v>5.4359537075942765E-2</v>
      </c>
      <c r="N153">
        <f t="shared" si="53"/>
        <v>6.0199411445596249E-2</v>
      </c>
      <c r="O153">
        <f t="shared" si="60"/>
        <v>0.23315131798028244</v>
      </c>
      <c r="P153" t="s">
        <v>207</v>
      </c>
      <c r="Q153" t="s">
        <v>535</v>
      </c>
      <c r="R153">
        <v>1.248</v>
      </c>
      <c r="S153">
        <f t="shared" si="61"/>
        <v>4.9645555555555561</v>
      </c>
      <c r="T153" t="s">
        <v>101</v>
      </c>
      <c r="U153">
        <v>23</v>
      </c>
      <c r="V153" t="s">
        <v>755</v>
      </c>
      <c r="W153">
        <f t="shared" si="62"/>
        <v>40</v>
      </c>
      <c r="Y153">
        <v>2008</v>
      </c>
      <c r="Z153">
        <f>2025-AVERAGE($Y$148:$Y$162)</f>
        <v>23.933333333333394</v>
      </c>
      <c r="AC153">
        <v>0.31000000238418579</v>
      </c>
      <c r="AD153" s="3">
        <v>0.04</v>
      </c>
      <c r="AE153">
        <v>0</v>
      </c>
      <c r="AF153" t="s">
        <v>186</v>
      </c>
      <c r="AG153">
        <v>2</v>
      </c>
      <c r="AH153">
        <v>2</v>
      </c>
      <c r="AI153">
        <f t="shared" si="63"/>
        <v>2.7333333333333334</v>
      </c>
      <c r="AJ153">
        <f t="shared" si="64"/>
        <v>3.2</v>
      </c>
      <c r="AK153" t="s">
        <v>112</v>
      </c>
      <c r="AL153">
        <v>90</v>
      </c>
      <c r="AM153" t="s">
        <v>140</v>
      </c>
      <c r="AN153" t="s">
        <v>185</v>
      </c>
      <c r="AO153">
        <v>3.4340000000000002</v>
      </c>
    </row>
    <row r="154" spans="1:75" ht="15.6">
      <c r="A154">
        <v>5</v>
      </c>
      <c r="B154" t="s">
        <v>200</v>
      </c>
      <c r="C154" t="s">
        <v>201</v>
      </c>
      <c r="D154" s="3">
        <f t="shared" si="54"/>
        <v>46.666666666666664</v>
      </c>
      <c r="E154" s="3">
        <f t="shared" si="55"/>
        <v>20</v>
      </c>
      <c r="F154">
        <v>2020</v>
      </c>
      <c r="G154">
        <f t="shared" si="42"/>
        <v>5</v>
      </c>
      <c r="H154">
        <f t="shared" si="56"/>
        <v>0.16343999998013178</v>
      </c>
      <c r="I154">
        <f t="shared" si="57"/>
        <v>0.4234147024084905</v>
      </c>
      <c r="J154">
        <f t="shared" si="58"/>
        <v>15</v>
      </c>
      <c r="K154">
        <v>9</v>
      </c>
      <c r="L154">
        <v>3</v>
      </c>
      <c r="M154" s="12">
        <f t="shared" si="59"/>
        <v>5.4359537075942765E-2</v>
      </c>
      <c r="N154">
        <f t="shared" si="53"/>
        <v>6.0199411445596249E-2</v>
      </c>
      <c r="O154">
        <f t="shared" si="60"/>
        <v>0.23315131798028244</v>
      </c>
      <c r="P154" t="s">
        <v>208</v>
      </c>
      <c r="Q154" t="s">
        <v>529</v>
      </c>
      <c r="S154">
        <f t="shared" si="61"/>
        <v>4.9645555555555561</v>
      </c>
      <c r="T154" t="s">
        <v>101</v>
      </c>
      <c r="U154">
        <v>90</v>
      </c>
      <c r="V154" t="s">
        <v>138</v>
      </c>
      <c r="W154">
        <f t="shared" si="62"/>
        <v>40</v>
      </c>
      <c r="Y154">
        <v>2009</v>
      </c>
      <c r="Z154">
        <f>2025-AVERAGE($Y$148:$Y$162)</f>
        <v>23.933333333333394</v>
      </c>
      <c r="AC154">
        <v>0.67552053000000001</v>
      </c>
      <c r="AD154" s="3">
        <v>0.28999999999999998</v>
      </c>
      <c r="AE154">
        <v>0</v>
      </c>
      <c r="AF154" t="s">
        <v>186</v>
      </c>
      <c r="AG154">
        <v>3</v>
      </c>
      <c r="AH154">
        <v>3</v>
      </c>
      <c r="AI154">
        <f t="shared" si="63"/>
        <v>2.7333333333333334</v>
      </c>
      <c r="AJ154">
        <f t="shared" si="64"/>
        <v>3.2</v>
      </c>
      <c r="AK154" t="s">
        <v>112</v>
      </c>
      <c r="AL154">
        <v>90</v>
      </c>
      <c r="AM154" t="s">
        <v>140</v>
      </c>
      <c r="AN154" t="s">
        <v>185</v>
      </c>
      <c r="AO154">
        <v>3.4340000000000002</v>
      </c>
    </row>
    <row r="155" spans="1:75" ht="15.6">
      <c r="A155">
        <v>5</v>
      </c>
      <c r="B155" t="s">
        <v>200</v>
      </c>
      <c r="C155" t="s">
        <v>201</v>
      </c>
      <c r="D155" s="3">
        <f t="shared" si="54"/>
        <v>46.666666666666664</v>
      </c>
      <c r="E155" s="3">
        <f t="shared" si="55"/>
        <v>20</v>
      </c>
      <c r="F155">
        <v>2020</v>
      </c>
      <c r="G155">
        <f t="shared" si="42"/>
        <v>5</v>
      </c>
      <c r="H155">
        <f t="shared" si="56"/>
        <v>0.16343999998013178</v>
      </c>
      <c r="I155">
        <f t="shared" si="57"/>
        <v>0.4234147024084905</v>
      </c>
      <c r="J155">
        <f t="shared" si="58"/>
        <v>15</v>
      </c>
      <c r="K155">
        <v>9</v>
      </c>
      <c r="L155">
        <v>3</v>
      </c>
      <c r="M155" s="12">
        <f t="shared" si="59"/>
        <v>5.4359537075942765E-2</v>
      </c>
      <c r="N155">
        <f t="shared" si="53"/>
        <v>6.0199411445596249E-2</v>
      </c>
      <c r="O155">
        <f t="shared" si="60"/>
        <v>0.23315131798028244</v>
      </c>
      <c r="P155" t="s">
        <v>209</v>
      </c>
      <c r="Q155" t="s">
        <v>527</v>
      </c>
      <c r="R155">
        <v>4.2990000000000004</v>
      </c>
      <c r="S155">
        <f t="shared" si="61"/>
        <v>4.9645555555555561</v>
      </c>
      <c r="T155" t="s">
        <v>101</v>
      </c>
      <c r="U155">
        <v>18</v>
      </c>
      <c r="V155" t="s">
        <v>138</v>
      </c>
      <c r="W155">
        <f t="shared" si="62"/>
        <v>40</v>
      </c>
      <c r="Y155">
        <v>2009</v>
      </c>
      <c r="Z155">
        <f>2025-AVERAGE($Y$148:$Y$162)</f>
        <v>23.933333333333394</v>
      </c>
      <c r="AC155">
        <v>0.56999999284744263</v>
      </c>
      <c r="AD155" s="3">
        <v>0.03</v>
      </c>
      <c r="AE155">
        <v>0</v>
      </c>
      <c r="AF155" t="s">
        <v>186</v>
      </c>
      <c r="AG155">
        <v>3</v>
      </c>
      <c r="AH155">
        <v>4</v>
      </c>
      <c r="AI155">
        <f t="shared" si="63"/>
        <v>2.7333333333333334</v>
      </c>
      <c r="AJ155">
        <f t="shared" si="64"/>
        <v>3.2</v>
      </c>
      <c r="AK155" t="s">
        <v>112</v>
      </c>
      <c r="AL155">
        <v>90</v>
      </c>
      <c r="AM155" t="s">
        <v>140</v>
      </c>
      <c r="AN155" t="s">
        <v>185</v>
      </c>
      <c r="AO155">
        <v>3.4340000000000002</v>
      </c>
      <c r="AR155" s="1"/>
      <c r="BU155" s="1"/>
      <c r="BW155" s="1"/>
    </row>
    <row r="156" spans="1:75" ht="15.6">
      <c r="A156">
        <v>5</v>
      </c>
      <c r="B156" t="s">
        <v>200</v>
      </c>
      <c r="C156" t="s">
        <v>201</v>
      </c>
      <c r="D156" s="3">
        <f t="shared" si="54"/>
        <v>46.666666666666664</v>
      </c>
      <c r="E156" s="3">
        <f t="shared" si="55"/>
        <v>20</v>
      </c>
      <c r="F156">
        <v>2020</v>
      </c>
      <c r="G156">
        <f t="shared" si="42"/>
        <v>5</v>
      </c>
      <c r="H156">
        <f t="shared" si="56"/>
        <v>0.16343999998013178</v>
      </c>
      <c r="I156">
        <f t="shared" si="57"/>
        <v>0.4234147024084905</v>
      </c>
      <c r="J156">
        <f t="shared" si="58"/>
        <v>15</v>
      </c>
      <c r="K156">
        <v>9</v>
      </c>
      <c r="L156">
        <v>3</v>
      </c>
      <c r="M156" s="12">
        <f t="shared" si="59"/>
        <v>5.4359537075942765E-2</v>
      </c>
      <c r="N156">
        <f t="shared" si="53"/>
        <v>6.0199411445596249E-2</v>
      </c>
      <c r="O156">
        <f t="shared" si="60"/>
        <v>0.23315131798028244</v>
      </c>
      <c r="P156" t="s">
        <v>210</v>
      </c>
      <c r="Q156" t="s">
        <v>529</v>
      </c>
      <c r="R156">
        <v>4.867</v>
      </c>
      <c r="S156">
        <f t="shared" si="61"/>
        <v>4.9645555555555561</v>
      </c>
      <c r="T156" t="s">
        <v>101</v>
      </c>
      <c r="U156">
        <v>47</v>
      </c>
      <c r="V156" t="s">
        <v>138</v>
      </c>
      <c r="W156">
        <f t="shared" si="62"/>
        <v>40</v>
      </c>
      <c r="Y156">
        <v>2001</v>
      </c>
      <c r="Z156">
        <f>2025-AVERAGE($Y$148:$Y$162)</f>
        <v>23.933333333333394</v>
      </c>
      <c r="AC156">
        <v>0.31000000238418579</v>
      </c>
      <c r="AD156" s="3">
        <v>0.14660000000000001</v>
      </c>
      <c r="AE156">
        <v>0</v>
      </c>
      <c r="AF156" t="s">
        <v>186</v>
      </c>
      <c r="AG156">
        <v>2</v>
      </c>
      <c r="AH156">
        <v>2</v>
      </c>
      <c r="AI156">
        <f t="shared" si="63"/>
        <v>2.7333333333333334</v>
      </c>
      <c r="AJ156">
        <f t="shared" si="64"/>
        <v>3.2</v>
      </c>
      <c r="AK156" s="1" t="s">
        <v>112</v>
      </c>
      <c r="AL156">
        <v>90</v>
      </c>
      <c r="AM156" t="s">
        <v>140</v>
      </c>
      <c r="AN156" t="s">
        <v>185</v>
      </c>
      <c r="AO156">
        <v>3.4340000000000002</v>
      </c>
      <c r="AR156" s="1"/>
    </row>
    <row r="157" spans="1:75" ht="15.6">
      <c r="A157">
        <v>5</v>
      </c>
      <c r="B157" t="s">
        <v>200</v>
      </c>
      <c r="C157" t="s">
        <v>201</v>
      </c>
      <c r="D157" s="3">
        <f t="shared" si="54"/>
        <v>46.666666666666664</v>
      </c>
      <c r="E157" s="3">
        <f t="shared" si="55"/>
        <v>20</v>
      </c>
      <c r="F157">
        <v>2020</v>
      </c>
      <c r="G157">
        <f t="shared" si="42"/>
        <v>5</v>
      </c>
      <c r="H157">
        <f t="shared" si="56"/>
        <v>0.16343999998013178</v>
      </c>
      <c r="I157">
        <f t="shared" si="57"/>
        <v>0.4234147024084905</v>
      </c>
      <c r="J157">
        <f t="shared" si="58"/>
        <v>15</v>
      </c>
      <c r="K157">
        <v>9</v>
      </c>
      <c r="L157">
        <v>3</v>
      </c>
      <c r="M157" s="12">
        <f t="shared" si="59"/>
        <v>5.4359537075942765E-2</v>
      </c>
      <c r="N157">
        <f t="shared" si="53"/>
        <v>6.0199411445596249E-2</v>
      </c>
      <c r="O157">
        <f t="shared" si="60"/>
        <v>0.23315131798028244</v>
      </c>
      <c r="P157" t="s">
        <v>211</v>
      </c>
      <c r="Q157" t="s">
        <v>771</v>
      </c>
      <c r="R157" t="s">
        <v>261</v>
      </c>
      <c r="S157">
        <f t="shared" si="61"/>
        <v>4.9645555555555561</v>
      </c>
      <c r="T157" t="s">
        <v>103</v>
      </c>
      <c r="U157">
        <v>86</v>
      </c>
      <c r="V157" t="s">
        <v>138</v>
      </c>
      <c r="W157">
        <f t="shared" si="62"/>
        <v>40</v>
      </c>
      <c r="Y157">
        <v>1990</v>
      </c>
      <c r="Z157">
        <f>2025-AVERAGE($Y$148:$Y$162)</f>
        <v>23.933333333333394</v>
      </c>
      <c r="AC157">
        <v>0.23600000143051147</v>
      </c>
      <c r="AD157" s="3">
        <v>0.17100000000000001</v>
      </c>
      <c r="AE157">
        <v>0</v>
      </c>
      <c r="AF157" t="s">
        <v>186</v>
      </c>
      <c r="AG157">
        <v>2</v>
      </c>
      <c r="AH157">
        <v>2</v>
      </c>
      <c r="AI157">
        <f t="shared" si="63"/>
        <v>2.7333333333333334</v>
      </c>
      <c r="AJ157">
        <f t="shared" si="64"/>
        <v>3.2</v>
      </c>
      <c r="AK157" t="s">
        <v>112</v>
      </c>
      <c r="AL157">
        <v>90</v>
      </c>
      <c r="AM157" t="s">
        <v>140</v>
      </c>
      <c r="AN157" t="s">
        <v>185</v>
      </c>
      <c r="AO157">
        <v>3.4340000000000002</v>
      </c>
    </row>
    <row r="158" spans="1:75" ht="15.6">
      <c r="A158">
        <v>5</v>
      </c>
      <c r="B158" t="s">
        <v>200</v>
      </c>
      <c r="C158" t="s">
        <v>201</v>
      </c>
      <c r="D158" s="3">
        <f t="shared" si="54"/>
        <v>46.666666666666664</v>
      </c>
      <c r="E158" s="3">
        <f t="shared" si="55"/>
        <v>20</v>
      </c>
      <c r="F158">
        <v>2020</v>
      </c>
      <c r="G158">
        <f t="shared" si="42"/>
        <v>5</v>
      </c>
      <c r="H158">
        <f t="shared" si="56"/>
        <v>0.16343999998013178</v>
      </c>
      <c r="I158">
        <f t="shared" si="57"/>
        <v>0.4234147024084905</v>
      </c>
      <c r="J158">
        <f t="shared" si="58"/>
        <v>15</v>
      </c>
      <c r="K158">
        <v>9</v>
      </c>
      <c r="L158">
        <v>3</v>
      </c>
      <c r="M158" s="12">
        <f t="shared" si="59"/>
        <v>5.4359537075942765E-2</v>
      </c>
      <c r="N158">
        <f t="shared" si="53"/>
        <v>6.0199411445596249E-2</v>
      </c>
      <c r="O158">
        <f t="shared" si="60"/>
        <v>0.23315131798028244</v>
      </c>
      <c r="P158" t="s">
        <v>212</v>
      </c>
      <c r="Q158" t="s">
        <v>527</v>
      </c>
      <c r="R158">
        <v>4.282</v>
      </c>
      <c r="S158">
        <f t="shared" si="61"/>
        <v>4.9645555555555561</v>
      </c>
      <c r="T158" t="s">
        <v>101</v>
      </c>
      <c r="U158">
        <v>30</v>
      </c>
      <c r="V158" t="s">
        <v>138</v>
      </c>
      <c r="W158">
        <f t="shared" si="62"/>
        <v>40</v>
      </c>
      <c r="Y158">
        <v>2014</v>
      </c>
      <c r="Z158">
        <f>2025-AVERAGE($Y$148:$Y$162)</f>
        <v>23.933333333333394</v>
      </c>
      <c r="AC158">
        <v>0.62000000476837158</v>
      </c>
      <c r="AD158" s="3">
        <v>0.04</v>
      </c>
      <c r="AE158">
        <v>0</v>
      </c>
      <c r="AF158" t="s">
        <v>186</v>
      </c>
      <c r="AG158">
        <v>3</v>
      </c>
      <c r="AH158">
        <v>4</v>
      </c>
      <c r="AI158">
        <f t="shared" si="63"/>
        <v>2.7333333333333334</v>
      </c>
      <c r="AJ158">
        <f t="shared" si="64"/>
        <v>3.2</v>
      </c>
      <c r="AK158" t="s">
        <v>112</v>
      </c>
      <c r="AL158">
        <v>90</v>
      </c>
      <c r="AM158" t="s">
        <v>140</v>
      </c>
      <c r="AN158" t="s">
        <v>185</v>
      </c>
      <c r="AO158">
        <v>3.4340000000000002</v>
      </c>
    </row>
    <row r="159" spans="1:75" ht="15.6">
      <c r="A159">
        <v>5</v>
      </c>
      <c r="B159" t="s">
        <v>200</v>
      </c>
      <c r="C159" t="s">
        <v>201</v>
      </c>
      <c r="D159" s="3">
        <f t="shared" si="54"/>
        <v>46.666666666666664</v>
      </c>
      <c r="E159" s="3">
        <f t="shared" si="55"/>
        <v>20</v>
      </c>
      <c r="F159">
        <v>2020</v>
      </c>
      <c r="G159">
        <f t="shared" si="42"/>
        <v>5</v>
      </c>
      <c r="H159">
        <f t="shared" si="56"/>
        <v>0.16343999998013178</v>
      </c>
      <c r="I159">
        <f t="shared" si="57"/>
        <v>0.4234147024084905</v>
      </c>
      <c r="J159">
        <f t="shared" si="58"/>
        <v>15</v>
      </c>
      <c r="K159">
        <v>9</v>
      </c>
      <c r="L159">
        <v>3</v>
      </c>
      <c r="M159" s="12">
        <f t="shared" si="59"/>
        <v>5.4359537075942765E-2</v>
      </c>
      <c r="N159">
        <f t="shared" si="53"/>
        <v>6.0199411445596249E-2</v>
      </c>
      <c r="O159">
        <f t="shared" si="60"/>
        <v>0.23315131798028244</v>
      </c>
      <c r="P159" t="s">
        <v>213</v>
      </c>
      <c r="Q159" t="s">
        <v>412</v>
      </c>
      <c r="R159">
        <v>18.78</v>
      </c>
      <c r="S159">
        <f t="shared" si="61"/>
        <v>4.9645555555555561</v>
      </c>
      <c r="T159" t="s">
        <v>101</v>
      </c>
      <c r="U159">
        <v>30</v>
      </c>
      <c r="V159" t="s">
        <v>755</v>
      </c>
      <c r="W159">
        <f t="shared" si="62"/>
        <v>40</v>
      </c>
      <c r="Y159">
        <v>2012</v>
      </c>
      <c r="Z159">
        <f>2025-AVERAGE($Y$148:$Y$162)</f>
        <v>23.933333333333394</v>
      </c>
      <c r="AC159">
        <v>0.11700000000000001</v>
      </c>
      <c r="AD159" s="3">
        <v>-0.02</v>
      </c>
      <c r="AE159">
        <v>0</v>
      </c>
      <c r="AF159" t="s">
        <v>186</v>
      </c>
      <c r="AG159">
        <v>3</v>
      </c>
      <c r="AH159">
        <v>4</v>
      </c>
      <c r="AI159">
        <f t="shared" si="63"/>
        <v>2.7333333333333334</v>
      </c>
      <c r="AJ159">
        <f t="shared" si="64"/>
        <v>3.2</v>
      </c>
      <c r="AK159" t="s">
        <v>112</v>
      </c>
      <c r="AL159">
        <v>90</v>
      </c>
      <c r="AM159" t="s">
        <v>140</v>
      </c>
      <c r="AN159" t="s">
        <v>185</v>
      </c>
      <c r="AO159">
        <v>3.4340000000000002</v>
      </c>
    </row>
    <row r="160" spans="1:75" ht="15.6">
      <c r="A160">
        <v>5</v>
      </c>
      <c r="B160" t="s">
        <v>200</v>
      </c>
      <c r="C160" t="s">
        <v>201</v>
      </c>
      <c r="D160" s="3">
        <f t="shared" si="54"/>
        <v>46.666666666666664</v>
      </c>
      <c r="E160" s="3">
        <f t="shared" si="55"/>
        <v>20</v>
      </c>
      <c r="F160">
        <v>2020</v>
      </c>
      <c r="G160">
        <f t="shared" si="42"/>
        <v>5</v>
      </c>
      <c r="H160">
        <f t="shared" si="56"/>
        <v>0.16343999998013178</v>
      </c>
      <c r="I160">
        <f t="shared" si="57"/>
        <v>0.4234147024084905</v>
      </c>
      <c r="J160">
        <f t="shared" si="58"/>
        <v>15</v>
      </c>
      <c r="K160">
        <v>9</v>
      </c>
      <c r="L160">
        <v>3</v>
      </c>
      <c r="M160" s="12">
        <f t="shared" si="59"/>
        <v>5.4359537075942765E-2</v>
      </c>
      <c r="N160">
        <f t="shared" si="53"/>
        <v>6.0199411445596249E-2</v>
      </c>
      <c r="O160">
        <f t="shared" si="60"/>
        <v>0.23315131798028244</v>
      </c>
      <c r="P160" t="s">
        <v>214</v>
      </c>
      <c r="Q160" t="s">
        <v>529</v>
      </c>
      <c r="R160" t="s">
        <v>261</v>
      </c>
      <c r="S160">
        <f t="shared" si="61"/>
        <v>4.9645555555555561</v>
      </c>
      <c r="T160" t="s">
        <v>101</v>
      </c>
      <c r="U160">
        <v>37</v>
      </c>
      <c r="V160" t="s">
        <v>138</v>
      </c>
      <c r="W160">
        <f t="shared" si="62"/>
        <v>40</v>
      </c>
      <c r="Y160">
        <v>1988</v>
      </c>
      <c r="Z160">
        <f>2025-AVERAGE($Y$148:$Y$162)</f>
        <v>23.933333333333394</v>
      </c>
      <c r="AC160">
        <v>0.20000000298023224</v>
      </c>
      <c r="AD160" s="3">
        <v>1.6E-2</v>
      </c>
      <c r="AE160">
        <v>0</v>
      </c>
      <c r="AF160" t="s">
        <v>186</v>
      </c>
      <c r="AG160">
        <v>3</v>
      </c>
      <c r="AH160">
        <v>4</v>
      </c>
      <c r="AI160">
        <f t="shared" si="63"/>
        <v>2.7333333333333334</v>
      </c>
      <c r="AJ160">
        <f t="shared" si="64"/>
        <v>3.2</v>
      </c>
      <c r="AK160" t="s">
        <v>112</v>
      </c>
      <c r="AL160">
        <v>90</v>
      </c>
      <c r="AM160" t="s">
        <v>140</v>
      </c>
      <c r="AN160" t="s">
        <v>185</v>
      </c>
      <c r="AO160">
        <v>3.4340000000000002</v>
      </c>
    </row>
    <row r="161" spans="1:57" ht="15.6">
      <c r="A161">
        <v>5</v>
      </c>
      <c r="B161" t="s">
        <v>200</v>
      </c>
      <c r="C161" t="s">
        <v>201</v>
      </c>
      <c r="D161" s="3">
        <f t="shared" si="54"/>
        <v>46.666666666666664</v>
      </c>
      <c r="E161" s="3">
        <f t="shared" si="55"/>
        <v>20</v>
      </c>
      <c r="F161">
        <v>2020</v>
      </c>
      <c r="G161">
        <f t="shared" si="42"/>
        <v>5</v>
      </c>
      <c r="H161">
        <f t="shared" si="56"/>
        <v>0.16343999998013178</v>
      </c>
      <c r="I161">
        <f t="shared" si="57"/>
        <v>0.4234147024084905</v>
      </c>
      <c r="J161">
        <f t="shared" si="58"/>
        <v>15</v>
      </c>
      <c r="K161">
        <v>9</v>
      </c>
      <c r="L161">
        <v>3</v>
      </c>
      <c r="M161" s="12">
        <f t="shared" si="59"/>
        <v>5.4359537075942765E-2</v>
      </c>
      <c r="N161">
        <f t="shared" si="53"/>
        <v>6.0199411445596249E-2</v>
      </c>
      <c r="O161">
        <f t="shared" si="60"/>
        <v>0.23315131798028244</v>
      </c>
      <c r="P161" t="s">
        <v>215</v>
      </c>
      <c r="Q161" t="s">
        <v>529</v>
      </c>
      <c r="R161" t="s">
        <v>261</v>
      </c>
      <c r="S161">
        <f t="shared" si="61"/>
        <v>4.9645555555555561</v>
      </c>
      <c r="T161" t="s">
        <v>103</v>
      </c>
      <c r="U161">
        <v>22</v>
      </c>
      <c r="V161" t="s">
        <v>138</v>
      </c>
      <c r="W161">
        <f t="shared" si="62"/>
        <v>40</v>
      </c>
      <c r="Y161">
        <v>1979</v>
      </c>
      <c r="Z161">
        <f>2025-AVERAGE($Y$148:$Y$162)</f>
        <v>23.933333333333394</v>
      </c>
      <c r="AC161">
        <v>0.35409998893737793</v>
      </c>
      <c r="AD161" s="3">
        <v>6.3E-2</v>
      </c>
      <c r="AE161">
        <v>0</v>
      </c>
      <c r="AF161" t="s">
        <v>186</v>
      </c>
      <c r="AG161">
        <v>2</v>
      </c>
      <c r="AH161">
        <v>2</v>
      </c>
      <c r="AI161">
        <f t="shared" si="63"/>
        <v>2.7333333333333334</v>
      </c>
      <c r="AJ161">
        <f t="shared" si="64"/>
        <v>3.2</v>
      </c>
      <c r="AK161" t="s">
        <v>112</v>
      </c>
      <c r="AL161">
        <v>90</v>
      </c>
      <c r="AM161" t="s">
        <v>140</v>
      </c>
      <c r="AN161" t="s">
        <v>185</v>
      </c>
      <c r="AO161">
        <v>3.4340000000000002</v>
      </c>
      <c r="BE161" s="1"/>
    </row>
    <row r="162" spans="1:57" ht="15.6">
      <c r="A162">
        <v>5</v>
      </c>
      <c r="B162" t="s">
        <v>200</v>
      </c>
      <c r="C162" t="s">
        <v>201</v>
      </c>
      <c r="D162" s="3">
        <f t="shared" si="54"/>
        <v>46.666666666666664</v>
      </c>
      <c r="E162" s="3">
        <f t="shared" si="55"/>
        <v>20</v>
      </c>
      <c r="F162">
        <v>2020</v>
      </c>
      <c r="G162">
        <f t="shared" si="42"/>
        <v>5</v>
      </c>
      <c r="H162">
        <f t="shared" si="56"/>
        <v>0.16343999998013178</v>
      </c>
      <c r="I162">
        <f t="shared" si="57"/>
        <v>0.4234147024084905</v>
      </c>
      <c r="J162">
        <f t="shared" si="58"/>
        <v>15</v>
      </c>
      <c r="K162">
        <v>9</v>
      </c>
      <c r="L162">
        <v>3</v>
      </c>
      <c r="M162" s="12">
        <f t="shared" si="59"/>
        <v>5.4359537075942765E-2</v>
      </c>
      <c r="N162">
        <f t="shared" si="53"/>
        <v>6.0199411445596249E-2</v>
      </c>
      <c r="O162">
        <f t="shared" si="60"/>
        <v>0.23315131798028244</v>
      </c>
      <c r="P162" t="s">
        <v>216</v>
      </c>
      <c r="Q162" t="s">
        <v>551</v>
      </c>
      <c r="R162">
        <v>5.0540000000000003</v>
      </c>
      <c r="S162">
        <f t="shared" si="61"/>
        <v>4.9645555555555561</v>
      </c>
      <c r="T162" t="s">
        <v>101</v>
      </c>
      <c r="U162">
        <v>54</v>
      </c>
      <c r="V162" t="s">
        <v>138</v>
      </c>
      <c r="W162">
        <f t="shared" si="62"/>
        <v>40</v>
      </c>
      <c r="Y162">
        <v>2008</v>
      </c>
      <c r="Z162">
        <f>2025-AVERAGE($Y$148:$Y$162)</f>
        <v>23.933333333333394</v>
      </c>
      <c r="AC162">
        <v>0.43000000715255737</v>
      </c>
      <c r="AD162" s="3">
        <v>-0.04</v>
      </c>
      <c r="AE162">
        <v>0</v>
      </c>
      <c r="AF162" t="s">
        <v>186</v>
      </c>
      <c r="AG162">
        <v>3</v>
      </c>
      <c r="AH162">
        <v>4</v>
      </c>
      <c r="AI162">
        <f t="shared" si="63"/>
        <v>2.7333333333333334</v>
      </c>
      <c r="AJ162">
        <f t="shared" si="64"/>
        <v>3.2</v>
      </c>
      <c r="AK162" t="s">
        <v>112</v>
      </c>
      <c r="AL162">
        <v>90</v>
      </c>
      <c r="AM162" t="s">
        <v>140</v>
      </c>
      <c r="AN162" t="s">
        <v>185</v>
      </c>
      <c r="AO162">
        <v>3.4340000000000002</v>
      </c>
      <c r="BE162" s="1"/>
    </row>
    <row r="163" spans="1:57" ht="15.6">
      <c r="A163">
        <v>6</v>
      </c>
      <c r="B163" t="s">
        <v>218</v>
      </c>
      <c r="C163" t="s">
        <v>219</v>
      </c>
      <c r="D163" s="3">
        <f>100*(29/37)</f>
        <v>78.378378378378372</v>
      </c>
      <c r="E163" s="3">
        <f>100*(24/34)</f>
        <v>70.588235294117652</v>
      </c>
      <c r="F163">
        <v>2018</v>
      </c>
      <c r="G163">
        <f t="shared" si="42"/>
        <v>7</v>
      </c>
      <c r="H163">
        <f>AVERAGE($AD$163:$AD$202)</f>
        <v>0.38147058823529406</v>
      </c>
      <c r="I163">
        <f>AVERAGE($AC$163:$AC$202)</f>
        <v>0.32518918918918926</v>
      </c>
      <c r="J163">
        <f>COUNTA($C$163:$C$202)</f>
        <v>40</v>
      </c>
      <c r="K163">
        <v>35</v>
      </c>
      <c r="L163">
        <v>42</v>
      </c>
      <c r="M163" s="12">
        <f>_xlfn.VAR.P($AD$163:$AD$202)</f>
        <v>2.6147837370242264E-2</v>
      </c>
      <c r="N163">
        <f t="shared" ref="N163:N202" si="65">$O$163/SQRT($J$163)</f>
        <v>2.5567478058190575E-2</v>
      </c>
      <c r="O163">
        <f>_xlfn.STDEV.P($AD$163:$AD$202)</f>
        <v>0.16170292938052255</v>
      </c>
      <c r="P163" t="s">
        <v>220</v>
      </c>
      <c r="Q163" t="s">
        <v>458</v>
      </c>
      <c r="R163">
        <v>0.89900000000000002</v>
      </c>
      <c r="S163">
        <f>AVERAGE($R$163:$R$202)</f>
        <v>1.0161578947368421</v>
      </c>
      <c r="T163" t="s">
        <v>262</v>
      </c>
      <c r="U163">
        <v>6</v>
      </c>
      <c r="W163">
        <f>AVERAGE($U$163:$U$202)</f>
        <v>30.897435897435898</v>
      </c>
      <c r="Y163">
        <v>2003</v>
      </c>
      <c r="Z163">
        <f>2025-AVERAGE($Y$163:$Y$202)</f>
        <v>16.049999999999955</v>
      </c>
      <c r="AA163" t="s">
        <v>416</v>
      </c>
      <c r="AB163" t="s">
        <v>440</v>
      </c>
      <c r="AC163">
        <v>0.61</v>
      </c>
      <c r="AD163" s="3">
        <v>0.59</v>
      </c>
      <c r="AE163">
        <v>0</v>
      </c>
      <c r="AF163" t="s">
        <v>186</v>
      </c>
      <c r="AG163">
        <v>1</v>
      </c>
      <c r="AH163">
        <v>2</v>
      </c>
      <c r="AI163">
        <f>AVERAGE($AG$163:$AG$202)</f>
        <v>2.2999999999999998</v>
      </c>
      <c r="AJ163">
        <f>AVERAGE($AH$163:$AH$202)</f>
        <v>1.075</v>
      </c>
      <c r="AK163" t="s">
        <v>1143</v>
      </c>
      <c r="AL163">
        <v>101</v>
      </c>
      <c r="AM163" t="s">
        <v>115</v>
      </c>
      <c r="AN163" t="s">
        <v>264</v>
      </c>
      <c r="AO163">
        <v>0.79300000000000004</v>
      </c>
    </row>
    <row r="164" spans="1:57" ht="15.6">
      <c r="A164">
        <v>6</v>
      </c>
      <c r="B164" t="s">
        <v>218</v>
      </c>
      <c r="C164" t="s">
        <v>219</v>
      </c>
      <c r="D164" s="3">
        <f t="shared" ref="D164:D202" si="66">100*(29/37)</f>
        <v>78.378378378378372</v>
      </c>
      <c r="E164" s="3">
        <f t="shared" ref="E164:E202" si="67">100*(24/34)</f>
        <v>70.588235294117652</v>
      </c>
      <c r="F164">
        <v>2018</v>
      </c>
      <c r="G164">
        <f t="shared" si="42"/>
        <v>7</v>
      </c>
      <c r="H164">
        <f t="shared" ref="H164:H202" si="68">AVERAGE($AD$163:$AD$202)</f>
        <v>0.38147058823529406</v>
      </c>
      <c r="I164">
        <f t="shared" ref="I164:I202" si="69">AVERAGE($AC$163:$AC$202)</f>
        <v>0.32518918918918926</v>
      </c>
      <c r="J164">
        <f t="shared" ref="J164:J202" si="70">COUNTA($C$163:$C$202)</f>
        <v>40</v>
      </c>
      <c r="K164">
        <v>35</v>
      </c>
      <c r="L164">
        <v>42</v>
      </c>
      <c r="M164" s="12">
        <f t="shared" ref="M164:M202" si="71">_xlfn.VAR.P($AD$163:$AD$202)</f>
        <v>2.6147837370242264E-2</v>
      </c>
      <c r="N164">
        <f t="shared" si="65"/>
        <v>2.5567478058190575E-2</v>
      </c>
      <c r="O164">
        <f t="shared" ref="O164:O202" si="72">_xlfn.STDEV.P($AD$163:$AD$202)</f>
        <v>0.16170292938052255</v>
      </c>
      <c r="P164" t="s">
        <v>221</v>
      </c>
      <c r="Q164" t="s">
        <v>459</v>
      </c>
      <c r="R164">
        <v>0.187</v>
      </c>
      <c r="S164">
        <f t="shared" ref="S164:S202" si="73">AVERAGE($R$163:$R$202)</f>
        <v>1.0161578947368421</v>
      </c>
      <c r="T164" t="s">
        <v>262</v>
      </c>
      <c r="U164">
        <v>19</v>
      </c>
      <c r="W164">
        <f t="shared" ref="W164:W201" si="74">AVERAGE($U$163:$U$202)</f>
        <v>30.897435897435898</v>
      </c>
      <c r="Y164">
        <v>2003</v>
      </c>
      <c r="Z164">
        <f>2025-AVERAGE($Y$163:$Y$202)</f>
        <v>16.049999999999955</v>
      </c>
      <c r="AA164" t="s">
        <v>416</v>
      </c>
      <c r="AB164" t="s">
        <v>427</v>
      </c>
      <c r="AC164">
        <v>0.6</v>
      </c>
      <c r="AD164" s="3">
        <v>0.46</v>
      </c>
      <c r="AE164">
        <v>0</v>
      </c>
      <c r="AF164" t="s">
        <v>186</v>
      </c>
      <c r="AG164">
        <v>1</v>
      </c>
      <c r="AH164">
        <v>1</v>
      </c>
      <c r="AI164">
        <f t="shared" ref="AI164:AI202" si="75">AVERAGE($AG$163:$AG$202)</f>
        <v>2.2999999999999998</v>
      </c>
      <c r="AJ164">
        <f t="shared" ref="AJ164:AJ202" si="76">AVERAGE($AH$163:$AH$202)</f>
        <v>1.075</v>
      </c>
      <c r="AK164" t="s">
        <v>1143</v>
      </c>
      <c r="AL164">
        <v>101</v>
      </c>
      <c r="AM164" t="s">
        <v>115</v>
      </c>
      <c r="AN164" t="s">
        <v>264</v>
      </c>
      <c r="AO164">
        <v>0.79300000000000004</v>
      </c>
    </row>
    <row r="165" spans="1:57" ht="15.6">
      <c r="A165">
        <v>6</v>
      </c>
      <c r="B165" t="s">
        <v>218</v>
      </c>
      <c r="C165" t="s">
        <v>219</v>
      </c>
      <c r="D165" s="3">
        <f t="shared" si="66"/>
        <v>78.378378378378372</v>
      </c>
      <c r="E165" s="3">
        <f t="shared" si="67"/>
        <v>70.588235294117652</v>
      </c>
      <c r="F165">
        <v>2018</v>
      </c>
      <c r="G165">
        <f t="shared" si="42"/>
        <v>7</v>
      </c>
      <c r="H165">
        <f t="shared" si="68"/>
        <v>0.38147058823529406</v>
      </c>
      <c r="I165">
        <f t="shared" si="69"/>
        <v>0.32518918918918926</v>
      </c>
      <c r="J165">
        <f t="shared" si="70"/>
        <v>40</v>
      </c>
      <c r="K165">
        <v>35</v>
      </c>
      <c r="L165">
        <v>42</v>
      </c>
      <c r="M165" s="12">
        <f t="shared" si="71"/>
        <v>2.6147837370242264E-2</v>
      </c>
      <c r="N165">
        <f t="shared" si="65"/>
        <v>2.5567478058190575E-2</v>
      </c>
      <c r="O165">
        <f t="shared" si="72"/>
        <v>0.16170292938052255</v>
      </c>
      <c r="P165" t="s">
        <v>222</v>
      </c>
      <c r="Q165" t="s">
        <v>460</v>
      </c>
      <c r="R165">
        <v>3.323</v>
      </c>
      <c r="S165">
        <f t="shared" si="73"/>
        <v>1.0161578947368421</v>
      </c>
      <c r="T165" t="s">
        <v>263</v>
      </c>
      <c r="U165">
        <v>25</v>
      </c>
      <c r="W165">
        <f t="shared" si="74"/>
        <v>30.897435897435898</v>
      </c>
      <c r="Y165">
        <v>2004</v>
      </c>
      <c r="Z165">
        <f>2025-AVERAGE($Y$163:$Y$202)</f>
        <v>16.049999999999955</v>
      </c>
      <c r="AA165" t="s">
        <v>414</v>
      </c>
      <c r="AB165" t="s">
        <v>441</v>
      </c>
      <c r="AC165">
        <v>0</v>
      </c>
      <c r="AD165" s="3">
        <v>0.28999999999999998</v>
      </c>
      <c r="AE165">
        <v>0</v>
      </c>
      <c r="AF165" t="s">
        <v>186</v>
      </c>
      <c r="AG165">
        <v>4</v>
      </c>
      <c r="AH165">
        <v>1</v>
      </c>
      <c r="AI165">
        <f t="shared" si="75"/>
        <v>2.2999999999999998</v>
      </c>
      <c r="AJ165">
        <f t="shared" si="76"/>
        <v>1.075</v>
      </c>
      <c r="AK165" t="s">
        <v>1143</v>
      </c>
      <c r="AL165">
        <v>101</v>
      </c>
      <c r="AM165" t="s">
        <v>115</v>
      </c>
      <c r="AN165" t="s">
        <v>264</v>
      </c>
      <c r="AO165">
        <v>0.79300000000000004</v>
      </c>
    </row>
    <row r="166" spans="1:57" ht="15.6">
      <c r="A166">
        <v>6</v>
      </c>
      <c r="B166" t="s">
        <v>218</v>
      </c>
      <c r="C166" t="s">
        <v>219</v>
      </c>
      <c r="D166" s="3">
        <f t="shared" si="66"/>
        <v>78.378378378378372</v>
      </c>
      <c r="E166" s="3">
        <f t="shared" si="67"/>
        <v>70.588235294117652</v>
      </c>
      <c r="F166">
        <v>2018</v>
      </c>
      <c r="G166">
        <f t="shared" si="42"/>
        <v>7</v>
      </c>
      <c r="H166">
        <f t="shared" si="68"/>
        <v>0.38147058823529406</v>
      </c>
      <c r="I166">
        <f t="shared" si="69"/>
        <v>0.32518918918918926</v>
      </c>
      <c r="J166">
        <f t="shared" si="70"/>
        <v>40</v>
      </c>
      <c r="K166">
        <v>35</v>
      </c>
      <c r="L166">
        <v>42</v>
      </c>
      <c r="M166" s="12">
        <f t="shared" si="71"/>
        <v>2.6147837370242264E-2</v>
      </c>
      <c r="N166">
        <f t="shared" si="65"/>
        <v>2.5567478058190575E-2</v>
      </c>
      <c r="O166">
        <f t="shared" si="72"/>
        <v>0.16170292938052255</v>
      </c>
      <c r="P166" t="s">
        <v>223</v>
      </c>
      <c r="Q166" t="s">
        <v>458</v>
      </c>
      <c r="R166">
        <v>0.501</v>
      </c>
      <c r="S166">
        <f t="shared" si="73"/>
        <v>1.0161578947368421</v>
      </c>
      <c r="T166" t="s">
        <v>262</v>
      </c>
      <c r="U166">
        <v>13</v>
      </c>
      <c r="W166">
        <f t="shared" si="74"/>
        <v>30.897435897435898</v>
      </c>
      <c r="Y166">
        <v>2004</v>
      </c>
      <c r="Z166">
        <f>2025-AVERAGE($Y$163:$Y$202)</f>
        <v>16.049999999999955</v>
      </c>
      <c r="AA166" t="s">
        <v>417</v>
      </c>
      <c r="AB166" t="s">
        <v>431</v>
      </c>
      <c r="AC166">
        <v>0.54</v>
      </c>
      <c r="AD166" s="3">
        <v>0.28999999999999998</v>
      </c>
      <c r="AE166">
        <v>0</v>
      </c>
      <c r="AF166" t="s">
        <v>186</v>
      </c>
      <c r="AG166">
        <v>1</v>
      </c>
      <c r="AH166">
        <v>1</v>
      </c>
      <c r="AI166">
        <f t="shared" si="75"/>
        <v>2.2999999999999998</v>
      </c>
      <c r="AJ166">
        <f t="shared" si="76"/>
        <v>1.075</v>
      </c>
      <c r="AK166" t="s">
        <v>1143</v>
      </c>
      <c r="AL166">
        <v>101</v>
      </c>
      <c r="AM166" t="s">
        <v>115</v>
      </c>
      <c r="AN166" t="s">
        <v>264</v>
      </c>
      <c r="AO166">
        <v>0.79300000000000004</v>
      </c>
    </row>
    <row r="167" spans="1:57" ht="15.6">
      <c r="A167">
        <v>6</v>
      </c>
      <c r="B167" t="s">
        <v>218</v>
      </c>
      <c r="C167" t="s">
        <v>219</v>
      </c>
      <c r="D167" s="3">
        <f t="shared" si="66"/>
        <v>78.378378378378372</v>
      </c>
      <c r="E167" s="3">
        <f t="shared" si="67"/>
        <v>70.588235294117652</v>
      </c>
      <c r="F167">
        <v>2018</v>
      </c>
      <c r="G167">
        <f t="shared" si="42"/>
        <v>7</v>
      </c>
      <c r="H167">
        <f t="shared" si="68"/>
        <v>0.38147058823529406</v>
      </c>
      <c r="I167">
        <f t="shared" si="69"/>
        <v>0.32518918918918926</v>
      </c>
      <c r="J167">
        <f t="shared" si="70"/>
        <v>40</v>
      </c>
      <c r="K167">
        <v>35</v>
      </c>
      <c r="L167">
        <v>42</v>
      </c>
      <c r="M167" s="12">
        <f t="shared" si="71"/>
        <v>2.6147837370242264E-2</v>
      </c>
      <c r="N167">
        <f t="shared" si="65"/>
        <v>2.5567478058190575E-2</v>
      </c>
      <c r="O167">
        <f t="shared" si="72"/>
        <v>0.16170292938052255</v>
      </c>
      <c r="P167" t="s">
        <v>224</v>
      </c>
      <c r="Q167" t="s">
        <v>459</v>
      </c>
      <c r="R167">
        <v>0.30299999999999999</v>
      </c>
      <c r="S167">
        <f t="shared" si="73"/>
        <v>1.0161578947368421</v>
      </c>
      <c r="T167" t="s">
        <v>262</v>
      </c>
      <c r="U167">
        <v>28</v>
      </c>
      <c r="W167">
        <f t="shared" si="74"/>
        <v>30.897435897435898</v>
      </c>
      <c r="Y167">
        <v>2004</v>
      </c>
      <c r="Z167">
        <f>2025-AVERAGE($Y$163:$Y$202)</f>
        <v>16.049999999999955</v>
      </c>
      <c r="AA167" t="s">
        <v>418</v>
      </c>
      <c r="AB167" t="s">
        <v>442</v>
      </c>
      <c r="AC167">
        <v>0.77</v>
      </c>
      <c r="AD167" s="3">
        <v>0.83</v>
      </c>
      <c r="AE167">
        <v>0</v>
      </c>
      <c r="AF167" t="s">
        <v>186</v>
      </c>
      <c r="AG167">
        <v>1</v>
      </c>
      <c r="AH167">
        <v>1</v>
      </c>
      <c r="AI167">
        <f t="shared" si="75"/>
        <v>2.2999999999999998</v>
      </c>
      <c r="AJ167">
        <f t="shared" si="76"/>
        <v>1.075</v>
      </c>
      <c r="AK167" t="s">
        <v>1143</v>
      </c>
      <c r="AL167">
        <v>101</v>
      </c>
      <c r="AM167" t="s">
        <v>115</v>
      </c>
      <c r="AN167" t="s">
        <v>264</v>
      </c>
      <c r="AO167">
        <v>0.79300000000000004</v>
      </c>
    </row>
    <row r="168" spans="1:57" ht="15.6">
      <c r="A168">
        <v>6</v>
      </c>
      <c r="B168" t="s">
        <v>218</v>
      </c>
      <c r="C168" t="s">
        <v>219</v>
      </c>
      <c r="D168" s="3">
        <f t="shared" si="66"/>
        <v>78.378378378378372</v>
      </c>
      <c r="E168" s="3">
        <f t="shared" si="67"/>
        <v>70.588235294117652</v>
      </c>
      <c r="F168">
        <v>2018</v>
      </c>
      <c r="G168">
        <f t="shared" si="42"/>
        <v>7</v>
      </c>
      <c r="H168">
        <f t="shared" si="68"/>
        <v>0.38147058823529406</v>
      </c>
      <c r="I168">
        <f t="shared" si="69"/>
        <v>0.32518918918918926</v>
      </c>
      <c r="J168">
        <f t="shared" si="70"/>
        <v>40</v>
      </c>
      <c r="K168">
        <v>35</v>
      </c>
      <c r="L168">
        <v>42</v>
      </c>
      <c r="M168" s="12">
        <f t="shared" si="71"/>
        <v>2.6147837370242264E-2</v>
      </c>
      <c r="N168">
        <f t="shared" si="65"/>
        <v>2.5567478058190575E-2</v>
      </c>
      <c r="O168">
        <f t="shared" si="72"/>
        <v>0.16170292938052255</v>
      </c>
      <c r="P168" t="s">
        <v>225</v>
      </c>
      <c r="Q168" t="s">
        <v>461</v>
      </c>
      <c r="R168">
        <v>0.37</v>
      </c>
      <c r="S168">
        <f t="shared" si="73"/>
        <v>1.0161578947368421</v>
      </c>
      <c r="T168" t="s">
        <v>262</v>
      </c>
      <c r="U168">
        <v>9</v>
      </c>
      <c r="W168">
        <f t="shared" si="74"/>
        <v>30.897435897435898</v>
      </c>
      <c r="Y168">
        <v>2004</v>
      </c>
      <c r="Z168">
        <f>2025-AVERAGE($Y$163:$Y$202)</f>
        <v>16.049999999999955</v>
      </c>
      <c r="AA168" t="s">
        <v>419</v>
      </c>
      <c r="AB168" t="s">
        <v>419</v>
      </c>
      <c r="AC168">
        <v>0.83</v>
      </c>
      <c r="AD168" s="3">
        <v>0.68</v>
      </c>
      <c r="AE168">
        <v>0</v>
      </c>
      <c r="AF168" t="s">
        <v>186</v>
      </c>
      <c r="AG168">
        <v>1</v>
      </c>
      <c r="AH168">
        <v>1</v>
      </c>
      <c r="AI168">
        <f t="shared" si="75"/>
        <v>2.2999999999999998</v>
      </c>
      <c r="AJ168">
        <f t="shared" si="76"/>
        <v>1.075</v>
      </c>
      <c r="AK168" t="s">
        <v>1143</v>
      </c>
      <c r="AL168">
        <v>101</v>
      </c>
      <c r="AM168" t="s">
        <v>115</v>
      </c>
      <c r="AN168" t="s">
        <v>264</v>
      </c>
      <c r="AO168">
        <v>0.79300000000000004</v>
      </c>
    </row>
    <row r="169" spans="1:57" ht="15.6">
      <c r="A169">
        <v>6</v>
      </c>
      <c r="B169" t="s">
        <v>218</v>
      </c>
      <c r="C169" t="s">
        <v>219</v>
      </c>
      <c r="D169" s="3">
        <f t="shared" si="66"/>
        <v>78.378378378378372</v>
      </c>
      <c r="E169" s="3">
        <f t="shared" si="67"/>
        <v>70.588235294117652</v>
      </c>
      <c r="F169">
        <v>2018</v>
      </c>
      <c r="G169">
        <f t="shared" si="42"/>
        <v>7</v>
      </c>
      <c r="H169">
        <f t="shared" si="68"/>
        <v>0.38147058823529406</v>
      </c>
      <c r="I169">
        <f t="shared" si="69"/>
        <v>0.32518918918918926</v>
      </c>
      <c r="J169">
        <f t="shared" si="70"/>
        <v>40</v>
      </c>
      <c r="K169">
        <v>35</v>
      </c>
      <c r="L169">
        <v>42</v>
      </c>
      <c r="M169" s="12">
        <f t="shared" si="71"/>
        <v>2.6147837370242264E-2</v>
      </c>
      <c r="N169">
        <f t="shared" si="65"/>
        <v>2.5567478058190575E-2</v>
      </c>
      <c r="O169">
        <f t="shared" si="72"/>
        <v>0.16170292938052255</v>
      </c>
      <c r="P169" t="s">
        <v>226</v>
      </c>
      <c r="Q169" t="s">
        <v>459</v>
      </c>
      <c r="R169">
        <v>0.221</v>
      </c>
      <c r="S169">
        <f t="shared" si="73"/>
        <v>1.0161578947368421</v>
      </c>
      <c r="T169" t="s">
        <v>262</v>
      </c>
      <c r="U169">
        <v>49</v>
      </c>
      <c r="W169">
        <f t="shared" si="74"/>
        <v>30.897435897435898</v>
      </c>
      <c r="Y169">
        <v>2005</v>
      </c>
      <c r="Z169">
        <f>2025-AVERAGE($Y$163:$Y$202)</f>
        <v>16.049999999999955</v>
      </c>
      <c r="AA169" t="s">
        <v>420</v>
      </c>
      <c r="AB169" t="s">
        <v>427</v>
      </c>
      <c r="AC169">
        <v>0.6</v>
      </c>
      <c r="AD169" s="3">
        <v>0.52</v>
      </c>
      <c r="AE169">
        <v>0</v>
      </c>
      <c r="AF169" t="s">
        <v>186</v>
      </c>
      <c r="AG169">
        <v>4</v>
      </c>
      <c r="AH169">
        <v>1</v>
      </c>
      <c r="AI169">
        <f t="shared" si="75"/>
        <v>2.2999999999999998</v>
      </c>
      <c r="AJ169">
        <f t="shared" si="76"/>
        <v>1.075</v>
      </c>
      <c r="AK169" t="s">
        <v>1143</v>
      </c>
      <c r="AL169">
        <v>101</v>
      </c>
      <c r="AM169" t="s">
        <v>115</v>
      </c>
      <c r="AN169" t="s">
        <v>264</v>
      </c>
      <c r="AO169">
        <v>0.79300000000000004</v>
      </c>
    </row>
    <row r="170" spans="1:57" ht="15.6">
      <c r="A170">
        <v>6</v>
      </c>
      <c r="B170" t="s">
        <v>218</v>
      </c>
      <c r="C170" t="s">
        <v>219</v>
      </c>
      <c r="D170" s="3">
        <f t="shared" si="66"/>
        <v>78.378378378378372</v>
      </c>
      <c r="E170" s="3">
        <f t="shared" si="67"/>
        <v>70.588235294117652</v>
      </c>
      <c r="F170">
        <v>2018</v>
      </c>
      <c r="G170">
        <f t="shared" si="42"/>
        <v>7</v>
      </c>
      <c r="H170">
        <f t="shared" si="68"/>
        <v>0.38147058823529406</v>
      </c>
      <c r="I170">
        <f t="shared" si="69"/>
        <v>0.32518918918918926</v>
      </c>
      <c r="J170">
        <f t="shared" si="70"/>
        <v>40</v>
      </c>
      <c r="K170">
        <v>35</v>
      </c>
      <c r="L170">
        <v>42</v>
      </c>
      <c r="M170" s="12">
        <f t="shared" si="71"/>
        <v>2.6147837370242264E-2</v>
      </c>
      <c r="N170">
        <f t="shared" si="65"/>
        <v>2.5567478058190575E-2</v>
      </c>
      <c r="O170">
        <f t="shared" si="72"/>
        <v>0.16170292938052255</v>
      </c>
      <c r="P170" t="s">
        <v>227</v>
      </c>
      <c r="Q170" t="s">
        <v>459</v>
      </c>
      <c r="R170">
        <v>0.221</v>
      </c>
      <c r="S170">
        <f t="shared" si="73"/>
        <v>1.0161578947368421</v>
      </c>
      <c r="T170" t="s">
        <v>262</v>
      </c>
      <c r="U170">
        <v>12</v>
      </c>
      <c r="W170">
        <f t="shared" si="74"/>
        <v>30.897435897435898</v>
      </c>
      <c r="Y170">
        <v>2005</v>
      </c>
      <c r="Z170">
        <f>2025-AVERAGE($Y$163:$Y$202)</f>
        <v>16.049999999999955</v>
      </c>
      <c r="AA170" t="s">
        <v>421</v>
      </c>
      <c r="AB170" t="s">
        <v>443</v>
      </c>
      <c r="AC170">
        <v>-0.04</v>
      </c>
      <c r="AD170" s="3">
        <v>0.15</v>
      </c>
      <c r="AE170">
        <v>0</v>
      </c>
      <c r="AF170" t="s">
        <v>186</v>
      </c>
      <c r="AG170">
        <v>1</v>
      </c>
      <c r="AH170">
        <v>1</v>
      </c>
      <c r="AI170">
        <f t="shared" si="75"/>
        <v>2.2999999999999998</v>
      </c>
      <c r="AJ170">
        <f t="shared" si="76"/>
        <v>1.075</v>
      </c>
      <c r="AK170" t="s">
        <v>1143</v>
      </c>
      <c r="AL170">
        <v>101</v>
      </c>
      <c r="AM170" t="s">
        <v>115</v>
      </c>
      <c r="AN170" t="s">
        <v>264</v>
      </c>
      <c r="AO170">
        <v>0.79300000000000004</v>
      </c>
    </row>
    <row r="171" spans="1:57" ht="15.6">
      <c r="A171">
        <v>6</v>
      </c>
      <c r="B171" t="s">
        <v>218</v>
      </c>
      <c r="C171" t="s">
        <v>219</v>
      </c>
      <c r="D171" s="3">
        <f t="shared" si="66"/>
        <v>78.378378378378372</v>
      </c>
      <c r="E171" s="3">
        <f t="shared" si="67"/>
        <v>70.588235294117652</v>
      </c>
      <c r="F171">
        <v>2018</v>
      </c>
      <c r="G171">
        <f t="shared" si="42"/>
        <v>7</v>
      </c>
      <c r="H171">
        <f t="shared" si="68"/>
        <v>0.38147058823529406</v>
      </c>
      <c r="I171">
        <f t="shared" si="69"/>
        <v>0.32518918918918926</v>
      </c>
      <c r="J171">
        <f t="shared" si="70"/>
        <v>40</v>
      </c>
      <c r="K171">
        <v>35</v>
      </c>
      <c r="L171">
        <v>42</v>
      </c>
      <c r="M171" s="12">
        <f t="shared" si="71"/>
        <v>2.6147837370242264E-2</v>
      </c>
      <c r="N171">
        <f t="shared" si="65"/>
        <v>2.5567478058190575E-2</v>
      </c>
      <c r="O171">
        <f t="shared" si="72"/>
        <v>0.16170292938052255</v>
      </c>
      <c r="P171" t="s">
        <v>228</v>
      </c>
      <c r="Q171" t="s">
        <v>459</v>
      </c>
      <c r="R171">
        <v>0.221</v>
      </c>
      <c r="S171">
        <f t="shared" si="73"/>
        <v>1.0161578947368421</v>
      </c>
      <c r="T171" t="s">
        <v>262</v>
      </c>
      <c r="U171">
        <v>18</v>
      </c>
      <c r="W171">
        <f t="shared" si="74"/>
        <v>30.897435897435898</v>
      </c>
      <c r="Y171">
        <v>2005</v>
      </c>
      <c r="Z171">
        <f>2025-AVERAGE($Y$163:$Y$202)</f>
        <v>16.049999999999955</v>
      </c>
      <c r="AA171" t="s">
        <v>422</v>
      </c>
      <c r="AB171" t="s">
        <v>427</v>
      </c>
      <c r="AC171">
        <v>0.38</v>
      </c>
      <c r="AD171" s="3">
        <v>0.45</v>
      </c>
      <c r="AE171">
        <v>0</v>
      </c>
      <c r="AF171" t="s">
        <v>186</v>
      </c>
      <c r="AG171">
        <v>1</v>
      </c>
      <c r="AH171">
        <v>1</v>
      </c>
      <c r="AI171">
        <f t="shared" si="75"/>
        <v>2.2999999999999998</v>
      </c>
      <c r="AJ171">
        <f t="shared" si="76"/>
        <v>1.075</v>
      </c>
      <c r="AK171" t="s">
        <v>1143</v>
      </c>
      <c r="AL171">
        <v>101</v>
      </c>
      <c r="AM171" t="s">
        <v>115</v>
      </c>
      <c r="AN171" t="s">
        <v>264</v>
      </c>
      <c r="AO171">
        <v>0.79300000000000004</v>
      </c>
    </row>
    <row r="172" spans="1:57" ht="15.6">
      <c r="A172">
        <v>6</v>
      </c>
      <c r="B172" t="s">
        <v>218</v>
      </c>
      <c r="C172" t="s">
        <v>219</v>
      </c>
      <c r="D172" s="3">
        <f t="shared" si="66"/>
        <v>78.378378378378372</v>
      </c>
      <c r="E172" s="3">
        <f t="shared" si="67"/>
        <v>70.588235294117652</v>
      </c>
      <c r="F172">
        <v>2018</v>
      </c>
      <c r="G172">
        <f t="shared" si="42"/>
        <v>7</v>
      </c>
      <c r="H172">
        <f t="shared" si="68"/>
        <v>0.38147058823529406</v>
      </c>
      <c r="I172">
        <f t="shared" si="69"/>
        <v>0.32518918918918926</v>
      </c>
      <c r="J172">
        <f t="shared" si="70"/>
        <v>40</v>
      </c>
      <c r="K172">
        <v>35</v>
      </c>
      <c r="L172">
        <v>42</v>
      </c>
      <c r="M172" s="12">
        <f t="shared" si="71"/>
        <v>2.6147837370242264E-2</v>
      </c>
      <c r="N172">
        <f t="shared" si="65"/>
        <v>2.5567478058190575E-2</v>
      </c>
      <c r="O172">
        <f t="shared" si="72"/>
        <v>0.16170292938052255</v>
      </c>
      <c r="P172" t="s">
        <v>229</v>
      </c>
      <c r="Q172" t="s">
        <v>462</v>
      </c>
      <c r="R172" t="s">
        <v>261</v>
      </c>
      <c r="S172">
        <f t="shared" si="73"/>
        <v>1.0161578947368421</v>
      </c>
      <c r="T172" t="s">
        <v>263</v>
      </c>
      <c r="U172">
        <v>49</v>
      </c>
      <c r="W172">
        <f t="shared" si="74"/>
        <v>30.897435897435898</v>
      </c>
      <c r="Y172">
        <v>2006</v>
      </c>
      <c r="Z172">
        <f>2025-AVERAGE($Y$163:$Y$202)</f>
        <v>16.049999999999955</v>
      </c>
      <c r="AA172" t="s">
        <v>423</v>
      </c>
      <c r="AB172" t="s">
        <v>444</v>
      </c>
      <c r="AC172">
        <v>0.12</v>
      </c>
      <c r="AD172" s="3">
        <v>0.32</v>
      </c>
      <c r="AE172">
        <v>0</v>
      </c>
      <c r="AF172" t="s">
        <v>186</v>
      </c>
      <c r="AG172">
        <v>4</v>
      </c>
      <c r="AH172">
        <v>1</v>
      </c>
      <c r="AI172">
        <f t="shared" si="75"/>
        <v>2.2999999999999998</v>
      </c>
      <c r="AJ172">
        <f t="shared" si="76"/>
        <v>1.075</v>
      </c>
      <c r="AK172" t="s">
        <v>1143</v>
      </c>
      <c r="AL172">
        <v>101</v>
      </c>
      <c r="AM172" t="s">
        <v>115</v>
      </c>
      <c r="AN172" t="s">
        <v>264</v>
      </c>
      <c r="AO172">
        <v>0.79300000000000004</v>
      </c>
    </row>
    <row r="173" spans="1:57" ht="15.6">
      <c r="A173">
        <v>6</v>
      </c>
      <c r="B173" t="s">
        <v>218</v>
      </c>
      <c r="C173" t="s">
        <v>219</v>
      </c>
      <c r="D173" s="3">
        <f t="shared" si="66"/>
        <v>78.378378378378372</v>
      </c>
      <c r="E173" s="3">
        <f t="shared" si="67"/>
        <v>70.588235294117652</v>
      </c>
      <c r="F173">
        <v>2018</v>
      </c>
      <c r="G173">
        <f t="shared" si="42"/>
        <v>7</v>
      </c>
      <c r="H173">
        <f t="shared" si="68"/>
        <v>0.38147058823529406</v>
      </c>
      <c r="I173">
        <f t="shared" si="69"/>
        <v>0.32518918918918926</v>
      </c>
      <c r="J173">
        <f t="shared" si="70"/>
        <v>40</v>
      </c>
      <c r="K173">
        <v>35</v>
      </c>
      <c r="L173">
        <v>42</v>
      </c>
      <c r="M173" s="12">
        <f t="shared" si="71"/>
        <v>2.6147837370242264E-2</v>
      </c>
      <c r="N173">
        <f t="shared" si="65"/>
        <v>2.5567478058190575E-2</v>
      </c>
      <c r="O173">
        <f t="shared" si="72"/>
        <v>0.16170292938052255</v>
      </c>
      <c r="P173" t="s">
        <v>230</v>
      </c>
      <c r="Q173" t="s">
        <v>463</v>
      </c>
      <c r="R173">
        <v>0.38200000000000001</v>
      </c>
      <c r="S173">
        <f t="shared" si="73"/>
        <v>1.0161578947368421</v>
      </c>
      <c r="T173" t="s">
        <v>262</v>
      </c>
      <c r="U173">
        <v>23</v>
      </c>
      <c r="W173">
        <f t="shared" si="74"/>
        <v>30.897435897435898</v>
      </c>
      <c r="Y173">
        <v>2006</v>
      </c>
      <c r="Z173">
        <f>2025-AVERAGE($Y$163:$Y$202)</f>
        <v>16.049999999999955</v>
      </c>
      <c r="AA173" t="s">
        <v>424</v>
      </c>
      <c r="AB173" t="s">
        <v>427</v>
      </c>
      <c r="AC173">
        <v>0.61</v>
      </c>
      <c r="AD173" s="3">
        <v>0.61</v>
      </c>
      <c r="AE173">
        <v>0</v>
      </c>
      <c r="AF173" t="s">
        <v>186</v>
      </c>
      <c r="AG173">
        <v>2</v>
      </c>
      <c r="AH173">
        <v>1</v>
      </c>
      <c r="AI173">
        <f t="shared" si="75"/>
        <v>2.2999999999999998</v>
      </c>
      <c r="AJ173">
        <f t="shared" si="76"/>
        <v>1.075</v>
      </c>
      <c r="AK173" t="s">
        <v>1143</v>
      </c>
      <c r="AL173">
        <v>101</v>
      </c>
      <c r="AM173" t="s">
        <v>115</v>
      </c>
      <c r="AN173" t="s">
        <v>264</v>
      </c>
      <c r="AO173">
        <v>0.79300000000000004</v>
      </c>
    </row>
    <row r="174" spans="1:57" ht="15.6">
      <c r="A174">
        <v>6</v>
      </c>
      <c r="B174" t="s">
        <v>218</v>
      </c>
      <c r="C174" t="s">
        <v>219</v>
      </c>
      <c r="D174" s="3">
        <f t="shared" si="66"/>
        <v>78.378378378378372</v>
      </c>
      <c r="E174" s="3">
        <f t="shared" si="67"/>
        <v>70.588235294117652</v>
      </c>
      <c r="F174">
        <v>2018</v>
      </c>
      <c r="G174">
        <f t="shared" si="42"/>
        <v>7</v>
      </c>
      <c r="H174">
        <f t="shared" si="68"/>
        <v>0.38147058823529406</v>
      </c>
      <c r="I174">
        <f t="shared" si="69"/>
        <v>0.32518918918918926</v>
      </c>
      <c r="J174">
        <f t="shared" si="70"/>
        <v>40</v>
      </c>
      <c r="K174">
        <v>35</v>
      </c>
      <c r="L174">
        <v>42</v>
      </c>
      <c r="M174" s="12">
        <f t="shared" si="71"/>
        <v>2.6147837370242264E-2</v>
      </c>
      <c r="N174">
        <f t="shared" si="65"/>
        <v>2.5567478058190575E-2</v>
      </c>
      <c r="O174">
        <f t="shared" si="72"/>
        <v>0.16170292938052255</v>
      </c>
      <c r="P174" t="s">
        <v>231</v>
      </c>
      <c r="Q174" t="s">
        <v>463</v>
      </c>
      <c r="R174">
        <v>0.38200000000000001</v>
      </c>
      <c r="S174">
        <f t="shared" si="73"/>
        <v>1.0161578947368421</v>
      </c>
      <c r="T174" t="s">
        <v>262</v>
      </c>
      <c r="U174">
        <v>40</v>
      </c>
      <c r="W174">
        <f t="shared" si="74"/>
        <v>30.897435897435898</v>
      </c>
      <c r="Y174">
        <v>2006</v>
      </c>
      <c r="Z174">
        <f>2025-AVERAGE($Y$163:$Y$202)</f>
        <v>16.049999999999955</v>
      </c>
      <c r="AA174" t="s">
        <v>425</v>
      </c>
      <c r="AB174" t="s">
        <v>445</v>
      </c>
      <c r="AC174">
        <v>0.44</v>
      </c>
      <c r="AD174" s="3">
        <v>0.75</v>
      </c>
      <c r="AE174">
        <v>0</v>
      </c>
      <c r="AF174" t="s">
        <v>186</v>
      </c>
      <c r="AG174">
        <v>1</v>
      </c>
      <c r="AH174">
        <v>1</v>
      </c>
      <c r="AI174">
        <f t="shared" si="75"/>
        <v>2.2999999999999998</v>
      </c>
      <c r="AJ174">
        <f t="shared" si="76"/>
        <v>1.075</v>
      </c>
      <c r="AK174" t="s">
        <v>1143</v>
      </c>
      <c r="AL174">
        <v>101</v>
      </c>
      <c r="AM174" t="s">
        <v>115</v>
      </c>
      <c r="AN174" t="s">
        <v>264</v>
      </c>
      <c r="AO174">
        <v>0.79300000000000004</v>
      </c>
      <c r="BE174" s="1"/>
    </row>
    <row r="175" spans="1:57" ht="15.6">
      <c r="A175">
        <v>6</v>
      </c>
      <c r="B175" t="s">
        <v>218</v>
      </c>
      <c r="C175" t="s">
        <v>219</v>
      </c>
      <c r="D175" s="3">
        <f t="shared" si="66"/>
        <v>78.378378378378372</v>
      </c>
      <c r="E175" s="3">
        <f t="shared" si="67"/>
        <v>70.588235294117652</v>
      </c>
      <c r="F175">
        <v>2018</v>
      </c>
      <c r="G175">
        <f t="shared" si="42"/>
        <v>7</v>
      </c>
      <c r="H175">
        <f t="shared" si="68"/>
        <v>0.38147058823529406</v>
      </c>
      <c r="I175">
        <f t="shared" si="69"/>
        <v>0.32518918918918926</v>
      </c>
      <c r="J175">
        <f t="shared" si="70"/>
        <v>40</v>
      </c>
      <c r="K175">
        <v>35</v>
      </c>
      <c r="L175">
        <v>42</v>
      </c>
      <c r="M175" s="12">
        <f t="shared" si="71"/>
        <v>2.6147837370242264E-2</v>
      </c>
      <c r="N175">
        <f t="shared" si="65"/>
        <v>2.5567478058190575E-2</v>
      </c>
      <c r="O175">
        <f t="shared" si="72"/>
        <v>0.16170292938052255</v>
      </c>
      <c r="P175" t="s">
        <v>232</v>
      </c>
      <c r="Q175" t="s">
        <v>464</v>
      </c>
      <c r="R175">
        <v>0.35599999999999998</v>
      </c>
      <c r="S175">
        <f t="shared" si="73"/>
        <v>1.0161578947368421</v>
      </c>
      <c r="T175" t="s">
        <v>262</v>
      </c>
      <c r="U175">
        <v>55</v>
      </c>
      <c r="W175">
        <f t="shared" si="74"/>
        <v>30.897435897435898</v>
      </c>
      <c r="Y175">
        <v>2006</v>
      </c>
      <c r="Z175">
        <f>2025-AVERAGE($Y$163:$Y$202)</f>
        <v>16.049999999999955</v>
      </c>
      <c r="AA175" t="s">
        <v>416</v>
      </c>
      <c r="AB175" t="s">
        <v>431</v>
      </c>
      <c r="AC175">
        <v>0.41</v>
      </c>
      <c r="AD175" s="3">
        <v>0.25</v>
      </c>
      <c r="AE175">
        <v>0</v>
      </c>
      <c r="AF175" t="s">
        <v>186</v>
      </c>
      <c r="AG175">
        <v>1</v>
      </c>
      <c r="AH175">
        <v>1</v>
      </c>
      <c r="AI175">
        <f t="shared" si="75"/>
        <v>2.2999999999999998</v>
      </c>
      <c r="AJ175">
        <f t="shared" si="76"/>
        <v>1.075</v>
      </c>
      <c r="AK175" t="s">
        <v>1143</v>
      </c>
      <c r="AL175">
        <v>101</v>
      </c>
      <c r="AM175" t="s">
        <v>115</v>
      </c>
      <c r="AN175" t="s">
        <v>264</v>
      </c>
      <c r="AO175">
        <v>0.79300000000000004</v>
      </c>
    </row>
    <row r="176" spans="1:57" ht="15.6">
      <c r="A176">
        <v>6</v>
      </c>
      <c r="B176" t="s">
        <v>218</v>
      </c>
      <c r="C176" t="s">
        <v>219</v>
      </c>
      <c r="D176" s="3">
        <f t="shared" si="66"/>
        <v>78.378378378378372</v>
      </c>
      <c r="E176" s="3">
        <f t="shared" si="67"/>
        <v>70.588235294117652</v>
      </c>
      <c r="F176">
        <v>2018</v>
      </c>
      <c r="G176">
        <f t="shared" si="42"/>
        <v>7</v>
      </c>
      <c r="H176">
        <f t="shared" si="68"/>
        <v>0.38147058823529406</v>
      </c>
      <c r="I176">
        <f t="shared" si="69"/>
        <v>0.32518918918918926</v>
      </c>
      <c r="J176">
        <f t="shared" si="70"/>
        <v>40</v>
      </c>
      <c r="K176">
        <v>35</v>
      </c>
      <c r="L176">
        <v>42</v>
      </c>
      <c r="M176" s="12">
        <f t="shared" si="71"/>
        <v>2.6147837370242264E-2</v>
      </c>
      <c r="N176">
        <f t="shared" si="65"/>
        <v>2.5567478058190575E-2</v>
      </c>
      <c r="O176">
        <f t="shared" si="72"/>
        <v>0.16170292938052255</v>
      </c>
      <c r="P176" t="s">
        <v>233</v>
      </c>
      <c r="Q176" t="s">
        <v>465</v>
      </c>
      <c r="R176">
        <v>1.2529999999999999</v>
      </c>
      <c r="S176">
        <f t="shared" si="73"/>
        <v>1.0161578947368421</v>
      </c>
      <c r="T176" t="s">
        <v>262</v>
      </c>
      <c r="U176">
        <v>46</v>
      </c>
      <c r="W176">
        <f t="shared" si="74"/>
        <v>30.897435897435898</v>
      </c>
      <c r="Y176">
        <v>2007</v>
      </c>
      <c r="Z176">
        <f>2025-AVERAGE($Y$163:$Y$202)</f>
        <v>16.049999999999955</v>
      </c>
      <c r="AA176" t="s">
        <v>426</v>
      </c>
      <c r="AB176" t="s">
        <v>430</v>
      </c>
      <c r="AC176">
        <v>0.73</v>
      </c>
      <c r="AD176" s="3">
        <v>0.38</v>
      </c>
      <c r="AE176">
        <v>0</v>
      </c>
      <c r="AF176" t="s">
        <v>186</v>
      </c>
      <c r="AG176">
        <v>2</v>
      </c>
      <c r="AH176">
        <v>1</v>
      </c>
      <c r="AI176">
        <f t="shared" si="75"/>
        <v>2.2999999999999998</v>
      </c>
      <c r="AJ176">
        <f t="shared" si="76"/>
        <v>1.075</v>
      </c>
      <c r="AK176" t="s">
        <v>1143</v>
      </c>
      <c r="AL176">
        <v>101</v>
      </c>
      <c r="AM176" t="s">
        <v>115</v>
      </c>
      <c r="AN176" t="s">
        <v>264</v>
      </c>
      <c r="AO176">
        <v>0.79300000000000004</v>
      </c>
    </row>
    <row r="177" spans="1:75" ht="15.6">
      <c r="A177">
        <v>6</v>
      </c>
      <c r="B177" t="s">
        <v>218</v>
      </c>
      <c r="C177" t="s">
        <v>219</v>
      </c>
      <c r="D177" s="3">
        <f t="shared" si="66"/>
        <v>78.378378378378372</v>
      </c>
      <c r="E177" s="3">
        <f t="shared" si="67"/>
        <v>70.588235294117652</v>
      </c>
      <c r="F177">
        <v>2018</v>
      </c>
      <c r="G177">
        <f t="shared" si="42"/>
        <v>7</v>
      </c>
      <c r="H177">
        <f t="shared" si="68"/>
        <v>0.38147058823529406</v>
      </c>
      <c r="I177">
        <f t="shared" si="69"/>
        <v>0.32518918918918926</v>
      </c>
      <c r="J177">
        <f t="shared" si="70"/>
        <v>40</v>
      </c>
      <c r="K177">
        <v>35</v>
      </c>
      <c r="L177">
        <v>42</v>
      </c>
      <c r="M177" s="12">
        <f t="shared" si="71"/>
        <v>2.6147837370242264E-2</v>
      </c>
      <c r="N177">
        <f t="shared" si="65"/>
        <v>2.5567478058190575E-2</v>
      </c>
      <c r="O177">
        <f t="shared" si="72"/>
        <v>0.16170292938052255</v>
      </c>
      <c r="P177" t="s">
        <v>234</v>
      </c>
      <c r="Q177" t="s">
        <v>466</v>
      </c>
      <c r="R177">
        <v>0.31</v>
      </c>
      <c r="S177" s="1">
        <f t="shared" si="73"/>
        <v>1.0161578947368421</v>
      </c>
      <c r="T177" t="s">
        <v>262</v>
      </c>
      <c r="U177">
        <v>29</v>
      </c>
      <c r="W177">
        <f t="shared" si="74"/>
        <v>30.897435897435898</v>
      </c>
      <c r="Y177">
        <v>2007</v>
      </c>
      <c r="Z177">
        <f>2025-AVERAGE($Y$163:$Y$202)</f>
        <v>16.049999999999955</v>
      </c>
      <c r="AA177" t="s">
        <v>427</v>
      </c>
      <c r="AB177" t="s">
        <v>427</v>
      </c>
      <c r="AC177">
        <v>0.32</v>
      </c>
      <c r="AD177" s="3">
        <v>0.33</v>
      </c>
      <c r="AE177">
        <v>0</v>
      </c>
      <c r="AF177" t="s">
        <v>186</v>
      </c>
      <c r="AG177">
        <v>3</v>
      </c>
      <c r="AH177">
        <v>2</v>
      </c>
      <c r="AI177">
        <f t="shared" si="75"/>
        <v>2.2999999999999998</v>
      </c>
      <c r="AJ177">
        <f t="shared" si="76"/>
        <v>1.075</v>
      </c>
      <c r="AK177" t="s">
        <v>1143</v>
      </c>
      <c r="AL177">
        <v>101</v>
      </c>
      <c r="AM177" t="s">
        <v>115</v>
      </c>
      <c r="AN177" t="s">
        <v>264</v>
      </c>
      <c r="AO177">
        <v>0.79300000000000004</v>
      </c>
      <c r="AR177" s="1"/>
      <c r="AY177" s="1"/>
      <c r="BE177" s="1"/>
      <c r="BW177" s="1"/>
    </row>
    <row r="178" spans="1:75" ht="15.6">
      <c r="A178">
        <v>6</v>
      </c>
      <c r="B178" t="s">
        <v>218</v>
      </c>
      <c r="C178" t="s">
        <v>219</v>
      </c>
      <c r="D178" s="3">
        <f t="shared" si="66"/>
        <v>78.378378378378372</v>
      </c>
      <c r="E178" s="3">
        <f t="shared" si="67"/>
        <v>70.588235294117652</v>
      </c>
      <c r="F178">
        <v>2018</v>
      </c>
      <c r="G178">
        <f t="shared" si="42"/>
        <v>7</v>
      </c>
      <c r="H178">
        <f t="shared" si="68"/>
        <v>0.38147058823529406</v>
      </c>
      <c r="I178">
        <f t="shared" si="69"/>
        <v>0.32518918918918926</v>
      </c>
      <c r="J178">
        <f t="shared" si="70"/>
        <v>40</v>
      </c>
      <c r="K178">
        <v>35</v>
      </c>
      <c r="L178">
        <v>42</v>
      </c>
      <c r="M178" s="12">
        <f t="shared" si="71"/>
        <v>2.6147837370242264E-2</v>
      </c>
      <c r="N178">
        <f t="shared" si="65"/>
        <v>2.5567478058190575E-2</v>
      </c>
      <c r="O178">
        <f t="shared" si="72"/>
        <v>0.16170292938052255</v>
      </c>
      <c r="P178" t="s">
        <v>235</v>
      </c>
      <c r="Q178" t="s">
        <v>466</v>
      </c>
      <c r="R178">
        <v>0.31</v>
      </c>
      <c r="S178" s="1">
        <f t="shared" si="73"/>
        <v>1.0161578947368421</v>
      </c>
      <c r="T178" t="s">
        <v>262</v>
      </c>
      <c r="U178">
        <v>30</v>
      </c>
      <c r="W178">
        <f t="shared" si="74"/>
        <v>30.897435897435898</v>
      </c>
      <c r="Y178">
        <v>2007</v>
      </c>
      <c r="Z178">
        <f>2025-AVERAGE($Y$163:$Y$202)</f>
        <v>16.049999999999955</v>
      </c>
      <c r="AA178" t="s">
        <v>414</v>
      </c>
      <c r="AB178" t="s">
        <v>427</v>
      </c>
      <c r="AC178">
        <v>0.28000000000000003</v>
      </c>
      <c r="AD178" s="3">
        <v>0.21</v>
      </c>
      <c r="AE178">
        <v>0</v>
      </c>
      <c r="AF178" t="s">
        <v>186</v>
      </c>
      <c r="AG178">
        <v>2</v>
      </c>
      <c r="AH178">
        <v>1</v>
      </c>
      <c r="AI178">
        <f t="shared" si="75"/>
        <v>2.2999999999999998</v>
      </c>
      <c r="AJ178">
        <f t="shared" si="76"/>
        <v>1.075</v>
      </c>
      <c r="AK178" t="s">
        <v>1143</v>
      </c>
      <c r="AL178">
        <v>101</v>
      </c>
      <c r="AM178" t="s">
        <v>115</v>
      </c>
      <c r="AN178" t="s">
        <v>264</v>
      </c>
      <c r="AO178">
        <v>0.79300000000000004</v>
      </c>
      <c r="AR178" s="1"/>
      <c r="AY178" s="1"/>
      <c r="BE178" s="1"/>
      <c r="BW178" s="1"/>
    </row>
    <row r="179" spans="1:75" ht="15.6">
      <c r="A179">
        <v>6</v>
      </c>
      <c r="B179" t="s">
        <v>218</v>
      </c>
      <c r="C179" t="s">
        <v>219</v>
      </c>
      <c r="D179" s="3">
        <f t="shared" si="66"/>
        <v>78.378378378378372</v>
      </c>
      <c r="E179" s="3">
        <f t="shared" si="67"/>
        <v>70.588235294117652</v>
      </c>
      <c r="F179">
        <v>2018</v>
      </c>
      <c r="G179">
        <f t="shared" si="42"/>
        <v>7</v>
      </c>
      <c r="H179">
        <f t="shared" si="68"/>
        <v>0.38147058823529406</v>
      </c>
      <c r="I179">
        <f t="shared" si="69"/>
        <v>0.32518918918918926</v>
      </c>
      <c r="J179">
        <f t="shared" si="70"/>
        <v>40</v>
      </c>
      <c r="K179">
        <v>35</v>
      </c>
      <c r="L179">
        <v>42</v>
      </c>
      <c r="M179" s="12">
        <f t="shared" si="71"/>
        <v>2.6147837370242264E-2</v>
      </c>
      <c r="N179">
        <f t="shared" si="65"/>
        <v>2.5567478058190575E-2</v>
      </c>
      <c r="O179">
        <f t="shared" si="72"/>
        <v>0.16170292938052255</v>
      </c>
      <c r="P179" t="s">
        <v>236</v>
      </c>
      <c r="Q179" t="s">
        <v>460</v>
      </c>
      <c r="R179">
        <v>2.5049999999999999</v>
      </c>
      <c r="S179" s="1">
        <f t="shared" si="73"/>
        <v>1.0161578947368421</v>
      </c>
      <c r="T179" t="s">
        <v>263</v>
      </c>
      <c r="U179">
        <v>40</v>
      </c>
      <c r="W179">
        <f t="shared" si="74"/>
        <v>30.897435897435898</v>
      </c>
      <c r="Y179">
        <v>2008</v>
      </c>
      <c r="Z179">
        <f>2025-AVERAGE($Y$163:$Y$202)</f>
        <v>16.049999999999955</v>
      </c>
      <c r="AA179" t="s">
        <v>428</v>
      </c>
      <c r="AB179" t="s">
        <v>446</v>
      </c>
      <c r="AC179" t="s">
        <v>261</v>
      </c>
      <c r="AD179" s="3" t="s">
        <v>261</v>
      </c>
      <c r="AE179">
        <v>0</v>
      </c>
      <c r="AF179" t="s">
        <v>186</v>
      </c>
      <c r="AG179">
        <v>5</v>
      </c>
      <c r="AH179">
        <v>1</v>
      </c>
      <c r="AI179">
        <f t="shared" si="75"/>
        <v>2.2999999999999998</v>
      </c>
      <c r="AJ179">
        <f t="shared" si="76"/>
        <v>1.075</v>
      </c>
      <c r="AK179" t="s">
        <v>1143</v>
      </c>
      <c r="AL179">
        <v>101</v>
      </c>
      <c r="AM179" t="s">
        <v>115</v>
      </c>
      <c r="AN179" t="s">
        <v>264</v>
      </c>
      <c r="AO179">
        <v>0.79300000000000004</v>
      </c>
      <c r="AR179" s="1"/>
      <c r="AY179" s="1"/>
      <c r="BE179" s="1"/>
      <c r="BW179" s="1"/>
    </row>
    <row r="180" spans="1:75" ht="15.6">
      <c r="A180">
        <v>6</v>
      </c>
      <c r="B180" t="s">
        <v>218</v>
      </c>
      <c r="C180" t="s">
        <v>219</v>
      </c>
      <c r="D180" s="3">
        <f t="shared" si="66"/>
        <v>78.378378378378372</v>
      </c>
      <c r="E180" s="3">
        <f t="shared" si="67"/>
        <v>70.588235294117652</v>
      </c>
      <c r="F180">
        <v>2018</v>
      </c>
      <c r="G180">
        <f t="shared" si="42"/>
        <v>7</v>
      </c>
      <c r="H180">
        <f t="shared" si="68"/>
        <v>0.38147058823529406</v>
      </c>
      <c r="I180">
        <f t="shared" si="69"/>
        <v>0.32518918918918926</v>
      </c>
      <c r="J180">
        <f t="shared" si="70"/>
        <v>40</v>
      </c>
      <c r="K180">
        <v>35</v>
      </c>
      <c r="L180">
        <v>42</v>
      </c>
      <c r="M180" s="12">
        <f t="shared" si="71"/>
        <v>2.6147837370242264E-2</v>
      </c>
      <c r="N180">
        <f t="shared" si="65"/>
        <v>2.5567478058190575E-2</v>
      </c>
      <c r="O180">
        <f t="shared" si="72"/>
        <v>0.16170292938052255</v>
      </c>
      <c r="P180" t="s">
        <v>237</v>
      </c>
      <c r="Q180" t="s">
        <v>459</v>
      </c>
      <c r="R180">
        <v>0.29299999999999998</v>
      </c>
      <c r="S180" s="1">
        <f t="shared" si="73"/>
        <v>1.0161578947368421</v>
      </c>
      <c r="T180" t="s">
        <v>262</v>
      </c>
      <c r="U180">
        <v>40</v>
      </c>
      <c r="W180">
        <f t="shared" si="74"/>
        <v>30.897435897435898</v>
      </c>
      <c r="Y180">
        <v>2008</v>
      </c>
      <c r="Z180">
        <f>2025-AVERAGE($Y$163:$Y$202)</f>
        <v>16.049999999999955</v>
      </c>
      <c r="AA180" t="s">
        <v>414</v>
      </c>
      <c r="AB180" t="s">
        <v>431</v>
      </c>
      <c r="AC180">
        <v>0.32</v>
      </c>
      <c r="AD180" s="3" t="s">
        <v>261</v>
      </c>
      <c r="AE180">
        <v>0</v>
      </c>
      <c r="AF180" t="s">
        <v>186</v>
      </c>
      <c r="AG180">
        <v>1</v>
      </c>
      <c r="AH180">
        <v>1</v>
      </c>
      <c r="AI180">
        <f t="shared" si="75"/>
        <v>2.2999999999999998</v>
      </c>
      <c r="AJ180">
        <f t="shared" si="76"/>
        <v>1.075</v>
      </c>
      <c r="AK180" t="s">
        <v>1143</v>
      </c>
      <c r="AL180">
        <v>101</v>
      </c>
      <c r="AM180" t="s">
        <v>115</v>
      </c>
      <c r="AN180" t="s">
        <v>264</v>
      </c>
      <c r="AO180">
        <v>0.79300000000000004</v>
      </c>
      <c r="AR180" s="1"/>
      <c r="AY180" s="1"/>
      <c r="BE180" s="1"/>
      <c r="BW180" s="1"/>
    </row>
    <row r="181" spans="1:75" ht="15.6">
      <c r="A181">
        <v>6</v>
      </c>
      <c r="B181" t="s">
        <v>218</v>
      </c>
      <c r="C181" t="s">
        <v>219</v>
      </c>
      <c r="D181" s="3">
        <f t="shared" si="66"/>
        <v>78.378378378378372</v>
      </c>
      <c r="E181" s="3">
        <f t="shared" si="67"/>
        <v>70.588235294117652</v>
      </c>
      <c r="F181">
        <v>2018</v>
      </c>
      <c r="G181">
        <f t="shared" si="42"/>
        <v>7</v>
      </c>
      <c r="H181">
        <f t="shared" si="68"/>
        <v>0.38147058823529406</v>
      </c>
      <c r="I181">
        <f t="shared" si="69"/>
        <v>0.32518918918918926</v>
      </c>
      <c r="J181">
        <f t="shared" si="70"/>
        <v>40</v>
      </c>
      <c r="K181">
        <v>35</v>
      </c>
      <c r="L181">
        <v>42</v>
      </c>
      <c r="M181" s="12">
        <f t="shared" si="71"/>
        <v>2.6147837370242264E-2</v>
      </c>
      <c r="N181">
        <f t="shared" si="65"/>
        <v>2.5567478058190575E-2</v>
      </c>
      <c r="O181">
        <f t="shared" si="72"/>
        <v>0.16170292938052255</v>
      </c>
      <c r="P181" t="s">
        <v>238</v>
      </c>
      <c r="Q181" t="s">
        <v>467</v>
      </c>
      <c r="R181" t="s">
        <v>261</v>
      </c>
      <c r="S181" s="1">
        <f t="shared" si="73"/>
        <v>1.0161578947368421</v>
      </c>
      <c r="T181" t="s">
        <v>263</v>
      </c>
      <c r="U181">
        <v>36</v>
      </c>
      <c r="W181">
        <f t="shared" si="74"/>
        <v>30.897435897435898</v>
      </c>
      <c r="Y181">
        <v>2008</v>
      </c>
      <c r="Z181">
        <f>2025-AVERAGE($Y$163:$Y$202)</f>
        <v>16.049999999999955</v>
      </c>
      <c r="AA181" t="s">
        <v>428</v>
      </c>
      <c r="AB181" t="s">
        <v>447</v>
      </c>
      <c r="AC181">
        <v>2E-3</v>
      </c>
      <c r="AD181" s="3">
        <v>0.3</v>
      </c>
      <c r="AE181">
        <v>0</v>
      </c>
      <c r="AF181" t="s">
        <v>186</v>
      </c>
      <c r="AG181">
        <v>2</v>
      </c>
      <c r="AH181">
        <v>1</v>
      </c>
      <c r="AI181">
        <f t="shared" si="75"/>
        <v>2.2999999999999998</v>
      </c>
      <c r="AJ181">
        <f t="shared" si="76"/>
        <v>1.075</v>
      </c>
      <c r="AK181" t="s">
        <v>1143</v>
      </c>
      <c r="AL181">
        <v>101</v>
      </c>
      <c r="AM181" t="s">
        <v>115</v>
      </c>
      <c r="AN181" t="s">
        <v>264</v>
      </c>
      <c r="AO181">
        <v>0.79300000000000004</v>
      </c>
      <c r="AR181" s="1"/>
      <c r="AY181" s="1"/>
      <c r="BE181" s="1"/>
      <c r="BW181" s="1"/>
    </row>
    <row r="182" spans="1:75" ht="15.6">
      <c r="A182">
        <v>6</v>
      </c>
      <c r="B182" t="s">
        <v>218</v>
      </c>
      <c r="C182" t="s">
        <v>219</v>
      </c>
      <c r="D182" s="3">
        <f t="shared" si="66"/>
        <v>78.378378378378372</v>
      </c>
      <c r="E182" s="3">
        <f t="shared" si="67"/>
        <v>70.588235294117652</v>
      </c>
      <c r="F182">
        <v>2018</v>
      </c>
      <c r="G182">
        <f t="shared" si="42"/>
        <v>7</v>
      </c>
      <c r="H182">
        <f t="shared" si="68"/>
        <v>0.38147058823529406</v>
      </c>
      <c r="I182">
        <f t="shared" si="69"/>
        <v>0.32518918918918926</v>
      </c>
      <c r="J182">
        <f t="shared" si="70"/>
        <v>40</v>
      </c>
      <c r="K182">
        <v>35</v>
      </c>
      <c r="L182">
        <v>42</v>
      </c>
      <c r="M182" s="12">
        <f t="shared" si="71"/>
        <v>2.6147837370242264E-2</v>
      </c>
      <c r="N182">
        <f t="shared" si="65"/>
        <v>2.5567478058190575E-2</v>
      </c>
      <c r="O182">
        <f t="shared" si="72"/>
        <v>0.16170292938052255</v>
      </c>
      <c r="P182" t="s">
        <v>239</v>
      </c>
      <c r="Q182" t="s">
        <v>468</v>
      </c>
      <c r="R182">
        <v>0.66100000000000003</v>
      </c>
      <c r="S182" s="1">
        <f t="shared" si="73"/>
        <v>1.0161578947368421</v>
      </c>
      <c r="T182" t="s">
        <v>262</v>
      </c>
      <c r="U182">
        <v>31</v>
      </c>
      <c r="W182">
        <f t="shared" si="74"/>
        <v>30.897435897435898</v>
      </c>
      <c r="Y182">
        <v>2009</v>
      </c>
      <c r="Z182">
        <f>2025-AVERAGE($Y$163:$Y$202)</f>
        <v>16.049999999999955</v>
      </c>
      <c r="AA182" t="s">
        <v>427</v>
      </c>
      <c r="AB182" t="s">
        <v>431</v>
      </c>
      <c r="AC182">
        <v>0.3</v>
      </c>
      <c r="AD182" s="3">
        <v>0.35</v>
      </c>
      <c r="AE182">
        <v>0</v>
      </c>
      <c r="AF182" t="s">
        <v>186</v>
      </c>
      <c r="AG182">
        <v>2</v>
      </c>
      <c r="AH182">
        <v>2</v>
      </c>
      <c r="AI182">
        <f t="shared" si="75"/>
        <v>2.2999999999999998</v>
      </c>
      <c r="AJ182">
        <f t="shared" si="76"/>
        <v>1.075</v>
      </c>
      <c r="AK182" t="s">
        <v>1143</v>
      </c>
      <c r="AL182">
        <v>101</v>
      </c>
      <c r="AM182" t="s">
        <v>115</v>
      </c>
      <c r="AN182" t="s">
        <v>264</v>
      </c>
      <c r="AO182">
        <v>0.79300000000000004</v>
      </c>
      <c r="AR182" s="1"/>
      <c r="AY182" s="1"/>
      <c r="BE182" s="1"/>
      <c r="BW182" s="1"/>
    </row>
    <row r="183" spans="1:75" ht="15.6">
      <c r="A183">
        <v>6</v>
      </c>
      <c r="B183" t="s">
        <v>218</v>
      </c>
      <c r="C183" t="s">
        <v>219</v>
      </c>
      <c r="D183" s="3">
        <f t="shared" si="66"/>
        <v>78.378378378378372</v>
      </c>
      <c r="E183" s="3">
        <f t="shared" si="67"/>
        <v>70.588235294117652</v>
      </c>
      <c r="F183">
        <v>2018</v>
      </c>
      <c r="G183">
        <f t="shared" si="42"/>
        <v>7</v>
      </c>
      <c r="H183">
        <f t="shared" si="68"/>
        <v>0.38147058823529406</v>
      </c>
      <c r="I183">
        <f t="shared" si="69"/>
        <v>0.32518918918918926</v>
      </c>
      <c r="J183">
        <f t="shared" si="70"/>
        <v>40</v>
      </c>
      <c r="K183">
        <v>35</v>
      </c>
      <c r="L183">
        <v>42</v>
      </c>
      <c r="M183" s="12">
        <f t="shared" si="71"/>
        <v>2.6147837370242264E-2</v>
      </c>
      <c r="N183">
        <f t="shared" si="65"/>
        <v>2.5567478058190575E-2</v>
      </c>
      <c r="O183">
        <f t="shared" si="72"/>
        <v>0.16170292938052255</v>
      </c>
      <c r="P183" t="s">
        <v>240</v>
      </c>
      <c r="Q183" t="s">
        <v>459</v>
      </c>
      <c r="R183">
        <v>0.32200000000000001</v>
      </c>
      <c r="S183">
        <f t="shared" si="73"/>
        <v>1.0161578947368421</v>
      </c>
      <c r="T183" t="s">
        <v>263</v>
      </c>
      <c r="U183">
        <v>7</v>
      </c>
      <c r="W183">
        <f t="shared" si="74"/>
        <v>30.897435897435898</v>
      </c>
      <c r="Y183">
        <v>2009</v>
      </c>
      <c r="Z183">
        <f>2025-AVERAGE($Y$163:$Y$202)</f>
        <v>16.049999999999955</v>
      </c>
      <c r="AA183" t="s">
        <v>429</v>
      </c>
      <c r="AB183" t="s">
        <v>448</v>
      </c>
      <c r="AC183">
        <v>-0.1</v>
      </c>
      <c r="AD183" s="3">
        <v>0.33</v>
      </c>
      <c r="AE183">
        <v>0</v>
      </c>
      <c r="AF183" t="s">
        <v>186</v>
      </c>
      <c r="AG183">
        <v>2</v>
      </c>
      <c r="AH183">
        <v>1</v>
      </c>
      <c r="AI183">
        <f t="shared" si="75"/>
        <v>2.2999999999999998</v>
      </c>
      <c r="AJ183">
        <f t="shared" si="76"/>
        <v>1.075</v>
      </c>
      <c r="AK183" t="s">
        <v>1143</v>
      </c>
      <c r="AL183">
        <v>101</v>
      </c>
      <c r="AM183" t="s">
        <v>115</v>
      </c>
      <c r="AN183" t="s">
        <v>264</v>
      </c>
      <c r="AO183">
        <v>0.79300000000000004</v>
      </c>
      <c r="AR183" s="1"/>
      <c r="BE183" s="1"/>
      <c r="BW183" s="1"/>
    </row>
    <row r="184" spans="1:75" ht="15.6">
      <c r="A184">
        <v>6</v>
      </c>
      <c r="B184" t="s">
        <v>218</v>
      </c>
      <c r="C184" t="s">
        <v>219</v>
      </c>
      <c r="D184" s="3">
        <f t="shared" si="66"/>
        <v>78.378378378378372</v>
      </c>
      <c r="E184" s="3">
        <f t="shared" si="67"/>
        <v>70.588235294117652</v>
      </c>
      <c r="F184">
        <v>2018</v>
      </c>
      <c r="G184">
        <f t="shared" si="42"/>
        <v>7</v>
      </c>
      <c r="H184">
        <f t="shared" si="68"/>
        <v>0.38147058823529406</v>
      </c>
      <c r="I184">
        <f t="shared" si="69"/>
        <v>0.32518918918918926</v>
      </c>
      <c r="J184">
        <f t="shared" si="70"/>
        <v>40</v>
      </c>
      <c r="K184">
        <v>35</v>
      </c>
      <c r="L184">
        <v>42</v>
      </c>
      <c r="M184" s="12">
        <f t="shared" si="71"/>
        <v>2.6147837370242264E-2</v>
      </c>
      <c r="N184">
        <f t="shared" si="65"/>
        <v>2.5567478058190575E-2</v>
      </c>
      <c r="O184">
        <f t="shared" si="72"/>
        <v>0.16170292938052255</v>
      </c>
      <c r="P184" t="s">
        <v>241</v>
      </c>
      <c r="Q184" t="s">
        <v>469</v>
      </c>
      <c r="R184">
        <v>1.337</v>
      </c>
      <c r="S184">
        <f t="shared" si="73"/>
        <v>1.0161578947368421</v>
      </c>
      <c r="T184" t="s">
        <v>263</v>
      </c>
      <c r="U184">
        <v>8</v>
      </c>
      <c r="W184">
        <f t="shared" si="74"/>
        <v>30.897435897435898</v>
      </c>
      <c r="Y184">
        <v>2009</v>
      </c>
      <c r="Z184">
        <f>2025-AVERAGE($Y$163:$Y$202)</f>
        <v>16.049999999999955</v>
      </c>
      <c r="AA184" t="s">
        <v>415</v>
      </c>
      <c r="AB184" t="s">
        <v>449</v>
      </c>
      <c r="AC184">
        <v>0.14000000000000001</v>
      </c>
      <c r="AD184" s="3" t="s">
        <v>261</v>
      </c>
      <c r="AE184">
        <v>0</v>
      </c>
      <c r="AF184" t="s">
        <v>186</v>
      </c>
      <c r="AG184">
        <v>3</v>
      </c>
      <c r="AH184">
        <v>1</v>
      </c>
      <c r="AI184">
        <f t="shared" si="75"/>
        <v>2.2999999999999998</v>
      </c>
      <c r="AJ184">
        <f t="shared" si="76"/>
        <v>1.075</v>
      </c>
      <c r="AK184" t="s">
        <v>1143</v>
      </c>
      <c r="AL184">
        <v>101</v>
      </c>
      <c r="AM184" t="s">
        <v>115</v>
      </c>
      <c r="AN184" t="s">
        <v>264</v>
      </c>
      <c r="AO184">
        <v>0.79300000000000004</v>
      </c>
      <c r="AR184" s="1"/>
      <c r="BE184" s="1"/>
      <c r="BW184" s="1"/>
    </row>
    <row r="185" spans="1:75" ht="15.6">
      <c r="A185">
        <v>6</v>
      </c>
      <c r="B185" t="s">
        <v>218</v>
      </c>
      <c r="C185" t="s">
        <v>219</v>
      </c>
      <c r="D185" s="3">
        <f t="shared" si="66"/>
        <v>78.378378378378372</v>
      </c>
      <c r="E185" s="3">
        <f t="shared" si="67"/>
        <v>70.588235294117652</v>
      </c>
      <c r="F185">
        <v>2018</v>
      </c>
      <c r="G185">
        <f t="shared" si="42"/>
        <v>7</v>
      </c>
      <c r="H185">
        <f t="shared" si="68"/>
        <v>0.38147058823529406</v>
      </c>
      <c r="I185">
        <f t="shared" si="69"/>
        <v>0.32518918918918926</v>
      </c>
      <c r="J185">
        <f t="shared" si="70"/>
        <v>40</v>
      </c>
      <c r="K185">
        <v>35</v>
      </c>
      <c r="L185">
        <v>42</v>
      </c>
      <c r="M185" s="12">
        <f t="shared" si="71"/>
        <v>2.6147837370242264E-2</v>
      </c>
      <c r="N185">
        <f t="shared" si="65"/>
        <v>2.5567478058190575E-2</v>
      </c>
      <c r="O185">
        <f t="shared" si="72"/>
        <v>0.16170292938052255</v>
      </c>
      <c r="P185" t="s">
        <v>242</v>
      </c>
      <c r="Q185" t="s">
        <v>459</v>
      </c>
      <c r="R185">
        <v>0.40500000000000003</v>
      </c>
      <c r="S185">
        <f t="shared" si="73"/>
        <v>1.0161578947368421</v>
      </c>
      <c r="T185" t="s">
        <v>262</v>
      </c>
      <c r="U185">
        <v>20</v>
      </c>
      <c r="W185">
        <f t="shared" si="74"/>
        <v>30.897435897435898</v>
      </c>
      <c r="Y185">
        <v>2010</v>
      </c>
      <c r="Z185">
        <f>2025-AVERAGE($Y$163:$Y$202)</f>
        <v>16.049999999999955</v>
      </c>
      <c r="AA185" t="s">
        <v>414</v>
      </c>
      <c r="AB185" t="s">
        <v>450</v>
      </c>
      <c r="AC185">
        <v>0.27</v>
      </c>
      <c r="AD185" s="3">
        <v>0.36</v>
      </c>
      <c r="AE185">
        <v>0</v>
      </c>
      <c r="AF185" t="s">
        <v>186</v>
      </c>
      <c r="AG185">
        <v>1</v>
      </c>
      <c r="AH185">
        <v>1</v>
      </c>
      <c r="AI185">
        <f t="shared" si="75"/>
        <v>2.2999999999999998</v>
      </c>
      <c r="AJ185">
        <f t="shared" si="76"/>
        <v>1.075</v>
      </c>
      <c r="AK185" t="s">
        <v>1143</v>
      </c>
      <c r="AL185">
        <v>101</v>
      </c>
      <c r="AM185" t="s">
        <v>115</v>
      </c>
      <c r="AN185" t="s">
        <v>264</v>
      </c>
      <c r="AO185">
        <v>0.79300000000000004</v>
      </c>
      <c r="AR185" s="1"/>
      <c r="AY185" s="1"/>
      <c r="BE185" s="1"/>
      <c r="BW185" s="1"/>
    </row>
    <row r="186" spans="1:75" ht="15.6">
      <c r="A186">
        <v>6</v>
      </c>
      <c r="B186" t="s">
        <v>218</v>
      </c>
      <c r="C186" t="s">
        <v>219</v>
      </c>
      <c r="D186" s="3">
        <f t="shared" si="66"/>
        <v>78.378378378378372</v>
      </c>
      <c r="E186" s="3">
        <f t="shared" si="67"/>
        <v>70.588235294117652</v>
      </c>
      <c r="F186">
        <v>2018</v>
      </c>
      <c r="G186">
        <f t="shared" si="42"/>
        <v>7</v>
      </c>
      <c r="H186">
        <f t="shared" si="68"/>
        <v>0.38147058823529406</v>
      </c>
      <c r="I186">
        <f t="shared" si="69"/>
        <v>0.32518918918918926</v>
      </c>
      <c r="J186">
        <f t="shared" si="70"/>
        <v>40</v>
      </c>
      <c r="K186">
        <v>35</v>
      </c>
      <c r="L186">
        <v>42</v>
      </c>
      <c r="M186" s="12">
        <f t="shared" si="71"/>
        <v>2.6147837370242264E-2</v>
      </c>
      <c r="N186">
        <f t="shared" si="65"/>
        <v>2.5567478058190575E-2</v>
      </c>
      <c r="O186">
        <f t="shared" si="72"/>
        <v>0.16170292938052255</v>
      </c>
      <c r="P186" t="s">
        <v>243</v>
      </c>
      <c r="Q186" t="s">
        <v>470</v>
      </c>
      <c r="R186">
        <v>1.4159999999999999</v>
      </c>
      <c r="S186">
        <f t="shared" si="73"/>
        <v>1.0161578947368421</v>
      </c>
      <c r="T186" t="s">
        <v>262</v>
      </c>
      <c r="U186">
        <v>49</v>
      </c>
      <c r="W186">
        <f t="shared" si="74"/>
        <v>30.897435897435898</v>
      </c>
      <c r="Y186">
        <v>2010</v>
      </c>
      <c r="Z186">
        <f>2025-AVERAGE($Y$163:$Y$202)</f>
        <v>16.049999999999955</v>
      </c>
      <c r="AA186" t="s">
        <v>430</v>
      </c>
      <c r="AB186" t="s">
        <v>427</v>
      </c>
      <c r="AC186">
        <v>0.31</v>
      </c>
      <c r="AD186" s="3">
        <v>0.35</v>
      </c>
      <c r="AE186">
        <v>0</v>
      </c>
      <c r="AF186" t="s">
        <v>186</v>
      </c>
      <c r="AG186">
        <v>2</v>
      </c>
      <c r="AH186">
        <v>1</v>
      </c>
      <c r="AI186">
        <f t="shared" si="75"/>
        <v>2.2999999999999998</v>
      </c>
      <c r="AJ186">
        <f t="shared" si="76"/>
        <v>1.075</v>
      </c>
      <c r="AK186" t="s">
        <v>1143</v>
      </c>
      <c r="AL186">
        <v>101</v>
      </c>
      <c r="AM186" t="s">
        <v>115</v>
      </c>
      <c r="AN186" t="s">
        <v>264</v>
      </c>
      <c r="AO186">
        <v>0.79300000000000004</v>
      </c>
      <c r="AR186" s="1"/>
      <c r="AY186" s="1"/>
      <c r="BE186" s="1"/>
      <c r="BW186" s="1"/>
    </row>
    <row r="187" spans="1:75" ht="15.6">
      <c r="A187">
        <v>6</v>
      </c>
      <c r="B187" t="s">
        <v>218</v>
      </c>
      <c r="C187" t="s">
        <v>219</v>
      </c>
      <c r="D187" s="3">
        <f t="shared" si="66"/>
        <v>78.378378378378372</v>
      </c>
      <c r="E187" s="3">
        <f t="shared" si="67"/>
        <v>70.588235294117652</v>
      </c>
      <c r="F187">
        <v>2018</v>
      </c>
      <c r="G187">
        <f t="shared" si="42"/>
        <v>7</v>
      </c>
      <c r="H187">
        <f t="shared" si="68"/>
        <v>0.38147058823529406</v>
      </c>
      <c r="I187">
        <f t="shared" si="69"/>
        <v>0.32518918918918926</v>
      </c>
      <c r="J187">
        <f t="shared" si="70"/>
        <v>40</v>
      </c>
      <c r="K187">
        <v>35</v>
      </c>
      <c r="L187">
        <v>42</v>
      </c>
      <c r="M187" s="12">
        <f t="shared" si="71"/>
        <v>2.6147837370242264E-2</v>
      </c>
      <c r="N187">
        <f t="shared" si="65"/>
        <v>2.5567478058190575E-2</v>
      </c>
      <c r="O187">
        <f t="shared" si="72"/>
        <v>0.16170292938052255</v>
      </c>
      <c r="P187" t="s">
        <v>244</v>
      </c>
      <c r="Q187" t="s">
        <v>471</v>
      </c>
      <c r="R187">
        <v>0.98099999999999998</v>
      </c>
      <c r="S187" s="1">
        <f t="shared" si="73"/>
        <v>1.0161578947368421</v>
      </c>
      <c r="T187" t="s">
        <v>262</v>
      </c>
      <c r="U187">
        <v>31</v>
      </c>
      <c r="W187">
        <f t="shared" si="74"/>
        <v>30.897435897435898</v>
      </c>
      <c r="Y187">
        <v>2010</v>
      </c>
      <c r="Z187">
        <f>2025-AVERAGE($Y$163:$Y$202)</f>
        <v>16.049999999999955</v>
      </c>
      <c r="AA187" t="s">
        <v>415</v>
      </c>
      <c r="AB187" t="s">
        <v>451</v>
      </c>
      <c r="AC187">
        <v>0.25</v>
      </c>
      <c r="AD187" s="3">
        <v>0.39</v>
      </c>
      <c r="AE187">
        <v>0</v>
      </c>
      <c r="AF187" t="s">
        <v>186</v>
      </c>
      <c r="AG187">
        <v>2</v>
      </c>
      <c r="AH187">
        <v>1</v>
      </c>
      <c r="AI187">
        <f t="shared" si="75"/>
        <v>2.2999999999999998</v>
      </c>
      <c r="AJ187">
        <f t="shared" si="76"/>
        <v>1.075</v>
      </c>
      <c r="AK187" t="s">
        <v>1143</v>
      </c>
      <c r="AL187">
        <v>101</v>
      </c>
      <c r="AM187" t="s">
        <v>115</v>
      </c>
      <c r="AN187" t="s">
        <v>264</v>
      </c>
      <c r="AO187">
        <v>0.79300000000000004</v>
      </c>
      <c r="AR187" s="1"/>
      <c r="AY187" s="1"/>
      <c r="BW187" s="1"/>
    </row>
    <row r="188" spans="1:75" ht="15.6">
      <c r="A188">
        <v>6</v>
      </c>
      <c r="B188" t="s">
        <v>218</v>
      </c>
      <c r="C188" t="s">
        <v>219</v>
      </c>
      <c r="D188" s="3">
        <f t="shared" si="66"/>
        <v>78.378378378378372</v>
      </c>
      <c r="E188" s="3">
        <f t="shared" si="67"/>
        <v>70.588235294117652</v>
      </c>
      <c r="F188">
        <v>2018</v>
      </c>
      <c r="G188">
        <f t="shared" si="42"/>
        <v>7</v>
      </c>
      <c r="H188">
        <f t="shared" si="68"/>
        <v>0.38147058823529406</v>
      </c>
      <c r="I188">
        <f t="shared" si="69"/>
        <v>0.32518918918918926</v>
      </c>
      <c r="J188">
        <f t="shared" si="70"/>
        <v>40</v>
      </c>
      <c r="K188">
        <v>35</v>
      </c>
      <c r="L188">
        <v>42</v>
      </c>
      <c r="M188" s="12">
        <f t="shared" si="71"/>
        <v>2.6147837370242264E-2</v>
      </c>
      <c r="N188">
        <f t="shared" si="65"/>
        <v>2.5567478058190575E-2</v>
      </c>
      <c r="O188">
        <f t="shared" si="72"/>
        <v>0.16170292938052255</v>
      </c>
      <c r="P188" t="s">
        <v>245</v>
      </c>
      <c r="Q188" t="s">
        <v>468</v>
      </c>
      <c r="R188">
        <v>1.3620000000000001</v>
      </c>
      <c r="S188" s="1">
        <f t="shared" si="73"/>
        <v>1.0161578947368421</v>
      </c>
      <c r="T188" t="s">
        <v>263</v>
      </c>
      <c r="U188" t="s">
        <v>261</v>
      </c>
      <c r="W188">
        <f t="shared" si="74"/>
        <v>30.897435897435898</v>
      </c>
      <c r="Y188">
        <v>2011</v>
      </c>
      <c r="Z188">
        <f>2025-AVERAGE($Y$163:$Y$202)</f>
        <v>16.049999999999955</v>
      </c>
      <c r="AA188" t="s">
        <v>427</v>
      </c>
      <c r="AB188" t="s">
        <v>452</v>
      </c>
      <c r="AC188">
        <v>7.0000000000000007E-2</v>
      </c>
      <c r="AD188" s="3">
        <v>0.24</v>
      </c>
      <c r="AE188">
        <v>0</v>
      </c>
      <c r="AF188" t="s">
        <v>186</v>
      </c>
      <c r="AG188">
        <v>3</v>
      </c>
      <c r="AH188">
        <v>1</v>
      </c>
      <c r="AI188">
        <f t="shared" si="75"/>
        <v>2.2999999999999998</v>
      </c>
      <c r="AJ188">
        <f t="shared" si="76"/>
        <v>1.075</v>
      </c>
      <c r="AK188" t="s">
        <v>1143</v>
      </c>
      <c r="AL188">
        <v>101</v>
      </c>
      <c r="AM188" t="s">
        <v>115</v>
      </c>
      <c r="AN188" t="s">
        <v>264</v>
      </c>
      <c r="AO188">
        <v>0.79300000000000004</v>
      </c>
      <c r="AR188" s="1"/>
      <c r="AY188" s="1"/>
      <c r="BE188" s="1"/>
      <c r="BW188" s="1"/>
    </row>
    <row r="189" spans="1:75" ht="15.6">
      <c r="A189">
        <v>6</v>
      </c>
      <c r="B189" t="s">
        <v>218</v>
      </c>
      <c r="C189" t="s">
        <v>219</v>
      </c>
      <c r="D189" s="3">
        <f t="shared" si="66"/>
        <v>78.378378378378372</v>
      </c>
      <c r="E189" s="3">
        <f t="shared" si="67"/>
        <v>70.588235294117652</v>
      </c>
      <c r="F189">
        <v>2018</v>
      </c>
      <c r="G189">
        <f t="shared" si="42"/>
        <v>7</v>
      </c>
      <c r="H189">
        <f t="shared" si="68"/>
        <v>0.38147058823529406</v>
      </c>
      <c r="I189">
        <f t="shared" si="69"/>
        <v>0.32518918918918926</v>
      </c>
      <c r="J189">
        <f t="shared" si="70"/>
        <v>40</v>
      </c>
      <c r="K189">
        <v>35</v>
      </c>
      <c r="L189">
        <v>42</v>
      </c>
      <c r="M189" s="12">
        <f t="shared" si="71"/>
        <v>2.6147837370242264E-2</v>
      </c>
      <c r="N189">
        <f t="shared" si="65"/>
        <v>2.5567478058190575E-2</v>
      </c>
      <c r="O189">
        <f t="shared" si="72"/>
        <v>0.16170292938052255</v>
      </c>
      <c r="P189" t="s">
        <v>246</v>
      </c>
      <c r="Q189" t="s">
        <v>472</v>
      </c>
      <c r="R189">
        <v>0.372</v>
      </c>
      <c r="S189">
        <f t="shared" si="73"/>
        <v>1.0161578947368421</v>
      </c>
      <c r="T189" t="s">
        <v>262</v>
      </c>
      <c r="U189">
        <v>12</v>
      </c>
      <c r="W189">
        <f t="shared" si="74"/>
        <v>30.897435897435898</v>
      </c>
      <c r="Y189">
        <v>2011</v>
      </c>
      <c r="Z189">
        <f>2025-AVERAGE($Y$163:$Y$202)</f>
        <v>16.049999999999955</v>
      </c>
      <c r="AA189" t="s">
        <v>431</v>
      </c>
      <c r="AB189" t="s">
        <v>431</v>
      </c>
      <c r="AC189">
        <v>0.27</v>
      </c>
      <c r="AD189" s="3">
        <v>0.31</v>
      </c>
      <c r="AE189">
        <v>0</v>
      </c>
      <c r="AF189" t="s">
        <v>186</v>
      </c>
      <c r="AG189">
        <v>1</v>
      </c>
      <c r="AH189">
        <v>1</v>
      </c>
      <c r="AI189">
        <f t="shared" si="75"/>
        <v>2.2999999999999998</v>
      </c>
      <c r="AJ189">
        <f t="shared" si="76"/>
        <v>1.075</v>
      </c>
      <c r="AK189" t="s">
        <v>1143</v>
      </c>
      <c r="AL189">
        <v>101</v>
      </c>
      <c r="AM189" t="s">
        <v>115</v>
      </c>
      <c r="AN189" t="s">
        <v>264</v>
      </c>
      <c r="AO189">
        <v>0.79300000000000004</v>
      </c>
      <c r="AR189" s="1"/>
      <c r="BW189" s="1"/>
    </row>
    <row r="190" spans="1:75" ht="15.6">
      <c r="A190">
        <v>6</v>
      </c>
      <c r="B190" t="s">
        <v>218</v>
      </c>
      <c r="C190" t="s">
        <v>219</v>
      </c>
      <c r="D190" s="3">
        <f t="shared" si="66"/>
        <v>78.378378378378372</v>
      </c>
      <c r="E190" s="3">
        <f t="shared" si="67"/>
        <v>70.588235294117652</v>
      </c>
      <c r="F190">
        <v>2018</v>
      </c>
      <c r="G190">
        <f t="shared" si="42"/>
        <v>7</v>
      </c>
      <c r="H190">
        <f t="shared" si="68"/>
        <v>0.38147058823529406</v>
      </c>
      <c r="I190">
        <f t="shared" si="69"/>
        <v>0.32518918918918926</v>
      </c>
      <c r="J190">
        <f t="shared" si="70"/>
        <v>40</v>
      </c>
      <c r="K190">
        <v>35</v>
      </c>
      <c r="L190">
        <v>42</v>
      </c>
      <c r="M190" s="12">
        <f t="shared" si="71"/>
        <v>2.6147837370242264E-2</v>
      </c>
      <c r="N190">
        <f t="shared" si="65"/>
        <v>2.5567478058190575E-2</v>
      </c>
      <c r="O190">
        <f t="shared" si="72"/>
        <v>0.16170292938052255</v>
      </c>
      <c r="P190" t="s">
        <v>247</v>
      </c>
      <c r="Q190" t="s">
        <v>470</v>
      </c>
      <c r="R190">
        <v>1.5389999999999999</v>
      </c>
      <c r="S190">
        <f t="shared" si="73"/>
        <v>1.0161578947368421</v>
      </c>
      <c r="T190" t="s">
        <v>262</v>
      </c>
      <c r="U190">
        <v>26</v>
      </c>
      <c r="W190">
        <f t="shared" si="74"/>
        <v>30.897435897435898</v>
      </c>
      <c r="Y190">
        <v>2011</v>
      </c>
      <c r="Z190">
        <f>2025-AVERAGE($Y$163:$Y$202)</f>
        <v>16.049999999999955</v>
      </c>
      <c r="AA190" t="s">
        <v>431</v>
      </c>
      <c r="AB190" t="s">
        <v>431</v>
      </c>
      <c r="AC190">
        <v>0.32</v>
      </c>
      <c r="AD190" s="3">
        <v>0.4</v>
      </c>
      <c r="AE190">
        <v>0</v>
      </c>
      <c r="AF190" t="s">
        <v>186</v>
      </c>
      <c r="AG190">
        <v>5</v>
      </c>
      <c r="AH190">
        <v>1</v>
      </c>
      <c r="AI190">
        <f t="shared" si="75"/>
        <v>2.2999999999999998</v>
      </c>
      <c r="AJ190">
        <f t="shared" si="76"/>
        <v>1.075</v>
      </c>
      <c r="AK190" t="s">
        <v>1143</v>
      </c>
      <c r="AL190">
        <v>101</v>
      </c>
      <c r="AM190" t="s">
        <v>115</v>
      </c>
      <c r="AN190" t="s">
        <v>264</v>
      </c>
      <c r="AO190">
        <v>0.79300000000000004</v>
      </c>
    </row>
    <row r="191" spans="1:75" ht="15.6">
      <c r="A191">
        <v>6</v>
      </c>
      <c r="B191" t="s">
        <v>218</v>
      </c>
      <c r="C191" t="s">
        <v>219</v>
      </c>
      <c r="D191" s="3">
        <f t="shared" si="66"/>
        <v>78.378378378378372</v>
      </c>
      <c r="E191" s="3">
        <f t="shared" si="67"/>
        <v>70.588235294117652</v>
      </c>
      <c r="F191">
        <v>2018</v>
      </c>
      <c r="G191">
        <f t="shared" si="42"/>
        <v>7</v>
      </c>
      <c r="H191">
        <f t="shared" si="68"/>
        <v>0.38147058823529406</v>
      </c>
      <c r="I191">
        <f t="shared" si="69"/>
        <v>0.32518918918918926</v>
      </c>
      <c r="J191">
        <f t="shared" si="70"/>
        <v>40</v>
      </c>
      <c r="K191">
        <v>35</v>
      </c>
      <c r="L191">
        <v>42</v>
      </c>
      <c r="M191" s="12">
        <f t="shared" si="71"/>
        <v>2.6147837370242264E-2</v>
      </c>
      <c r="N191">
        <f t="shared" si="65"/>
        <v>2.5567478058190575E-2</v>
      </c>
      <c r="O191">
        <f t="shared" si="72"/>
        <v>0.16170292938052255</v>
      </c>
      <c r="P191" t="s">
        <v>248</v>
      </c>
      <c r="Q191" t="s">
        <v>473</v>
      </c>
      <c r="R191">
        <v>1.6950000000000001</v>
      </c>
      <c r="S191">
        <f t="shared" si="73"/>
        <v>1.0161578947368421</v>
      </c>
      <c r="T191" t="s">
        <v>263</v>
      </c>
      <c r="U191">
        <v>30</v>
      </c>
      <c r="W191">
        <f t="shared" si="74"/>
        <v>30.897435897435898</v>
      </c>
      <c r="Y191">
        <v>2012</v>
      </c>
      <c r="Z191">
        <f>2025-AVERAGE($Y$163:$Y$202)</f>
        <v>16.049999999999955</v>
      </c>
      <c r="AA191" t="s">
        <v>432</v>
      </c>
      <c r="AB191" t="s">
        <v>453</v>
      </c>
      <c r="AC191">
        <v>7.0000000000000007E-2</v>
      </c>
      <c r="AD191" s="3">
        <v>0.21</v>
      </c>
      <c r="AE191">
        <v>0</v>
      </c>
      <c r="AF191" t="s">
        <v>186</v>
      </c>
      <c r="AG191">
        <v>3</v>
      </c>
      <c r="AH191">
        <v>1</v>
      </c>
      <c r="AI191">
        <f t="shared" si="75"/>
        <v>2.2999999999999998</v>
      </c>
      <c r="AJ191">
        <f t="shared" si="76"/>
        <v>1.075</v>
      </c>
      <c r="AK191" t="s">
        <v>1143</v>
      </c>
      <c r="AL191">
        <v>101</v>
      </c>
      <c r="AM191" t="s">
        <v>115</v>
      </c>
      <c r="AN191" t="s">
        <v>264</v>
      </c>
      <c r="AO191">
        <v>0.79300000000000004</v>
      </c>
    </row>
    <row r="192" spans="1:75" ht="15.6">
      <c r="A192">
        <v>6</v>
      </c>
      <c r="B192" t="s">
        <v>218</v>
      </c>
      <c r="C192" t="s">
        <v>219</v>
      </c>
      <c r="D192" s="3">
        <f t="shared" si="66"/>
        <v>78.378378378378372</v>
      </c>
      <c r="E192" s="3">
        <f t="shared" si="67"/>
        <v>70.588235294117652</v>
      </c>
      <c r="F192">
        <v>2018</v>
      </c>
      <c r="G192">
        <f t="shared" si="42"/>
        <v>7</v>
      </c>
      <c r="H192">
        <f t="shared" si="68"/>
        <v>0.38147058823529406</v>
      </c>
      <c r="I192">
        <f t="shared" si="69"/>
        <v>0.32518918918918926</v>
      </c>
      <c r="J192">
        <f t="shared" si="70"/>
        <v>40</v>
      </c>
      <c r="K192">
        <v>35</v>
      </c>
      <c r="L192">
        <v>42</v>
      </c>
      <c r="M192" s="12">
        <f t="shared" si="71"/>
        <v>2.6147837370242264E-2</v>
      </c>
      <c r="N192">
        <f t="shared" si="65"/>
        <v>2.5567478058190575E-2</v>
      </c>
      <c r="O192">
        <f t="shared" si="72"/>
        <v>0.16170292938052255</v>
      </c>
      <c r="P192" t="s">
        <v>249</v>
      </c>
      <c r="Q192" t="s">
        <v>465</v>
      </c>
      <c r="R192">
        <v>1.6539999999999999</v>
      </c>
      <c r="S192">
        <f t="shared" si="73"/>
        <v>1.0161578947368421</v>
      </c>
      <c r="T192" t="s">
        <v>262</v>
      </c>
      <c r="U192">
        <v>57</v>
      </c>
      <c r="W192">
        <f t="shared" si="74"/>
        <v>30.897435897435898</v>
      </c>
      <c r="Y192">
        <v>2012</v>
      </c>
      <c r="Z192">
        <f>2025-AVERAGE($Y$163:$Y$202)</f>
        <v>16.049999999999955</v>
      </c>
      <c r="AA192" t="s">
        <v>433</v>
      </c>
      <c r="AB192" t="s">
        <v>419</v>
      </c>
      <c r="AC192">
        <v>0.28000000000000003</v>
      </c>
      <c r="AD192" s="3">
        <v>0.32</v>
      </c>
      <c r="AE192">
        <v>0</v>
      </c>
      <c r="AF192" t="s">
        <v>186</v>
      </c>
      <c r="AG192">
        <v>2</v>
      </c>
      <c r="AH192">
        <v>1</v>
      </c>
      <c r="AI192">
        <f t="shared" si="75"/>
        <v>2.2999999999999998</v>
      </c>
      <c r="AJ192">
        <f t="shared" si="76"/>
        <v>1.075</v>
      </c>
      <c r="AK192" t="s">
        <v>1143</v>
      </c>
      <c r="AL192">
        <v>101</v>
      </c>
      <c r="AM192" t="s">
        <v>115</v>
      </c>
      <c r="AN192" t="s">
        <v>264</v>
      </c>
      <c r="AO192">
        <v>0.79300000000000004</v>
      </c>
    </row>
    <row r="193" spans="1:41" ht="15.6">
      <c r="A193">
        <v>6</v>
      </c>
      <c r="B193" t="s">
        <v>218</v>
      </c>
      <c r="C193" t="s">
        <v>219</v>
      </c>
      <c r="D193" s="3">
        <f t="shared" si="66"/>
        <v>78.378378378378372</v>
      </c>
      <c r="E193" s="3">
        <f t="shared" si="67"/>
        <v>70.588235294117652</v>
      </c>
      <c r="F193">
        <v>2018</v>
      </c>
      <c r="G193">
        <f t="shared" si="42"/>
        <v>7</v>
      </c>
      <c r="H193">
        <f t="shared" si="68"/>
        <v>0.38147058823529406</v>
      </c>
      <c r="I193">
        <f t="shared" si="69"/>
        <v>0.32518918918918926</v>
      </c>
      <c r="J193">
        <f t="shared" si="70"/>
        <v>40</v>
      </c>
      <c r="K193">
        <v>35</v>
      </c>
      <c r="L193">
        <v>42</v>
      </c>
      <c r="M193" s="12">
        <f t="shared" si="71"/>
        <v>2.6147837370242264E-2</v>
      </c>
      <c r="N193">
        <f t="shared" si="65"/>
        <v>2.5567478058190575E-2</v>
      </c>
      <c r="O193">
        <f t="shared" si="72"/>
        <v>0.16170292938052255</v>
      </c>
      <c r="P193" t="s">
        <v>250</v>
      </c>
      <c r="Q193" t="s">
        <v>474</v>
      </c>
      <c r="R193">
        <v>0.92400000000000004</v>
      </c>
      <c r="S193">
        <f t="shared" si="73"/>
        <v>1.0161578947368421</v>
      </c>
      <c r="T193" t="s">
        <v>262</v>
      </c>
      <c r="U193">
        <v>13</v>
      </c>
      <c r="W193">
        <f t="shared" si="74"/>
        <v>30.897435897435898</v>
      </c>
      <c r="Y193">
        <v>2012</v>
      </c>
      <c r="Z193">
        <f>2025-AVERAGE($Y$163:$Y$202)</f>
        <v>16.049999999999955</v>
      </c>
      <c r="AA193" t="s">
        <v>434</v>
      </c>
      <c r="AB193" t="s">
        <v>454</v>
      </c>
      <c r="AC193">
        <v>0.14000000000000001</v>
      </c>
      <c r="AD193" s="3">
        <v>0.19</v>
      </c>
      <c r="AE193">
        <v>0</v>
      </c>
      <c r="AF193" t="s">
        <v>186</v>
      </c>
      <c r="AG193">
        <v>2</v>
      </c>
      <c r="AH193">
        <v>1</v>
      </c>
      <c r="AI193">
        <f t="shared" si="75"/>
        <v>2.2999999999999998</v>
      </c>
      <c r="AJ193">
        <f t="shared" si="76"/>
        <v>1.075</v>
      </c>
      <c r="AK193" t="s">
        <v>1143</v>
      </c>
      <c r="AL193">
        <v>101</v>
      </c>
      <c r="AM193" t="s">
        <v>115</v>
      </c>
      <c r="AN193" t="s">
        <v>264</v>
      </c>
      <c r="AO193">
        <v>0.79300000000000004</v>
      </c>
    </row>
    <row r="194" spans="1:41" ht="15.6">
      <c r="A194">
        <v>6</v>
      </c>
      <c r="B194" t="s">
        <v>218</v>
      </c>
      <c r="C194" t="s">
        <v>219</v>
      </c>
      <c r="D194" s="3">
        <f t="shared" si="66"/>
        <v>78.378378378378372</v>
      </c>
      <c r="E194" s="3">
        <f t="shared" si="67"/>
        <v>70.588235294117652</v>
      </c>
      <c r="F194">
        <v>2018</v>
      </c>
      <c r="G194">
        <f t="shared" si="42"/>
        <v>7</v>
      </c>
      <c r="H194">
        <f t="shared" si="68"/>
        <v>0.38147058823529406</v>
      </c>
      <c r="I194">
        <f t="shared" si="69"/>
        <v>0.32518918918918926</v>
      </c>
      <c r="J194">
        <f t="shared" si="70"/>
        <v>40</v>
      </c>
      <c r="K194">
        <v>35</v>
      </c>
      <c r="L194">
        <v>42</v>
      </c>
      <c r="M194" s="12">
        <f t="shared" si="71"/>
        <v>2.6147837370242264E-2</v>
      </c>
      <c r="N194">
        <f t="shared" si="65"/>
        <v>2.5567478058190575E-2</v>
      </c>
      <c r="O194">
        <f t="shared" si="72"/>
        <v>0.16170292938052255</v>
      </c>
      <c r="P194" t="s">
        <v>251</v>
      </c>
      <c r="Q194" t="s">
        <v>460</v>
      </c>
      <c r="R194">
        <v>3.0129999999999999</v>
      </c>
      <c r="S194">
        <f t="shared" si="73"/>
        <v>1.0161578947368421</v>
      </c>
      <c r="T194" t="s">
        <v>262</v>
      </c>
      <c r="U194">
        <v>49</v>
      </c>
      <c r="W194">
        <f t="shared" si="74"/>
        <v>30.897435897435898</v>
      </c>
      <c r="Y194">
        <v>2013</v>
      </c>
      <c r="Z194">
        <f>2025-AVERAGE($Y$163:$Y$202)</f>
        <v>16.049999999999955</v>
      </c>
      <c r="AA194" t="s">
        <v>427</v>
      </c>
      <c r="AB194" t="s">
        <v>427</v>
      </c>
      <c r="AC194" t="s">
        <v>261</v>
      </c>
      <c r="AD194" s="3" t="s">
        <v>261</v>
      </c>
      <c r="AE194">
        <v>0</v>
      </c>
      <c r="AF194" t="s">
        <v>186</v>
      </c>
      <c r="AG194">
        <v>3</v>
      </c>
      <c r="AH194">
        <v>1</v>
      </c>
      <c r="AI194">
        <f t="shared" si="75"/>
        <v>2.2999999999999998</v>
      </c>
      <c r="AJ194">
        <f t="shared" si="76"/>
        <v>1.075</v>
      </c>
      <c r="AK194" t="s">
        <v>1143</v>
      </c>
      <c r="AL194">
        <v>101</v>
      </c>
      <c r="AM194" t="s">
        <v>115</v>
      </c>
      <c r="AN194" t="s">
        <v>264</v>
      </c>
      <c r="AO194">
        <v>0.79300000000000004</v>
      </c>
    </row>
    <row r="195" spans="1:41" ht="15.6">
      <c r="A195">
        <v>6</v>
      </c>
      <c r="B195" t="s">
        <v>218</v>
      </c>
      <c r="C195" t="s">
        <v>219</v>
      </c>
      <c r="D195" s="3">
        <f t="shared" si="66"/>
        <v>78.378378378378372</v>
      </c>
      <c r="E195" s="3">
        <f t="shared" si="67"/>
        <v>70.588235294117652</v>
      </c>
      <c r="F195">
        <v>2018</v>
      </c>
      <c r="G195">
        <f t="shared" ref="G195:G258" si="77">2025-F195</f>
        <v>7</v>
      </c>
      <c r="H195">
        <f t="shared" si="68"/>
        <v>0.38147058823529406</v>
      </c>
      <c r="I195">
        <f t="shared" si="69"/>
        <v>0.32518918918918926</v>
      </c>
      <c r="J195">
        <f t="shared" si="70"/>
        <v>40</v>
      </c>
      <c r="K195">
        <v>35</v>
      </c>
      <c r="L195">
        <v>42</v>
      </c>
      <c r="M195" s="12">
        <f t="shared" si="71"/>
        <v>2.6147837370242264E-2</v>
      </c>
      <c r="N195">
        <f t="shared" si="65"/>
        <v>2.5567478058190575E-2</v>
      </c>
      <c r="O195">
        <f t="shared" si="72"/>
        <v>0.16170292938052255</v>
      </c>
      <c r="P195" t="s">
        <v>252</v>
      </c>
      <c r="Q195" t="s">
        <v>475</v>
      </c>
      <c r="R195">
        <v>0.45300000000000001</v>
      </c>
      <c r="S195">
        <f t="shared" si="73"/>
        <v>1.0161578947368421</v>
      </c>
      <c r="T195" t="s">
        <v>262</v>
      </c>
      <c r="U195">
        <v>33</v>
      </c>
      <c r="W195">
        <f t="shared" si="74"/>
        <v>30.897435897435898</v>
      </c>
      <c r="Y195">
        <v>2013</v>
      </c>
      <c r="Z195">
        <f>2025-AVERAGE($Y$163:$Y$202)</f>
        <v>16.049999999999955</v>
      </c>
      <c r="AA195" t="s">
        <v>431</v>
      </c>
      <c r="AB195" t="s">
        <v>427</v>
      </c>
      <c r="AC195">
        <v>0.34</v>
      </c>
      <c r="AD195" s="3">
        <v>0.28000000000000003</v>
      </c>
      <c r="AE195">
        <v>0</v>
      </c>
      <c r="AF195" t="s">
        <v>186</v>
      </c>
      <c r="AG195">
        <v>2</v>
      </c>
      <c r="AH195">
        <v>1</v>
      </c>
      <c r="AI195">
        <f t="shared" si="75"/>
        <v>2.2999999999999998</v>
      </c>
      <c r="AJ195">
        <f t="shared" si="76"/>
        <v>1.075</v>
      </c>
      <c r="AK195" t="s">
        <v>1143</v>
      </c>
      <c r="AL195">
        <v>101</v>
      </c>
      <c r="AM195" t="s">
        <v>115</v>
      </c>
      <c r="AN195" t="s">
        <v>264</v>
      </c>
      <c r="AO195">
        <v>0.79300000000000004</v>
      </c>
    </row>
    <row r="196" spans="1:41" ht="15.6">
      <c r="A196">
        <v>6</v>
      </c>
      <c r="B196" t="s">
        <v>218</v>
      </c>
      <c r="C196" t="s">
        <v>219</v>
      </c>
      <c r="D196" s="3">
        <f t="shared" si="66"/>
        <v>78.378378378378372</v>
      </c>
      <c r="E196" s="3">
        <f t="shared" si="67"/>
        <v>70.588235294117652</v>
      </c>
      <c r="F196">
        <v>2018</v>
      </c>
      <c r="G196">
        <f t="shared" si="77"/>
        <v>7</v>
      </c>
      <c r="H196">
        <f t="shared" si="68"/>
        <v>0.38147058823529406</v>
      </c>
      <c r="I196">
        <f t="shared" si="69"/>
        <v>0.32518918918918926</v>
      </c>
      <c r="J196">
        <f t="shared" si="70"/>
        <v>40</v>
      </c>
      <c r="K196">
        <v>35</v>
      </c>
      <c r="L196">
        <v>42</v>
      </c>
      <c r="M196" s="12">
        <f t="shared" si="71"/>
        <v>2.6147837370242264E-2</v>
      </c>
      <c r="N196">
        <f t="shared" si="65"/>
        <v>2.5567478058190575E-2</v>
      </c>
      <c r="O196">
        <f t="shared" si="72"/>
        <v>0.16170292938052255</v>
      </c>
      <c r="P196" t="s">
        <v>253</v>
      </c>
      <c r="Q196" t="s">
        <v>264</v>
      </c>
      <c r="R196">
        <v>1.016</v>
      </c>
      <c r="S196">
        <f t="shared" si="73"/>
        <v>1.0161578947368421</v>
      </c>
      <c r="T196" t="s">
        <v>262</v>
      </c>
      <c r="U196">
        <v>15</v>
      </c>
      <c r="W196">
        <f t="shared" si="74"/>
        <v>30.897435897435898</v>
      </c>
      <c r="Y196">
        <v>2013</v>
      </c>
      <c r="Z196">
        <f>2025-AVERAGE($Y$163:$Y$202)</f>
        <v>16.049999999999955</v>
      </c>
      <c r="AA196" t="s">
        <v>435</v>
      </c>
      <c r="AB196" t="s">
        <v>455</v>
      </c>
      <c r="AC196" t="s">
        <v>261</v>
      </c>
      <c r="AD196" s="3" t="s">
        <v>261</v>
      </c>
      <c r="AE196">
        <v>0</v>
      </c>
      <c r="AF196" t="s">
        <v>186</v>
      </c>
      <c r="AG196">
        <v>2</v>
      </c>
      <c r="AH196">
        <v>1</v>
      </c>
      <c r="AI196">
        <f t="shared" si="75"/>
        <v>2.2999999999999998</v>
      </c>
      <c r="AJ196">
        <f t="shared" si="76"/>
        <v>1.075</v>
      </c>
      <c r="AK196" t="s">
        <v>1143</v>
      </c>
      <c r="AL196">
        <v>101</v>
      </c>
      <c r="AM196" t="s">
        <v>115</v>
      </c>
      <c r="AN196" t="s">
        <v>264</v>
      </c>
      <c r="AO196">
        <v>0.79300000000000004</v>
      </c>
    </row>
    <row r="197" spans="1:41" ht="15.6">
      <c r="A197">
        <v>6</v>
      </c>
      <c r="B197" t="s">
        <v>218</v>
      </c>
      <c r="C197" t="s">
        <v>219</v>
      </c>
      <c r="D197" s="3">
        <f t="shared" si="66"/>
        <v>78.378378378378372</v>
      </c>
      <c r="E197" s="3">
        <f t="shared" si="67"/>
        <v>70.588235294117652</v>
      </c>
      <c r="F197">
        <v>2018</v>
      </c>
      <c r="G197">
        <f t="shared" si="77"/>
        <v>7</v>
      </c>
      <c r="H197">
        <f t="shared" si="68"/>
        <v>0.38147058823529406</v>
      </c>
      <c r="I197">
        <f t="shared" si="69"/>
        <v>0.32518918918918926</v>
      </c>
      <c r="J197">
        <f t="shared" si="70"/>
        <v>40</v>
      </c>
      <c r="K197">
        <v>35</v>
      </c>
      <c r="L197">
        <v>42</v>
      </c>
      <c r="M197" s="12">
        <f t="shared" si="71"/>
        <v>2.6147837370242264E-2</v>
      </c>
      <c r="N197">
        <f t="shared" si="65"/>
        <v>2.5567478058190575E-2</v>
      </c>
      <c r="O197">
        <f t="shared" si="72"/>
        <v>0.16170292938052255</v>
      </c>
      <c r="P197" t="s">
        <v>254</v>
      </c>
      <c r="Q197" t="s">
        <v>462</v>
      </c>
      <c r="R197">
        <v>1.621</v>
      </c>
      <c r="S197">
        <f t="shared" si="73"/>
        <v>1.0161578947368421</v>
      </c>
      <c r="T197" t="s">
        <v>262</v>
      </c>
      <c r="U197">
        <v>60</v>
      </c>
      <c r="W197">
        <f t="shared" si="74"/>
        <v>30.897435897435898</v>
      </c>
      <c r="Y197">
        <v>2014</v>
      </c>
      <c r="Z197">
        <f>2025-AVERAGE($Y$163:$Y$202)</f>
        <v>16.049999999999955</v>
      </c>
      <c r="AA197" t="s">
        <v>436</v>
      </c>
      <c r="AB197" t="s">
        <v>456</v>
      </c>
      <c r="AC197">
        <v>0.26</v>
      </c>
      <c r="AD197" s="3" t="s">
        <v>261</v>
      </c>
      <c r="AE197">
        <v>0</v>
      </c>
      <c r="AF197" t="s">
        <v>186</v>
      </c>
      <c r="AG197">
        <v>2</v>
      </c>
      <c r="AH197">
        <v>1</v>
      </c>
      <c r="AI197">
        <f t="shared" si="75"/>
        <v>2.2999999999999998</v>
      </c>
      <c r="AJ197">
        <f t="shared" si="76"/>
        <v>1.075</v>
      </c>
      <c r="AK197" t="s">
        <v>1143</v>
      </c>
      <c r="AL197">
        <v>101</v>
      </c>
      <c r="AM197" t="s">
        <v>115</v>
      </c>
      <c r="AN197" t="s">
        <v>264</v>
      </c>
      <c r="AO197">
        <v>0.79300000000000004</v>
      </c>
    </row>
    <row r="198" spans="1:41" ht="15.6">
      <c r="A198">
        <v>6</v>
      </c>
      <c r="B198" t="s">
        <v>218</v>
      </c>
      <c r="C198" t="s">
        <v>219</v>
      </c>
      <c r="D198" s="3">
        <f t="shared" si="66"/>
        <v>78.378378378378372</v>
      </c>
      <c r="E198" s="3">
        <f t="shared" si="67"/>
        <v>70.588235294117652</v>
      </c>
      <c r="F198">
        <v>2018</v>
      </c>
      <c r="G198">
        <f t="shared" si="77"/>
        <v>7</v>
      </c>
      <c r="H198">
        <f t="shared" si="68"/>
        <v>0.38147058823529406</v>
      </c>
      <c r="I198">
        <f t="shared" si="69"/>
        <v>0.32518918918918926</v>
      </c>
      <c r="J198">
        <f t="shared" si="70"/>
        <v>40</v>
      </c>
      <c r="K198">
        <v>35</v>
      </c>
      <c r="L198">
        <v>42</v>
      </c>
      <c r="M198" s="12">
        <f t="shared" si="71"/>
        <v>2.6147837370242264E-2</v>
      </c>
      <c r="N198">
        <f t="shared" si="65"/>
        <v>2.5567478058190575E-2</v>
      </c>
      <c r="O198">
        <f t="shared" si="72"/>
        <v>0.16170292938052255</v>
      </c>
      <c r="P198" t="s">
        <v>255</v>
      </c>
      <c r="Q198" t="s">
        <v>264</v>
      </c>
      <c r="R198">
        <v>0.872</v>
      </c>
      <c r="S198">
        <f t="shared" si="73"/>
        <v>1.0161578947368421</v>
      </c>
      <c r="T198" t="s">
        <v>263</v>
      </c>
      <c r="U198">
        <v>29</v>
      </c>
      <c r="W198">
        <f t="shared" si="74"/>
        <v>30.897435897435898</v>
      </c>
      <c r="Y198">
        <v>2014</v>
      </c>
      <c r="Z198">
        <f>2025-AVERAGE($Y$163:$Y$202)</f>
        <v>16.049999999999955</v>
      </c>
      <c r="AA198" t="s">
        <v>437</v>
      </c>
      <c r="AB198" t="s">
        <v>457</v>
      </c>
      <c r="AC198">
        <v>0.09</v>
      </c>
      <c r="AD198" s="3">
        <v>0.2</v>
      </c>
      <c r="AE198">
        <v>0</v>
      </c>
      <c r="AF198" t="s">
        <v>186</v>
      </c>
      <c r="AG198">
        <v>2</v>
      </c>
      <c r="AH198">
        <v>1</v>
      </c>
      <c r="AI198">
        <f t="shared" si="75"/>
        <v>2.2999999999999998</v>
      </c>
      <c r="AJ198">
        <f t="shared" si="76"/>
        <v>1.075</v>
      </c>
      <c r="AK198" t="s">
        <v>1143</v>
      </c>
      <c r="AL198">
        <v>101</v>
      </c>
      <c r="AM198" t="s">
        <v>115</v>
      </c>
      <c r="AN198" t="s">
        <v>264</v>
      </c>
      <c r="AO198">
        <v>0.79300000000000004</v>
      </c>
    </row>
    <row r="199" spans="1:41" ht="15.6">
      <c r="A199">
        <v>6</v>
      </c>
      <c r="B199" t="s">
        <v>218</v>
      </c>
      <c r="C199" t="s">
        <v>219</v>
      </c>
      <c r="D199" s="3">
        <f t="shared" si="66"/>
        <v>78.378378378378372</v>
      </c>
      <c r="E199" s="3">
        <f t="shared" si="67"/>
        <v>70.588235294117652</v>
      </c>
      <c r="F199">
        <v>2018</v>
      </c>
      <c r="G199">
        <f t="shared" si="77"/>
        <v>7</v>
      </c>
      <c r="H199">
        <f t="shared" si="68"/>
        <v>0.38147058823529406</v>
      </c>
      <c r="I199">
        <f t="shared" si="69"/>
        <v>0.32518918918918926</v>
      </c>
      <c r="J199">
        <f t="shared" si="70"/>
        <v>40</v>
      </c>
      <c r="K199">
        <v>35</v>
      </c>
      <c r="L199">
        <v>42</v>
      </c>
      <c r="M199" s="12">
        <f t="shared" si="71"/>
        <v>2.6147837370242264E-2</v>
      </c>
      <c r="N199">
        <f t="shared" si="65"/>
        <v>2.5567478058190575E-2</v>
      </c>
      <c r="O199">
        <f t="shared" si="72"/>
        <v>0.16170292938052255</v>
      </c>
      <c r="P199" t="s">
        <v>256</v>
      </c>
      <c r="Q199" t="s">
        <v>476</v>
      </c>
      <c r="R199">
        <v>0.31900000000000001</v>
      </c>
      <c r="S199">
        <f t="shared" si="73"/>
        <v>1.0161578947368421</v>
      </c>
      <c r="T199" t="s">
        <v>262</v>
      </c>
      <c r="U199">
        <v>44</v>
      </c>
      <c r="W199">
        <f t="shared" si="74"/>
        <v>30.897435897435898</v>
      </c>
      <c r="Y199">
        <v>2014</v>
      </c>
      <c r="Z199">
        <f>2025-AVERAGE($Y$163:$Y$202)</f>
        <v>16.049999999999955</v>
      </c>
      <c r="AA199" t="s">
        <v>438</v>
      </c>
      <c r="AB199" t="s">
        <v>427</v>
      </c>
      <c r="AC199">
        <v>0.55000000000000004</v>
      </c>
      <c r="AD199" s="3">
        <v>0.54</v>
      </c>
      <c r="AE199">
        <v>0</v>
      </c>
      <c r="AF199" t="s">
        <v>186</v>
      </c>
      <c r="AG199">
        <v>3</v>
      </c>
      <c r="AH199">
        <v>1</v>
      </c>
      <c r="AI199">
        <f t="shared" si="75"/>
        <v>2.2999999999999998</v>
      </c>
      <c r="AJ199">
        <f t="shared" si="76"/>
        <v>1.075</v>
      </c>
      <c r="AK199" t="s">
        <v>1143</v>
      </c>
      <c r="AL199">
        <v>101</v>
      </c>
      <c r="AM199" t="s">
        <v>115</v>
      </c>
      <c r="AN199" t="s">
        <v>264</v>
      </c>
      <c r="AO199">
        <v>0.79300000000000004</v>
      </c>
    </row>
    <row r="200" spans="1:41" ht="15.6">
      <c r="A200">
        <v>6</v>
      </c>
      <c r="B200" t="s">
        <v>218</v>
      </c>
      <c r="C200" t="s">
        <v>219</v>
      </c>
      <c r="D200" s="3">
        <f t="shared" si="66"/>
        <v>78.378378378378372</v>
      </c>
      <c r="E200" s="3">
        <f t="shared" si="67"/>
        <v>70.588235294117652</v>
      </c>
      <c r="F200">
        <v>2018</v>
      </c>
      <c r="G200">
        <f t="shared" si="77"/>
        <v>7</v>
      </c>
      <c r="H200">
        <f t="shared" si="68"/>
        <v>0.38147058823529406</v>
      </c>
      <c r="I200">
        <f t="shared" si="69"/>
        <v>0.32518918918918926</v>
      </c>
      <c r="J200">
        <f t="shared" si="70"/>
        <v>40</v>
      </c>
      <c r="K200">
        <v>35</v>
      </c>
      <c r="L200">
        <v>42</v>
      </c>
      <c r="M200" s="12">
        <f t="shared" si="71"/>
        <v>2.6147837370242264E-2</v>
      </c>
      <c r="N200">
        <f t="shared" si="65"/>
        <v>2.5567478058190575E-2</v>
      </c>
      <c r="O200">
        <f t="shared" si="72"/>
        <v>0.16170292938052255</v>
      </c>
      <c r="P200" t="s">
        <v>257</v>
      </c>
      <c r="Q200" t="s">
        <v>459</v>
      </c>
      <c r="R200">
        <v>0.88700000000000001</v>
      </c>
      <c r="S200">
        <f t="shared" si="73"/>
        <v>1.0161578947368421</v>
      </c>
      <c r="T200" t="s">
        <v>262</v>
      </c>
      <c r="U200">
        <v>39</v>
      </c>
      <c r="W200">
        <f t="shared" si="74"/>
        <v>30.897435897435898</v>
      </c>
      <c r="Y200">
        <v>2015</v>
      </c>
      <c r="Z200">
        <f>2025-AVERAGE($Y$163:$Y$202)</f>
        <v>16.049999999999955</v>
      </c>
      <c r="AA200" t="s">
        <v>427</v>
      </c>
      <c r="AB200" t="s">
        <v>427</v>
      </c>
      <c r="AC200">
        <v>0.26</v>
      </c>
      <c r="AD200" s="3">
        <v>0.3</v>
      </c>
      <c r="AE200">
        <v>0</v>
      </c>
      <c r="AF200" t="s">
        <v>186</v>
      </c>
      <c r="AG200">
        <v>5</v>
      </c>
      <c r="AH200">
        <v>1</v>
      </c>
      <c r="AI200">
        <f t="shared" si="75"/>
        <v>2.2999999999999998</v>
      </c>
      <c r="AJ200">
        <f t="shared" si="76"/>
        <v>1.075</v>
      </c>
      <c r="AK200" t="s">
        <v>1143</v>
      </c>
      <c r="AL200">
        <v>101</v>
      </c>
      <c r="AM200" t="s">
        <v>115</v>
      </c>
      <c r="AN200" t="s">
        <v>264</v>
      </c>
      <c r="AO200">
        <v>0.79300000000000004</v>
      </c>
    </row>
    <row r="201" spans="1:41" ht="15.6">
      <c r="A201">
        <v>6</v>
      </c>
      <c r="B201" t="s">
        <v>218</v>
      </c>
      <c r="C201" t="s">
        <v>219</v>
      </c>
      <c r="D201" s="3">
        <f t="shared" si="66"/>
        <v>78.378378378378372</v>
      </c>
      <c r="E201" s="3">
        <f t="shared" si="67"/>
        <v>70.588235294117652</v>
      </c>
      <c r="F201">
        <v>2018</v>
      </c>
      <c r="G201">
        <f t="shared" si="77"/>
        <v>7</v>
      </c>
      <c r="H201">
        <f t="shared" si="68"/>
        <v>0.38147058823529406</v>
      </c>
      <c r="I201">
        <f t="shared" si="69"/>
        <v>0.32518918918918926</v>
      </c>
      <c r="J201">
        <f t="shared" si="70"/>
        <v>40</v>
      </c>
      <c r="K201">
        <v>35</v>
      </c>
      <c r="L201">
        <v>42</v>
      </c>
      <c r="M201" s="12">
        <f t="shared" si="71"/>
        <v>2.6147837370242264E-2</v>
      </c>
      <c r="N201">
        <f t="shared" si="65"/>
        <v>2.5567478058190575E-2</v>
      </c>
      <c r="O201">
        <f>_xlfn.STDEV.P($AD$163:$AD$202)</f>
        <v>0.16170292938052255</v>
      </c>
      <c r="P201" t="s">
        <v>258</v>
      </c>
      <c r="Q201" t="s">
        <v>465</v>
      </c>
      <c r="R201">
        <v>2.8860000000000001</v>
      </c>
      <c r="S201">
        <f t="shared" si="73"/>
        <v>1.0161578947368421</v>
      </c>
      <c r="T201" t="s">
        <v>262</v>
      </c>
      <c r="U201">
        <v>39</v>
      </c>
      <c r="W201">
        <f t="shared" si="74"/>
        <v>30.897435897435898</v>
      </c>
      <c r="Y201">
        <v>2015</v>
      </c>
      <c r="Z201">
        <f>2025-AVERAGE($Y$163:$Y$202)</f>
        <v>16.049999999999955</v>
      </c>
      <c r="AA201" t="s">
        <v>427</v>
      </c>
      <c r="AB201" t="s">
        <v>419</v>
      </c>
      <c r="AC201">
        <v>0.41</v>
      </c>
      <c r="AD201" s="3">
        <v>0.52</v>
      </c>
      <c r="AE201">
        <v>0</v>
      </c>
      <c r="AF201" t="s">
        <v>186</v>
      </c>
      <c r="AG201">
        <v>2</v>
      </c>
      <c r="AH201">
        <v>1</v>
      </c>
      <c r="AI201">
        <f t="shared" si="75"/>
        <v>2.2999999999999998</v>
      </c>
      <c r="AJ201">
        <f t="shared" si="76"/>
        <v>1.075</v>
      </c>
      <c r="AK201" t="s">
        <v>1143</v>
      </c>
      <c r="AL201">
        <v>101</v>
      </c>
      <c r="AM201" t="s">
        <v>115</v>
      </c>
      <c r="AN201" t="s">
        <v>264</v>
      </c>
      <c r="AO201">
        <v>0.79300000000000004</v>
      </c>
    </row>
    <row r="202" spans="1:41" ht="15.6">
      <c r="A202">
        <v>6</v>
      </c>
      <c r="B202" t="s">
        <v>218</v>
      </c>
      <c r="C202" t="s">
        <v>219</v>
      </c>
      <c r="D202" s="3">
        <f t="shared" si="66"/>
        <v>78.378378378378372</v>
      </c>
      <c r="E202" s="3">
        <f t="shared" si="67"/>
        <v>70.588235294117652</v>
      </c>
      <c r="F202">
        <v>2018</v>
      </c>
      <c r="G202">
        <f t="shared" si="77"/>
        <v>7</v>
      </c>
      <c r="H202">
        <f t="shared" si="68"/>
        <v>0.38147058823529406</v>
      </c>
      <c r="I202">
        <f t="shared" si="69"/>
        <v>0.32518918918918926</v>
      </c>
      <c r="J202">
        <f t="shared" si="70"/>
        <v>40</v>
      </c>
      <c r="K202">
        <v>35</v>
      </c>
      <c r="L202">
        <v>42</v>
      </c>
      <c r="M202" s="12">
        <f t="shared" si="71"/>
        <v>2.6147837370242264E-2</v>
      </c>
      <c r="N202">
        <f t="shared" si="65"/>
        <v>2.5567478058190575E-2</v>
      </c>
      <c r="O202">
        <f t="shared" si="72"/>
        <v>0.16170292938052255</v>
      </c>
      <c r="P202" t="s">
        <v>259</v>
      </c>
      <c r="Q202" t="s">
        <v>460</v>
      </c>
      <c r="R202">
        <v>2.8420000000000001</v>
      </c>
      <c r="S202">
        <f t="shared" si="73"/>
        <v>1.0161578947368421</v>
      </c>
      <c r="T202" t="s">
        <v>262</v>
      </c>
      <c r="U202">
        <v>46</v>
      </c>
      <c r="W202">
        <f>AVERAGE($U$163:$U$202)</f>
        <v>30.897435897435898</v>
      </c>
      <c r="Y202">
        <v>2015</v>
      </c>
      <c r="Z202">
        <f>2025-AVERAGE($Y$163:$Y$202)</f>
        <v>16.049999999999955</v>
      </c>
      <c r="AA202" t="s">
        <v>439</v>
      </c>
      <c r="AB202" t="s">
        <v>427</v>
      </c>
      <c r="AC202">
        <v>0.28000000000000003</v>
      </c>
      <c r="AD202" s="3">
        <v>0.27</v>
      </c>
      <c r="AE202">
        <v>0</v>
      </c>
      <c r="AF202" t="s">
        <v>186</v>
      </c>
      <c r="AG202">
        <v>5</v>
      </c>
      <c r="AH202">
        <v>1</v>
      </c>
      <c r="AI202">
        <f t="shared" si="75"/>
        <v>2.2999999999999998</v>
      </c>
      <c r="AJ202">
        <f t="shared" si="76"/>
        <v>1.075</v>
      </c>
      <c r="AK202" t="s">
        <v>1143</v>
      </c>
      <c r="AL202">
        <v>101</v>
      </c>
      <c r="AM202" t="s">
        <v>115</v>
      </c>
      <c r="AN202" t="s">
        <v>264</v>
      </c>
      <c r="AO202">
        <v>0.79300000000000004</v>
      </c>
    </row>
    <row r="203" spans="1:41" ht="15.6">
      <c r="A203">
        <v>7</v>
      </c>
      <c r="B203" t="s">
        <v>265</v>
      </c>
      <c r="C203" t="s">
        <v>477</v>
      </c>
      <c r="D203" s="3">
        <v>43</v>
      </c>
      <c r="E203" s="3">
        <v>25</v>
      </c>
      <c r="F203">
        <v>2021</v>
      </c>
      <c r="G203">
        <f t="shared" si="77"/>
        <v>4</v>
      </c>
      <c r="H203">
        <v>0.43</v>
      </c>
      <c r="I203">
        <v>2.96</v>
      </c>
      <c r="J203">
        <f>COUNTA($C$203:$C$255)</f>
        <v>53</v>
      </c>
      <c r="K203">
        <v>6</v>
      </c>
      <c r="L203">
        <v>5</v>
      </c>
      <c r="M203" s="12">
        <f>_xlfn.VAR.P($AD$202:$AD$255)</f>
        <v>4.1269706232638903</v>
      </c>
      <c r="N203">
        <f t="shared" ref="N203:N234" si="78">$O$203/SQRT($J$203)</f>
        <v>0.11538287371689877</v>
      </c>
      <c r="O203">
        <v>0.84</v>
      </c>
      <c r="P203" t="s">
        <v>266</v>
      </c>
      <c r="Q203" t="s">
        <v>412</v>
      </c>
      <c r="R203">
        <f>IF(Q203="Nature", IF(Y203=2010, 16.465, IF(Y203=2011, 17.598, IF(Y203=2012, 17.546, ""))), IF(Q203="Cell", IF(Y203=2010, 25.629, IF(Y203=2011, 25.74, IF(Y203=2012, 25.117, ""))), ""))</f>
        <v>16.465</v>
      </c>
      <c r="S203">
        <f>AVERAGE($R$203:$R$255)</f>
        <v>17.416283018867937</v>
      </c>
      <c r="U203">
        <v>52</v>
      </c>
      <c r="W203">
        <f>AVERAGE($U$203:$U$255)</f>
        <v>36.358490566037737</v>
      </c>
      <c r="Y203">
        <v>2010</v>
      </c>
      <c r="Z203">
        <f>2025-AVERAGE($Y$203:$Y$255)</f>
        <v>13.962264150943383</v>
      </c>
      <c r="AA203">
        <v>9.0900000000000009E-3</v>
      </c>
      <c r="AB203">
        <v>0.20562951561111109</v>
      </c>
      <c r="AC203">
        <v>1.43</v>
      </c>
      <c r="AD203" s="3">
        <v>1.43</v>
      </c>
      <c r="AE203">
        <v>1</v>
      </c>
      <c r="AF203" t="s">
        <v>138</v>
      </c>
      <c r="AG203">
        <v>6</v>
      </c>
      <c r="AH203">
        <v>9</v>
      </c>
      <c r="AI203">
        <f>AVERAGE($AG$203:$AG$255)</f>
        <v>17.415094339622641</v>
      </c>
      <c r="AJ203">
        <f>AVERAGE($AH$203:$AH$255)</f>
        <v>8.3018867924528301</v>
      </c>
      <c r="AK203" t="s">
        <v>319</v>
      </c>
      <c r="AL203">
        <v>246</v>
      </c>
      <c r="AM203" t="s">
        <v>140</v>
      </c>
      <c r="AN203" t="s">
        <v>320</v>
      </c>
      <c r="AO203">
        <v>4.75</v>
      </c>
    </row>
    <row r="204" spans="1:41" ht="15.6">
      <c r="A204">
        <v>7</v>
      </c>
      <c r="B204" t="s">
        <v>265</v>
      </c>
      <c r="C204" t="s">
        <v>477</v>
      </c>
      <c r="D204" s="3">
        <v>43</v>
      </c>
      <c r="E204" s="3">
        <v>25</v>
      </c>
      <c r="F204">
        <v>2021</v>
      </c>
      <c r="G204">
        <f t="shared" si="77"/>
        <v>4</v>
      </c>
      <c r="H204">
        <v>0.43</v>
      </c>
      <c r="I204">
        <v>2.96</v>
      </c>
      <c r="J204">
        <f t="shared" ref="J204:J255" si="79">COUNTA($C$203:$C$255)</f>
        <v>53</v>
      </c>
      <c r="K204">
        <v>6</v>
      </c>
      <c r="L204">
        <v>5</v>
      </c>
      <c r="M204" s="12">
        <f t="shared" ref="M204:M255" si="80">_xlfn.VAR.P($AD$202:$AD$255)</f>
        <v>4.1269706232638903</v>
      </c>
      <c r="N204">
        <f t="shared" si="78"/>
        <v>0.11538287371689877</v>
      </c>
      <c r="O204">
        <v>0.84</v>
      </c>
      <c r="P204" t="s">
        <v>267</v>
      </c>
      <c r="Q204" t="s">
        <v>478</v>
      </c>
      <c r="R204">
        <f>IF(Q204="Nature", IF(Y204=2010, 16.465, IF(Y204=2011, 17.598, IF(Y204=2012, 17.546, ""))), IF(Q204="Cell", IF(Y204=2010, 25.629, IF(Y204=2011, 25.74, IF(Y204=2012, 25.117, ""))), ""))</f>
        <v>25.629000000000001</v>
      </c>
      <c r="S204">
        <f t="shared" ref="S204:S254" si="81">AVERAGE($R$203:$R$255)</f>
        <v>17.416283018867937</v>
      </c>
      <c r="U204">
        <v>44</v>
      </c>
      <c r="W204">
        <f t="shared" ref="W204:W255" si="82">AVERAGE($U$203:$U$255)</f>
        <v>36.358490566037737</v>
      </c>
      <c r="Y204">
        <v>2010</v>
      </c>
      <c r="Z204">
        <f>2025-AVERAGE($Y$203:$Y$255)</f>
        <v>13.962264150943383</v>
      </c>
      <c r="AE204">
        <v>1</v>
      </c>
      <c r="AF204" t="s">
        <v>138</v>
      </c>
      <c r="AG204">
        <v>16</v>
      </c>
      <c r="AH204">
        <v>12</v>
      </c>
      <c r="AI204">
        <f t="shared" ref="AI204:AI255" si="83">AVERAGE($AG$203:$AG$255)</f>
        <v>17.415094339622641</v>
      </c>
      <c r="AJ204">
        <f t="shared" ref="AJ204:AJ255" si="84">AVERAGE($AH$203:$AH$255)</f>
        <v>8.3018867924528301</v>
      </c>
      <c r="AK204" t="s">
        <v>319</v>
      </c>
      <c r="AL204">
        <v>246</v>
      </c>
      <c r="AM204" t="s">
        <v>140</v>
      </c>
      <c r="AN204" t="s">
        <v>320</v>
      </c>
      <c r="AO204">
        <v>4.75</v>
      </c>
    </row>
    <row r="205" spans="1:41" ht="15.6">
      <c r="A205">
        <v>7</v>
      </c>
      <c r="B205" t="s">
        <v>265</v>
      </c>
      <c r="C205" t="s">
        <v>477</v>
      </c>
      <c r="D205" s="3">
        <v>43</v>
      </c>
      <c r="E205" s="3">
        <v>25</v>
      </c>
      <c r="F205">
        <v>2021</v>
      </c>
      <c r="G205">
        <f t="shared" si="77"/>
        <v>4</v>
      </c>
      <c r="H205">
        <v>0.43</v>
      </c>
      <c r="I205">
        <v>2.96</v>
      </c>
      <c r="J205">
        <f t="shared" si="79"/>
        <v>53</v>
      </c>
      <c r="K205">
        <v>6</v>
      </c>
      <c r="L205">
        <v>5</v>
      </c>
      <c r="M205" s="12">
        <f t="shared" si="80"/>
        <v>4.1269706232638903</v>
      </c>
      <c r="N205">
        <f t="shared" si="78"/>
        <v>0.11538287371689877</v>
      </c>
      <c r="O205">
        <v>0.84</v>
      </c>
      <c r="P205" t="s">
        <v>268</v>
      </c>
      <c r="Q205" t="s">
        <v>412</v>
      </c>
      <c r="R205">
        <f>IF(Q205="Nature", IF(Y205=2010, 16.465, IF(Y205=2011, 17.598, IF(Y205=2012, 17.546, ""))), IF(Q205="Cell", IF(Y205=2010, 25.629, IF(Y205=2011, 25.74, IF(Y205=2012, 25.117, ""))), ""))</f>
        <v>16.465</v>
      </c>
      <c r="S205">
        <f t="shared" si="81"/>
        <v>17.416283018867937</v>
      </c>
      <c r="U205">
        <v>24</v>
      </c>
      <c r="W205">
        <f t="shared" si="82"/>
        <v>36.358490566037737</v>
      </c>
      <c r="Y205">
        <v>2010</v>
      </c>
      <c r="Z205">
        <f>2025-AVERAGE($Y$203:$Y$255)</f>
        <v>13.962264150943383</v>
      </c>
      <c r="AE205">
        <v>1</v>
      </c>
      <c r="AF205" t="s">
        <v>138</v>
      </c>
      <c r="AG205">
        <v>18</v>
      </c>
      <c r="AH205">
        <v>6</v>
      </c>
      <c r="AI205">
        <f t="shared" si="83"/>
        <v>17.415094339622641</v>
      </c>
      <c r="AJ205">
        <f t="shared" si="84"/>
        <v>8.3018867924528301</v>
      </c>
      <c r="AK205" t="s">
        <v>319</v>
      </c>
      <c r="AL205">
        <v>246</v>
      </c>
      <c r="AM205" t="s">
        <v>140</v>
      </c>
      <c r="AN205" t="s">
        <v>320</v>
      </c>
      <c r="AO205">
        <v>4.75</v>
      </c>
    </row>
    <row r="206" spans="1:41" ht="15.6">
      <c r="A206">
        <v>7</v>
      </c>
      <c r="B206" t="s">
        <v>265</v>
      </c>
      <c r="C206" t="s">
        <v>477</v>
      </c>
      <c r="D206" s="3">
        <v>43</v>
      </c>
      <c r="E206" s="3">
        <v>25</v>
      </c>
      <c r="F206">
        <v>2021</v>
      </c>
      <c r="G206">
        <f t="shared" si="77"/>
        <v>4</v>
      </c>
      <c r="H206">
        <v>0.43</v>
      </c>
      <c r="I206">
        <v>2.96</v>
      </c>
      <c r="J206">
        <f t="shared" si="79"/>
        <v>53</v>
      </c>
      <c r="K206">
        <v>6</v>
      </c>
      <c r="L206">
        <v>5</v>
      </c>
      <c r="M206" s="12">
        <f t="shared" si="80"/>
        <v>4.1269706232638903</v>
      </c>
      <c r="N206">
        <f t="shared" si="78"/>
        <v>0.11538287371689877</v>
      </c>
      <c r="O206">
        <v>0.84</v>
      </c>
      <c r="P206" t="s">
        <v>269</v>
      </c>
      <c r="Q206" t="s">
        <v>479</v>
      </c>
      <c r="R206">
        <v>16.468</v>
      </c>
      <c r="S206">
        <f t="shared" si="81"/>
        <v>17.416283018867937</v>
      </c>
      <c r="U206">
        <v>29</v>
      </c>
      <c r="W206">
        <f t="shared" si="82"/>
        <v>36.358490566037737</v>
      </c>
      <c r="Y206">
        <v>2010</v>
      </c>
      <c r="Z206">
        <f>2025-AVERAGE($Y$203:$Y$255)</f>
        <v>13.962264150943383</v>
      </c>
      <c r="AE206">
        <v>1</v>
      </c>
      <c r="AF206" t="s">
        <v>138</v>
      </c>
      <c r="AG206">
        <v>26</v>
      </c>
      <c r="AH206">
        <v>6</v>
      </c>
      <c r="AI206">
        <f t="shared" si="83"/>
        <v>17.415094339622641</v>
      </c>
      <c r="AJ206">
        <f t="shared" si="84"/>
        <v>8.3018867924528301</v>
      </c>
      <c r="AK206" t="s">
        <v>319</v>
      </c>
      <c r="AL206">
        <v>246</v>
      </c>
      <c r="AM206" t="s">
        <v>140</v>
      </c>
      <c r="AN206" t="s">
        <v>320</v>
      </c>
      <c r="AO206">
        <v>4.75</v>
      </c>
    </row>
    <row r="207" spans="1:41" ht="15.6">
      <c r="A207">
        <v>7</v>
      </c>
      <c r="B207" t="s">
        <v>265</v>
      </c>
      <c r="C207" t="s">
        <v>477</v>
      </c>
      <c r="D207" s="3">
        <v>43</v>
      </c>
      <c r="E207" s="3">
        <v>25</v>
      </c>
      <c r="F207">
        <v>2021</v>
      </c>
      <c r="G207">
        <f t="shared" si="77"/>
        <v>4</v>
      </c>
      <c r="H207">
        <v>0.43</v>
      </c>
      <c r="I207">
        <v>2.96</v>
      </c>
      <c r="J207">
        <f t="shared" si="79"/>
        <v>53</v>
      </c>
      <c r="K207">
        <v>6</v>
      </c>
      <c r="L207">
        <v>5</v>
      </c>
      <c r="M207" s="12">
        <f t="shared" si="80"/>
        <v>4.1269706232638903</v>
      </c>
      <c r="N207">
        <f t="shared" si="78"/>
        <v>0.11538287371689877</v>
      </c>
      <c r="O207">
        <v>0.84</v>
      </c>
      <c r="P207" t="s">
        <v>270</v>
      </c>
      <c r="Q207" t="s">
        <v>412</v>
      </c>
      <c r="R207">
        <f>IF(Q207="Nature", IF(Y207=2010, 16.465, IF(Y207=2011, 17.598, IF(Y207=2012, 17.546, ""))), IF(Q207="Cell", IF(Y207=2010, 25.629, IF(Y207=2011, 25.74, IF(Y207=2012, 25.117, ""))), ""))</f>
        <v>16.465</v>
      </c>
      <c r="S207">
        <f t="shared" si="81"/>
        <v>17.416283018867937</v>
      </c>
      <c r="U207">
        <v>23</v>
      </c>
      <c r="W207">
        <f t="shared" si="82"/>
        <v>36.358490566037737</v>
      </c>
      <c r="Y207">
        <v>2010</v>
      </c>
      <c r="Z207">
        <f>2025-AVERAGE($Y$203:$Y$255)</f>
        <v>13.962264150943383</v>
      </c>
      <c r="AA207">
        <v>0.14299999999999999</v>
      </c>
      <c r="AB207">
        <v>0.35174243999999999</v>
      </c>
      <c r="AC207">
        <v>1.66</v>
      </c>
      <c r="AD207" s="3">
        <v>1.66</v>
      </c>
      <c r="AE207">
        <v>1</v>
      </c>
      <c r="AF207" t="s">
        <v>138</v>
      </c>
      <c r="AG207">
        <v>11</v>
      </c>
      <c r="AH207">
        <v>6</v>
      </c>
      <c r="AI207">
        <f t="shared" si="83"/>
        <v>17.415094339622641</v>
      </c>
      <c r="AJ207">
        <f t="shared" si="84"/>
        <v>8.3018867924528301</v>
      </c>
      <c r="AK207" t="s">
        <v>319</v>
      </c>
      <c r="AL207">
        <v>246</v>
      </c>
      <c r="AM207" t="s">
        <v>140</v>
      </c>
      <c r="AN207" t="s">
        <v>320</v>
      </c>
      <c r="AO207">
        <v>4.75</v>
      </c>
    </row>
    <row r="208" spans="1:41" ht="15.6">
      <c r="A208">
        <v>7</v>
      </c>
      <c r="B208" t="s">
        <v>265</v>
      </c>
      <c r="C208" t="s">
        <v>477</v>
      </c>
      <c r="D208" s="3">
        <v>43</v>
      </c>
      <c r="E208" s="3">
        <v>25</v>
      </c>
      <c r="F208">
        <v>2021</v>
      </c>
      <c r="G208">
        <f t="shared" si="77"/>
        <v>4</v>
      </c>
      <c r="H208">
        <v>0.43</v>
      </c>
      <c r="I208">
        <v>2.96</v>
      </c>
      <c r="J208">
        <f t="shared" si="79"/>
        <v>53</v>
      </c>
      <c r="K208">
        <v>6</v>
      </c>
      <c r="L208">
        <v>5</v>
      </c>
      <c r="M208" s="12">
        <f t="shared" si="80"/>
        <v>4.1269706232638903</v>
      </c>
      <c r="N208">
        <f t="shared" si="78"/>
        <v>0.11538287371689877</v>
      </c>
      <c r="O208">
        <v>0.84</v>
      </c>
      <c r="P208" t="s">
        <v>271</v>
      </c>
      <c r="Q208" t="s">
        <v>412</v>
      </c>
      <c r="R208">
        <f>IF(Q208="Nature", IF(Y208=2010, 16.465, IF(Y208=2011, 17.598, IF(Y208=2012, 17.546, ""))), IF(Q208="Cell", IF(Y208=2010, 25.629, IF(Y208=2011, 25.74, IF(Y208=2012, 25.117, ""))), ""))</f>
        <v>16.465</v>
      </c>
      <c r="S208">
        <f t="shared" si="81"/>
        <v>17.416283018867937</v>
      </c>
      <c r="U208">
        <v>43</v>
      </c>
      <c r="W208">
        <f t="shared" si="82"/>
        <v>36.358490566037737</v>
      </c>
      <c r="Y208">
        <v>2010</v>
      </c>
      <c r="Z208">
        <f>2025-AVERAGE($Y$203:$Y$255)</f>
        <v>13.962264150943383</v>
      </c>
      <c r="AA208">
        <v>2.348687E-2</v>
      </c>
      <c r="AB208">
        <v>6.135204E-3</v>
      </c>
      <c r="AC208">
        <v>4.3</v>
      </c>
      <c r="AD208" s="3">
        <v>4.3</v>
      </c>
      <c r="AE208">
        <v>1</v>
      </c>
      <c r="AF208" t="s">
        <v>138</v>
      </c>
      <c r="AG208">
        <v>32</v>
      </c>
      <c r="AH208">
        <v>11</v>
      </c>
      <c r="AI208">
        <f t="shared" si="83"/>
        <v>17.415094339622641</v>
      </c>
      <c r="AJ208">
        <f t="shared" si="84"/>
        <v>8.3018867924528301</v>
      </c>
      <c r="AK208" t="s">
        <v>319</v>
      </c>
      <c r="AL208">
        <v>246</v>
      </c>
      <c r="AM208" t="s">
        <v>140</v>
      </c>
      <c r="AN208" t="s">
        <v>320</v>
      </c>
      <c r="AO208">
        <v>4.75</v>
      </c>
    </row>
    <row r="209" spans="1:41" ht="15.6">
      <c r="A209">
        <v>7</v>
      </c>
      <c r="B209" t="s">
        <v>265</v>
      </c>
      <c r="C209" t="s">
        <v>477</v>
      </c>
      <c r="D209" s="3">
        <v>43</v>
      </c>
      <c r="E209" s="3">
        <v>25</v>
      </c>
      <c r="F209">
        <v>2021</v>
      </c>
      <c r="G209">
        <f t="shared" si="77"/>
        <v>4</v>
      </c>
      <c r="H209">
        <v>0.43</v>
      </c>
      <c r="I209">
        <v>2.96</v>
      </c>
      <c r="J209">
        <f t="shared" si="79"/>
        <v>53</v>
      </c>
      <c r="K209">
        <v>6</v>
      </c>
      <c r="L209">
        <v>5</v>
      </c>
      <c r="M209" s="12">
        <f t="shared" si="80"/>
        <v>4.1269706232638903</v>
      </c>
      <c r="N209">
        <f t="shared" si="78"/>
        <v>0.11538287371689877</v>
      </c>
      <c r="O209">
        <v>0.84</v>
      </c>
      <c r="P209" t="s">
        <v>272</v>
      </c>
      <c r="Q209" t="s">
        <v>478</v>
      </c>
      <c r="R209">
        <f>IF(Q209="Nature", IF(Y209=2010, 16.465, IF(Y209=2011, 17.598, IF(Y209=2012, 17.546, ""))), IF(Q209="Cell", IF(Y209=2010, 25.629, IF(Y209=2011, 25.74, IF(Y209=2012, 25.117, ""))), ""))</f>
        <v>25.629000000000001</v>
      </c>
      <c r="S209">
        <f t="shared" si="81"/>
        <v>17.416283018867937</v>
      </c>
      <c r="U209">
        <v>32</v>
      </c>
      <c r="W209">
        <f t="shared" si="82"/>
        <v>36.358490566037737</v>
      </c>
      <c r="Y209">
        <v>2010</v>
      </c>
      <c r="Z209">
        <f>2025-AVERAGE($Y$203:$Y$255)</f>
        <v>13.962264150943383</v>
      </c>
      <c r="AB209">
        <v>4.4300143000000007E-2</v>
      </c>
      <c r="AC209">
        <v>0.67</v>
      </c>
      <c r="AD209" s="3">
        <v>0.67</v>
      </c>
      <c r="AE209">
        <v>1</v>
      </c>
      <c r="AF209" t="s">
        <v>138</v>
      </c>
      <c r="AG209">
        <v>11</v>
      </c>
      <c r="AH209">
        <v>6</v>
      </c>
      <c r="AI209">
        <f t="shared" si="83"/>
        <v>17.415094339622641</v>
      </c>
      <c r="AJ209">
        <f t="shared" si="84"/>
        <v>8.3018867924528301</v>
      </c>
      <c r="AK209" t="s">
        <v>319</v>
      </c>
      <c r="AL209">
        <v>246</v>
      </c>
      <c r="AM209" t="s">
        <v>140</v>
      </c>
      <c r="AN209" t="s">
        <v>320</v>
      </c>
      <c r="AO209">
        <v>4.75</v>
      </c>
    </row>
    <row r="210" spans="1:41" ht="15.6">
      <c r="A210">
        <v>7</v>
      </c>
      <c r="B210" t="s">
        <v>265</v>
      </c>
      <c r="C210" t="s">
        <v>477</v>
      </c>
      <c r="D210" s="3">
        <v>43</v>
      </c>
      <c r="E210" s="3">
        <v>25</v>
      </c>
      <c r="F210">
        <v>2021</v>
      </c>
      <c r="G210">
        <f t="shared" si="77"/>
        <v>4</v>
      </c>
      <c r="H210">
        <v>0.43</v>
      </c>
      <c r="I210">
        <v>2.96</v>
      </c>
      <c r="J210">
        <f t="shared" si="79"/>
        <v>53</v>
      </c>
      <c r="K210">
        <v>6</v>
      </c>
      <c r="L210">
        <v>5</v>
      </c>
      <c r="M210" s="12">
        <f t="shared" si="80"/>
        <v>4.1269706232638903</v>
      </c>
      <c r="N210">
        <f t="shared" si="78"/>
        <v>0.11538287371689877</v>
      </c>
      <c r="O210">
        <v>0.84</v>
      </c>
      <c r="P210" t="s">
        <v>273</v>
      </c>
      <c r="Q210" t="s">
        <v>412</v>
      </c>
      <c r="R210">
        <f>IF(Q210="Nature", IF(Y210=2010, 16.465, IF(Y210=2011, 17.598, IF(Y210=2012, 17.546, ""))), IF(Q210="Cell", IF(Y210=2010, 25.629, IF(Y210=2011, 25.74, IF(Y210=2012, 25.117, ""))), ""))</f>
        <v>16.465</v>
      </c>
      <c r="S210">
        <f t="shared" si="81"/>
        <v>17.416283018867937</v>
      </c>
      <c r="U210">
        <v>27</v>
      </c>
      <c r="W210">
        <f t="shared" si="82"/>
        <v>36.358490566037737</v>
      </c>
      <c r="Y210">
        <v>2010</v>
      </c>
      <c r="Z210">
        <f>2025-AVERAGE($Y$203:$Y$255)</f>
        <v>13.962264150943383</v>
      </c>
      <c r="AB210">
        <v>0.36814868690000002</v>
      </c>
      <c r="AC210">
        <v>0.4</v>
      </c>
      <c r="AD210" s="3">
        <v>0.4</v>
      </c>
      <c r="AE210">
        <v>1</v>
      </c>
      <c r="AF210" t="s">
        <v>138</v>
      </c>
      <c r="AG210">
        <v>21</v>
      </c>
      <c r="AH210">
        <v>11</v>
      </c>
      <c r="AI210">
        <f t="shared" si="83"/>
        <v>17.415094339622641</v>
      </c>
      <c r="AJ210">
        <f t="shared" si="84"/>
        <v>8.3018867924528301</v>
      </c>
      <c r="AK210" t="s">
        <v>319</v>
      </c>
      <c r="AL210">
        <v>246</v>
      </c>
      <c r="AM210" t="s">
        <v>140</v>
      </c>
      <c r="AN210" t="s">
        <v>320</v>
      </c>
      <c r="AO210">
        <v>4.75</v>
      </c>
    </row>
    <row r="211" spans="1:41" ht="15.6">
      <c r="A211">
        <v>7</v>
      </c>
      <c r="B211" t="s">
        <v>265</v>
      </c>
      <c r="C211" t="s">
        <v>477</v>
      </c>
      <c r="D211" s="3">
        <v>43</v>
      </c>
      <c r="E211" s="3">
        <v>25</v>
      </c>
      <c r="F211">
        <v>2021</v>
      </c>
      <c r="G211">
        <f t="shared" si="77"/>
        <v>4</v>
      </c>
      <c r="H211">
        <v>0.43</v>
      </c>
      <c r="I211">
        <v>2.96</v>
      </c>
      <c r="J211">
        <f t="shared" si="79"/>
        <v>53</v>
      </c>
      <c r="K211">
        <v>6</v>
      </c>
      <c r="L211">
        <v>5</v>
      </c>
      <c r="M211" s="12">
        <f t="shared" si="80"/>
        <v>4.1269706232638903</v>
      </c>
      <c r="N211">
        <f t="shared" si="78"/>
        <v>0.11538287371689877</v>
      </c>
      <c r="O211">
        <v>0.84</v>
      </c>
      <c r="P211" t="s">
        <v>274</v>
      </c>
      <c r="Q211" t="s">
        <v>480</v>
      </c>
      <c r="R211">
        <v>15.574999999999999</v>
      </c>
      <c r="S211">
        <f t="shared" si="81"/>
        <v>17.416283018867937</v>
      </c>
      <c r="U211">
        <v>47</v>
      </c>
      <c r="W211">
        <f t="shared" si="82"/>
        <v>36.358490566037737</v>
      </c>
      <c r="Y211">
        <v>2010</v>
      </c>
      <c r="Z211">
        <f>2025-AVERAGE($Y$203:$Y$255)</f>
        <v>13.962264150943383</v>
      </c>
      <c r="AA211">
        <v>9.6744977100000046E-2</v>
      </c>
      <c r="AB211">
        <v>0.12126375121817028</v>
      </c>
      <c r="AC211">
        <v>0.19</v>
      </c>
      <c r="AD211" s="3">
        <v>0.19</v>
      </c>
      <c r="AE211">
        <v>1</v>
      </c>
      <c r="AF211" t="s">
        <v>138</v>
      </c>
      <c r="AG211">
        <v>15</v>
      </c>
      <c r="AH211">
        <v>10</v>
      </c>
      <c r="AI211">
        <f t="shared" si="83"/>
        <v>17.415094339622641</v>
      </c>
      <c r="AJ211">
        <f t="shared" si="84"/>
        <v>8.3018867924528301</v>
      </c>
      <c r="AK211" t="s">
        <v>319</v>
      </c>
      <c r="AL211">
        <v>246</v>
      </c>
      <c r="AM211" t="s">
        <v>140</v>
      </c>
      <c r="AN211" t="s">
        <v>320</v>
      </c>
      <c r="AO211">
        <v>4.75</v>
      </c>
    </row>
    <row r="212" spans="1:41" ht="15.6">
      <c r="A212">
        <v>7</v>
      </c>
      <c r="B212" t="s">
        <v>265</v>
      </c>
      <c r="C212" t="s">
        <v>477</v>
      </c>
      <c r="D212" s="3">
        <v>43</v>
      </c>
      <c r="E212" s="3">
        <v>25</v>
      </c>
      <c r="F212">
        <v>2021</v>
      </c>
      <c r="G212">
        <f t="shared" si="77"/>
        <v>4</v>
      </c>
      <c r="H212">
        <v>0.43</v>
      </c>
      <c r="I212">
        <v>2.96</v>
      </c>
      <c r="J212">
        <f t="shared" si="79"/>
        <v>53</v>
      </c>
      <c r="K212">
        <v>6</v>
      </c>
      <c r="L212">
        <v>5</v>
      </c>
      <c r="M212" s="12">
        <f t="shared" si="80"/>
        <v>4.1269706232638903</v>
      </c>
      <c r="N212">
        <f t="shared" si="78"/>
        <v>0.11538287371689877</v>
      </c>
      <c r="O212">
        <v>0.84</v>
      </c>
      <c r="P212" t="s">
        <v>275</v>
      </c>
      <c r="Q212" t="s">
        <v>412</v>
      </c>
      <c r="R212">
        <f>IF(Q212="Nature", IF(Y212=2010, 16.465, IF(Y212=2011, 17.598, IF(Y212=2012, 17.546, ""))), IF(Q212="Cell", IF(Y212=2010, 25.629, IF(Y212=2011, 25.74, IF(Y212=2012, 25.117, ""))), ""))</f>
        <v>16.465</v>
      </c>
      <c r="S212">
        <f t="shared" si="81"/>
        <v>17.416283018867937</v>
      </c>
      <c r="U212">
        <v>52</v>
      </c>
      <c r="W212">
        <f t="shared" si="82"/>
        <v>36.358490566037737</v>
      </c>
      <c r="Y212">
        <v>2010</v>
      </c>
      <c r="Z212">
        <f>2025-AVERAGE($Y$203:$Y$255)</f>
        <v>13.962264150943383</v>
      </c>
      <c r="AE212">
        <v>1</v>
      </c>
      <c r="AF212" t="s">
        <v>138</v>
      </c>
      <c r="AG212">
        <v>14</v>
      </c>
      <c r="AH212">
        <v>9</v>
      </c>
      <c r="AI212">
        <f t="shared" si="83"/>
        <v>17.415094339622641</v>
      </c>
      <c r="AJ212">
        <f t="shared" si="84"/>
        <v>8.3018867924528301</v>
      </c>
      <c r="AK212" t="s">
        <v>319</v>
      </c>
      <c r="AL212">
        <v>246</v>
      </c>
      <c r="AM212" t="s">
        <v>140</v>
      </c>
      <c r="AN212" t="s">
        <v>320</v>
      </c>
      <c r="AO212">
        <v>4.75</v>
      </c>
    </row>
    <row r="213" spans="1:41" ht="15.6">
      <c r="A213">
        <v>7</v>
      </c>
      <c r="B213" t="s">
        <v>265</v>
      </c>
      <c r="C213" t="s">
        <v>477</v>
      </c>
      <c r="D213" s="3">
        <v>43</v>
      </c>
      <c r="E213" s="3">
        <v>25</v>
      </c>
      <c r="F213">
        <v>2021</v>
      </c>
      <c r="G213">
        <f t="shared" si="77"/>
        <v>4</v>
      </c>
      <c r="H213">
        <v>0.43</v>
      </c>
      <c r="I213">
        <v>2.96</v>
      </c>
      <c r="J213">
        <f t="shared" si="79"/>
        <v>53</v>
      </c>
      <c r="K213">
        <v>6</v>
      </c>
      <c r="L213">
        <v>5</v>
      </c>
      <c r="M213" s="12">
        <f t="shared" si="80"/>
        <v>4.1269706232638903</v>
      </c>
      <c r="N213">
        <f t="shared" si="78"/>
        <v>0.11538287371689877</v>
      </c>
      <c r="O213">
        <v>0.84</v>
      </c>
      <c r="P213" t="s">
        <v>276</v>
      </c>
      <c r="Q213" t="s">
        <v>412</v>
      </c>
      <c r="R213">
        <f>IF(Q213="Nature", IF(Y213=2010, 16.465, IF(Y213=2011, 17.598, IF(Y213=2012, 17.546, ""))), IF(Q213="Cell", IF(Y213=2010, 25.629, IF(Y213=2011, 25.74, IF(Y213=2012, 25.117, ""))), ""))</f>
        <v>16.465</v>
      </c>
      <c r="S213">
        <f t="shared" si="81"/>
        <v>17.416283018867937</v>
      </c>
      <c r="U213">
        <v>18</v>
      </c>
      <c r="W213">
        <f t="shared" si="82"/>
        <v>36.358490566037737</v>
      </c>
      <c r="Y213">
        <v>2010</v>
      </c>
      <c r="Z213">
        <f>2025-AVERAGE($Y$203:$Y$255)</f>
        <v>13.962264150943383</v>
      </c>
      <c r="AE213">
        <v>1</v>
      </c>
      <c r="AF213" t="s">
        <v>138</v>
      </c>
      <c r="AG213">
        <v>16</v>
      </c>
      <c r="AH213">
        <v>7</v>
      </c>
      <c r="AI213">
        <f t="shared" si="83"/>
        <v>17.415094339622641</v>
      </c>
      <c r="AJ213">
        <f t="shared" si="84"/>
        <v>8.3018867924528301</v>
      </c>
      <c r="AK213" t="s">
        <v>319</v>
      </c>
      <c r="AL213">
        <v>246</v>
      </c>
      <c r="AM213" t="s">
        <v>140</v>
      </c>
      <c r="AN213" t="s">
        <v>320</v>
      </c>
      <c r="AO213">
        <v>4.75</v>
      </c>
    </row>
    <row r="214" spans="1:41" ht="15.6">
      <c r="A214">
        <v>7</v>
      </c>
      <c r="B214" t="s">
        <v>265</v>
      </c>
      <c r="C214" t="s">
        <v>477</v>
      </c>
      <c r="D214" s="3">
        <v>43</v>
      </c>
      <c r="E214" s="3">
        <v>25</v>
      </c>
      <c r="F214">
        <v>2021</v>
      </c>
      <c r="G214">
        <f t="shared" si="77"/>
        <v>4</v>
      </c>
      <c r="H214">
        <v>0.43</v>
      </c>
      <c r="I214">
        <v>2.96</v>
      </c>
      <c r="J214">
        <f t="shared" si="79"/>
        <v>53</v>
      </c>
      <c r="K214">
        <v>6</v>
      </c>
      <c r="L214">
        <v>5</v>
      </c>
      <c r="M214" s="12">
        <f t="shared" si="80"/>
        <v>4.1269706232638903</v>
      </c>
      <c r="N214">
        <f t="shared" si="78"/>
        <v>0.11538287371689877</v>
      </c>
      <c r="O214">
        <v>0.84</v>
      </c>
      <c r="P214" t="s">
        <v>277</v>
      </c>
      <c r="Q214" t="s">
        <v>412</v>
      </c>
      <c r="R214">
        <f>IF(Q214="Nature", IF(Y214=2010, 16.465, IF(Y214=2011, 17.598, IF(Y214=2012, 17.546, ""))), IF(Q214="Cell", IF(Y214=2010, 25.629, IF(Y214=2011, 25.74, IF(Y214=2012, 25.117, ""))), ""))</f>
        <v>16.465</v>
      </c>
      <c r="S214">
        <f t="shared" si="81"/>
        <v>17.416283018867937</v>
      </c>
      <c r="U214">
        <v>29</v>
      </c>
      <c r="W214">
        <f t="shared" si="82"/>
        <v>36.358490566037737</v>
      </c>
      <c r="Y214">
        <v>2010</v>
      </c>
      <c r="Z214">
        <f>2025-AVERAGE($Y$203:$Y$255)</f>
        <v>13.962264150943383</v>
      </c>
      <c r="AB214">
        <v>2.0785304666666667E-2</v>
      </c>
      <c r="AC214">
        <v>0.95</v>
      </c>
      <c r="AD214" s="3">
        <v>0.95</v>
      </c>
      <c r="AE214">
        <v>1</v>
      </c>
      <c r="AF214" t="s">
        <v>138</v>
      </c>
      <c r="AG214">
        <v>35</v>
      </c>
      <c r="AH214">
        <v>11</v>
      </c>
      <c r="AI214">
        <f t="shared" si="83"/>
        <v>17.415094339622641</v>
      </c>
      <c r="AJ214">
        <f t="shared" si="84"/>
        <v>8.3018867924528301</v>
      </c>
      <c r="AK214" t="s">
        <v>319</v>
      </c>
      <c r="AL214">
        <v>246</v>
      </c>
      <c r="AM214" t="s">
        <v>140</v>
      </c>
      <c r="AN214" t="s">
        <v>320</v>
      </c>
      <c r="AO214">
        <v>4.75</v>
      </c>
    </row>
    <row r="215" spans="1:41" ht="15.6">
      <c r="A215">
        <v>7</v>
      </c>
      <c r="B215" t="s">
        <v>265</v>
      </c>
      <c r="C215" t="s">
        <v>477</v>
      </c>
      <c r="D215" s="3">
        <v>43</v>
      </c>
      <c r="E215" s="3">
        <v>25</v>
      </c>
      <c r="F215">
        <v>2021</v>
      </c>
      <c r="G215">
        <f t="shared" si="77"/>
        <v>4</v>
      </c>
      <c r="H215">
        <v>0.43</v>
      </c>
      <c r="I215">
        <v>2.96</v>
      </c>
      <c r="J215">
        <f t="shared" si="79"/>
        <v>53</v>
      </c>
      <c r="K215">
        <v>6</v>
      </c>
      <c r="L215">
        <v>5</v>
      </c>
      <c r="M215" s="12">
        <f t="shared" si="80"/>
        <v>4.1269706232638903</v>
      </c>
      <c r="N215">
        <f t="shared" si="78"/>
        <v>0.11538287371689877</v>
      </c>
      <c r="O215">
        <v>0.84</v>
      </c>
      <c r="P215" t="s">
        <v>278</v>
      </c>
      <c r="Q215" t="s">
        <v>412</v>
      </c>
      <c r="R215">
        <f>IF(Q215="Nature", IF(Y215=2010, 16.465, IF(Y215=2011, 17.598, IF(Y215=2012, 17.546, ""))), IF(Q215="Cell", IF(Y215=2010, 25.629, IF(Y215=2011, 25.74, IF(Y215=2012, 25.117, ""))), ""))</f>
        <v>16.465</v>
      </c>
      <c r="S215">
        <f t="shared" si="81"/>
        <v>17.416283018867937</v>
      </c>
      <c r="U215">
        <v>26</v>
      </c>
      <c r="W215">
        <f t="shared" si="82"/>
        <v>36.358490566037737</v>
      </c>
      <c r="Y215">
        <v>2010</v>
      </c>
      <c r="Z215">
        <f>2025-AVERAGE($Y$203:$Y$255)</f>
        <v>13.962264150943383</v>
      </c>
      <c r="AE215">
        <v>1</v>
      </c>
      <c r="AF215" t="s">
        <v>138</v>
      </c>
      <c r="AG215">
        <v>5</v>
      </c>
      <c r="AH215">
        <v>9</v>
      </c>
      <c r="AI215">
        <f t="shared" si="83"/>
        <v>17.415094339622641</v>
      </c>
      <c r="AJ215">
        <f t="shared" si="84"/>
        <v>8.3018867924528301</v>
      </c>
      <c r="AK215" t="s">
        <v>319</v>
      </c>
      <c r="AL215">
        <v>246</v>
      </c>
      <c r="AM215" t="s">
        <v>140</v>
      </c>
      <c r="AN215" t="s">
        <v>320</v>
      </c>
      <c r="AO215">
        <v>4.75</v>
      </c>
    </row>
    <row r="216" spans="1:41" ht="15.6">
      <c r="A216">
        <v>7</v>
      </c>
      <c r="B216" t="s">
        <v>265</v>
      </c>
      <c r="C216" t="s">
        <v>477</v>
      </c>
      <c r="D216" s="3">
        <v>43</v>
      </c>
      <c r="E216" s="3">
        <v>25</v>
      </c>
      <c r="F216">
        <v>2021</v>
      </c>
      <c r="G216">
        <f t="shared" si="77"/>
        <v>4</v>
      </c>
      <c r="H216">
        <v>0.43</v>
      </c>
      <c r="I216">
        <v>2.96</v>
      </c>
      <c r="J216">
        <f t="shared" si="79"/>
        <v>53</v>
      </c>
      <c r="K216">
        <v>6</v>
      </c>
      <c r="L216">
        <v>5</v>
      </c>
      <c r="M216" s="12">
        <f t="shared" si="80"/>
        <v>4.1269706232638903</v>
      </c>
      <c r="N216">
        <f t="shared" si="78"/>
        <v>0.11538287371689877</v>
      </c>
      <c r="O216">
        <v>0.84</v>
      </c>
      <c r="P216" t="s">
        <v>279</v>
      </c>
      <c r="Q216" t="s">
        <v>111</v>
      </c>
      <c r="R216">
        <v>13.481</v>
      </c>
      <c r="S216">
        <f t="shared" si="81"/>
        <v>17.416283018867937</v>
      </c>
      <c r="U216">
        <v>34</v>
      </c>
      <c r="W216">
        <f t="shared" si="82"/>
        <v>36.358490566037737</v>
      </c>
      <c r="Y216">
        <v>2010</v>
      </c>
      <c r="Z216">
        <f>2025-AVERAGE($Y$203:$Y$255)</f>
        <v>13.962264150943383</v>
      </c>
      <c r="AE216">
        <v>1</v>
      </c>
      <c r="AF216" t="s">
        <v>138</v>
      </c>
      <c r="AG216">
        <v>7</v>
      </c>
      <c r="AH216">
        <v>8</v>
      </c>
      <c r="AI216">
        <f t="shared" si="83"/>
        <v>17.415094339622641</v>
      </c>
      <c r="AJ216">
        <f t="shared" si="84"/>
        <v>8.3018867924528301</v>
      </c>
      <c r="AK216" t="s">
        <v>319</v>
      </c>
      <c r="AL216">
        <v>246</v>
      </c>
      <c r="AM216" t="s">
        <v>140</v>
      </c>
      <c r="AN216" t="s">
        <v>320</v>
      </c>
      <c r="AO216">
        <v>4.75</v>
      </c>
    </row>
    <row r="217" spans="1:41" ht="15.6">
      <c r="A217">
        <v>7</v>
      </c>
      <c r="B217" t="s">
        <v>265</v>
      </c>
      <c r="C217" t="s">
        <v>477</v>
      </c>
      <c r="D217" s="3">
        <v>43</v>
      </c>
      <c r="E217" s="3">
        <v>25</v>
      </c>
      <c r="F217">
        <v>2021</v>
      </c>
      <c r="G217">
        <f t="shared" si="77"/>
        <v>4</v>
      </c>
      <c r="H217">
        <v>0.43</v>
      </c>
      <c r="I217">
        <v>2.96</v>
      </c>
      <c r="J217">
        <f t="shared" si="79"/>
        <v>53</v>
      </c>
      <c r="K217">
        <v>6</v>
      </c>
      <c r="L217">
        <v>5</v>
      </c>
      <c r="M217" s="12">
        <f t="shared" si="80"/>
        <v>4.1269706232638903</v>
      </c>
      <c r="N217">
        <f t="shared" si="78"/>
        <v>0.11538287371689877</v>
      </c>
      <c r="O217">
        <v>0.84</v>
      </c>
      <c r="P217" t="s">
        <v>280</v>
      </c>
      <c r="Q217" t="s">
        <v>479</v>
      </c>
      <c r="R217">
        <v>16.468</v>
      </c>
      <c r="S217">
        <f t="shared" si="81"/>
        <v>17.416283018867937</v>
      </c>
      <c r="U217">
        <v>25</v>
      </c>
      <c r="W217">
        <f t="shared" si="82"/>
        <v>36.358490566037737</v>
      </c>
      <c r="Y217">
        <v>2010</v>
      </c>
      <c r="Z217">
        <f>2025-AVERAGE($Y$203:$Y$255)</f>
        <v>13.962264150943383</v>
      </c>
      <c r="AA217">
        <v>0.24213575502500001</v>
      </c>
      <c r="AB217">
        <v>0.61636702500000007</v>
      </c>
      <c r="AC217">
        <v>0.13800000000000001</v>
      </c>
      <c r="AD217" s="3">
        <v>0.13800000000000001</v>
      </c>
      <c r="AE217">
        <v>1</v>
      </c>
      <c r="AF217" t="s">
        <v>138</v>
      </c>
      <c r="AG217">
        <v>16</v>
      </c>
      <c r="AH217">
        <v>10</v>
      </c>
      <c r="AI217">
        <f t="shared" si="83"/>
        <v>17.415094339622641</v>
      </c>
      <c r="AJ217">
        <f t="shared" si="84"/>
        <v>8.3018867924528301</v>
      </c>
      <c r="AK217" t="s">
        <v>319</v>
      </c>
      <c r="AL217">
        <v>246</v>
      </c>
      <c r="AM217" t="s">
        <v>140</v>
      </c>
      <c r="AN217" t="s">
        <v>320</v>
      </c>
      <c r="AO217">
        <v>4.75</v>
      </c>
    </row>
    <row r="218" spans="1:41" ht="15.6">
      <c r="A218">
        <v>7</v>
      </c>
      <c r="B218" t="s">
        <v>265</v>
      </c>
      <c r="C218" t="s">
        <v>477</v>
      </c>
      <c r="D218" s="3">
        <v>43</v>
      </c>
      <c r="E218" s="3">
        <v>25</v>
      </c>
      <c r="F218">
        <v>2021</v>
      </c>
      <c r="G218">
        <f t="shared" si="77"/>
        <v>4</v>
      </c>
      <c r="H218">
        <v>0.43</v>
      </c>
      <c r="I218">
        <v>2.96</v>
      </c>
      <c r="J218">
        <f t="shared" si="79"/>
        <v>53</v>
      </c>
      <c r="K218">
        <v>6</v>
      </c>
      <c r="L218">
        <v>5</v>
      </c>
      <c r="M218" s="12">
        <f t="shared" si="80"/>
        <v>4.1269706232638903</v>
      </c>
      <c r="N218">
        <f t="shared" si="78"/>
        <v>0.11538287371689877</v>
      </c>
      <c r="O218">
        <v>0.84</v>
      </c>
      <c r="P218" t="s">
        <v>281</v>
      </c>
      <c r="Q218" t="s">
        <v>412</v>
      </c>
      <c r="R218">
        <f>IF(Q218="Nature", IF(Y218=2010, 16.465, IF(Y218=2011, 17.598, IF(Y218=2012, 17.546, ""))), IF(Q218="Cell", IF(Y218=2010, 25.629, IF(Y218=2011, 25.74, IF(Y218=2012, 25.117, ""))), ""))</f>
        <v>16.465</v>
      </c>
      <c r="S218">
        <f t="shared" si="81"/>
        <v>17.416283018867937</v>
      </c>
      <c r="U218">
        <v>26</v>
      </c>
      <c r="W218">
        <f t="shared" si="82"/>
        <v>36.358490566037737</v>
      </c>
      <c r="Y218">
        <v>2010</v>
      </c>
      <c r="Z218">
        <f>2025-AVERAGE($Y$203:$Y$255)</f>
        <v>13.962264150943383</v>
      </c>
      <c r="AA218">
        <v>1.5745862000000001E-5</v>
      </c>
      <c r="AB218">
        <v>0.11600632784250001</v>
      </c>
      <c r="AC218">
        <v>3.3</v>
      </c>
      <c r="AD218" s="3">
        <v>3.3</v>
      </c>
      <c r="AE218">
        <v>1</v>
      </c>
      <c r="AF218" t="s">
        <v>138</v>
      </c>
      <c r="AG218">
        <v>15</v>
      </c>
      <c r="AH218">
        <v>7</v>
      </c>
      <c r="AI218">
        <f t="shared" si="83"/>
        <v>17.415094339622641</v>
      </c>
      <c r="AJ218">
        <f t="shared" si="84"/>
        <v>8.3018867924528301</v>
      </c>
      <c r="AK218" t="s">
        <v>319</v>
      </c>
      <c r="AL218">
        <v>246</v>
      </c>
      <c r="AM218" t="s">
        <v>140</v>
      </c>
      <c r="AN218" t="s">
        <v>320</v>
      </c>
      <c r="AO218">
        <v>4.75</v>
      </c>
    </row>
    <row r="219" spans="1:41" ht="15.6">
      <c r="A219">
        <v>7</v>
      </c>
      <c r="B219" t="s">
        <v>265</v>
      </c>
      <c r="C219" t="s">
        <v>477</v>
      </c>
      <c r="D219" s="3">
        <v>43</v>
      </c>
      <c r="E219" s="3">
        <v>25</v>
      </c>
      <c r="F219">
        <v>2021</v>
      </c>
      <c r="G219">
        <f t="shared" si="77"/>
        <v>4</v>
      </c>
      <c r="H219">
        <v>0.43</v>
      </c>
      <c r="I219">
        <v>2.96</v>
      </c>
      <c r="J219">
        <f t="shared" si="79"/>
        <v>53</v>
      </c>
      <c r="K219">
        <v>6</v>
      </c>
      <c r="L219">
        <v>5</v>
      </c>
      <c r="M219" s="12">
        <f t="shared" si="80"/>
        <v>4.1269706232638903</v>
      </c>
      <c r="N219">
        <f t="shared" si="78"/>
        <v>0.11538287371689877</v>
      </c>
      <c r="O219">
        <v>0.84</v>
      </c>
      <c r="P219" t="s">
        <v>282</v>
      </c>
      <c r="Q219" t="s">
        <v>412</v>
      </c>
      <c r="R219">
        <f>IF(Q219="Nature", IF(Y219=2010, 16.465, IF(Y219=2011, 17.598, IF(Y219=2012, 17.546, ""))), IF(Q219="Cell", IF(Y219=2010, 25.629, IF(Y219=2011, 25.74, IF(Y219=2012, 25.117, ""))), ""))</f>
        <v>17.597999999999999</v>
      </c>
      <c r="S219">
        <f t="shared" si="81"/>
        <v>17.416283018867937</v>
      </c>
      <c r="U219">
        <v>42</v>
      </c>
      <c r="W219">
        <f t="shared" si="82"/>
        <v>36.358490566037737</v>
      </c>
      <c r="Y219">
        <v>2011</v>
      </c>
      <c r="Z219">
        <f>2025-AVERAGE($Y$203:$Y$255)</f>
        <v>13.962264150943383</v>
      </c>
      <c r="AE219">
        <v>1</v>
      </c>
      <c r="AF219" t="s">
        <v>138</v>
      </c>
      <c r="AG219">
        <v>20</v>
      </c>
      <c r="AH219">
        <v>6</v>
      </c>
      <c r="AI219">
        <f t="shared" si="83"/>
        <v>17.415094339622641</v>
      </c>
      <c r="AJ219">
        <f t="shared" si="84"/>
        <v>8.3018867924528301</v>
      </c>
      <c r="AK219" t="s">
        <v>319</v>
      </c>
      <c r="AL219">
        <v>246</v>
      </c>
      <c r="AM219" t="s">
        <v>140</v>
      </c>
      <c r="AN219" t="s">
        <v>320</v>
      </c>
      <c r="AO219">
        <v>4.75</v>
      </c>
    </row>
    <row r="220" spans="1:41" ht="15.6">
      <c r="A220">
        <v>7</v>
      </c>
      <c r="B220" t="s">
        <v>265</v>
      </c>
      <c r="C220" t="s">
        <v>477</v>
      </c>
      <c r="D220" s="3">
        <v>43</v>
      </c>
      <c r="E220" s="3">
        <v>25</v>
      </c>
      <c r="F220">
        <v>2021</v>
      </c>
      <c r="G220">
        <f t="shared" si="77"/>
        <v>4</v>
      </c>
      <c r="H220">
        <v>0.43</v>
      </c>
      <c r="I220">
        <v>2.96</v>
      </c>
      <c r="J220">
        <f t="shared" si="79"/>
        <v>53</v>
      </c>
      <c r="K220">
        <v>6</v>
      </c>
      <c r="L220">
        <v>5</v>
      </c>
      <c r="M220" s="12">
        <f t="shared" si="80"/>
        <v>4.1269706232638903</v>
      </c>
      <c r="N220">
        <f t="shared" si="78"/>
        <v>0.11538287371689877</v>
      </c>
      <c r="O220">
        <v>0.84</v>
      </c>
      <c r="P220" t="s">
        <v>283</v>
      </c>
      <c r="Q220" t="s">
        <v>478</v>
      </c>
      <c r="R220">
        <f>IF(Q220="Nature", IF(Y220=2010, 16.465, IF(Y220=2011, 17.598, IF(Y220=2012, 17.546, ""))), IF(Q220="Cell", IF(Y220=2010, 25.629, IF(Y220=2011, 25.74, IF(Y220=2012, 25.117, ""))), ""))</f>
        <v>25.74</v>
      </c>
      <c r="S220">
        <f t="shared" si="81"/>
        <v>17.416283018867937</v>
      </c>
      <c r="U220">
        <v>63</v>
      </c>
      <c r="W220">
        <f t="shared" si="82"/>
        <v>36.358490566037737</v>
      </c>
      <c r="Y220">
        <v>2011</v>
      </c>
      <c r="Z220">
        <f>2025-AVERAGE($Y$203:$Y$255)</f>
        <v>13.962264150943383</v>
      </c>
      <c r="AE220">
        <v>1</v>
      </c>
      <c r="AF220" t="s">
        <v>138</v>
      </c>
      <c r="AG220">
        <v>24</v>
      </c>
      <c r="AH220">
        <v>8</v>
      </c>
      <c r="AI220">
        <f t="shared" si="83"/>
        <v>17.415094339622641</v>
      </c>
      <c r="AJ220">
        <f t="shared" si="84"/>
        <v>8.3018867924528301</v>
      </c>
      <c r="AK220" t="s">
        <v>319</v>
      </c>
      <c r="AL220">
        <v>246</v>
      </c>
      <c r="AM220" t="s">
        <v>140</v>
      </c>
      <c r="AN220" t="s">
        <v>320</v>
      </c>
      <c r="AO220">
        <v>4.75</v>
      </c>
    </row>
    <row r="221" spans="1:41" ht="15.6">
      <c r="A221">
        <v>7</v>
      </c>
      <c r="B221" t="s">
        <v>265</v>
      </c>
      <c r="C221" t="s">
        <v>477</v>
      </c>
      <c r="D221" s="3">
        <v>43</v>
      </c>
      <c r="E221" s="3">
        <v>25</v>
      </c>
      <c r="F221">
        <v>2021</v>
      </c>
      <c r="G221">
        <f t="shared" si="77"/>
        <v>4</v>
      </c>
      <c r="H221">
        <v>0.43</v>
      </c>
      <c r="I221">
        <v>2.96</v>
      </c>
      <c r="J221">
        <f t="shared" si="79"/>
        <v>53</v>
      </c>
      <c r="K221">
        <v>6</v>
      </c>
      <c r="L221">
        <v>5</v>
      </c>
      <c r="M221" s="12">
        <f t="shared" si="80"/>
        <v>4.1269706232638903</v>
      </c>
      <c r="N221">
        <f t="shared" si="78"/>
        <v>0.11538287371689877</v>
      </c>
      <c r="O221">
        <v>0.84</v>
      </c>
      <c r="P221" t="s">
        <v>284</v>
      </c>
      <c r="Q221" t="s">
        <v>478</v>
      </c>
      <c r="R221">
        <f>IF(Q221="Nature", IF(Y221=2010, 16.465, IF(Y221=2011, 17.598, IF(Y221=2012, 17.546, ""))), IF(Q221="Cell", IF(Y221=2010, 25.629, IF(Y221=2011, 25.74, IF(Y221=2012, 25.117, ""))), ""))</f>
        <v>25.74</v>
      </c>
      <c r="S221">
        <f t="shared" si="81"/>
        <v>17.416283018867937</v>
      </c>
      <c r="U221">
        <v>44</v>
      </c>
      <c r="W221">
        <f t="shared" si="82"/>
        <v>36.358490566037737</v>
      </c>
      <c r="Y221">
        <v>2011</v>
      </c>
      <c r="Z221">
        <f>2025-AVERAGE($Y$203:$Y$255)</f>
        <v>13.962264150943383</v>
      </c>
      <c r="AA221">
        <v>8.95793956E-2</v>
      </c>
      <c r="AB221">
        <v>7.2313240000000001E-2</v>
      </c>
      <c r="AC221">
        <v>8.23</v>
      </c>
      <c r="AD221" s="3">
        <v>8.23</v>
      </c>
      <c r="AE221">
        <v>1</v>
      </c>
      <c r="AF221" t="s">
        <v>138</v>
      </c>
      <c r="AG221">
        <v>17</v>
      </c>
      <c r="AH221">
        <v>12</v>
      </c>
      <c r="AI221">
        <f t="shared" si="83"/>
        <v>17.415094339622641</v>
      </c>
      <c r="AJ221">
        <f t="shared" si="84"/>
        <v>8.3018867924528301</v>
      </c>
      <c r="AK221" t="s">
        <v>319</v>
      </c>
      <c r="AL221">
        <v>246</v>
      </c>
      <c r="AM221" t="s">
        <v>140</v>
      </c>
      <c r="AN221" t="s">
        <v>320</v>
      </c>
      <c r="AO221">
        <v>4.75</v>
      </c>
    </row>
    <row r="222" spans="1:41" ht="15.6">
      <c r="A222">
        <v>7</v>
      </c>
      <c r="B222" t="s">
        <v>265</v>
      </c>
      <c r="C222" t="s">
        <v>477</v>
      </c>
      <c r="D222" s="3">
        <v>43</v>
      </c>
      <c r="E222" s="3">
        <v>25</v>
      </c>
      <c r="F222">
        <v>2021</v>
      </c>
      <c r="G222">
        <f t="shared" si="77"/>
        <v>4</v>
      </c>
      <c r="H222">
        <v>0.43</v>
      </c>
      <c r="I222">
        <v>2.96</v>
      </c>
      <c r="J222">
        <f t="shared" si="79"/>
        <v>53</v>
      </c>
      <c r="K222">
        <v>6</v>
      </c>
      <c r="L222">
        <v>5</v>
      </c>
      <c r="M222" s="12">
        <f t="shared" si="80"/>
        <v>4.1269706232638903</v>
      </c>
      <c r="N222">
        <f t="shared" si="78"/>
        <v>0.11538287371689877</v>
      </c>
      <c r="O222">
        <v>0.84</v>
      </c>
      <c r="P222" t="s">
        <v>285</v>
      </c>
      <c r="Q222" t="s">
        <v>481</v>
      </c>
      <c r="R222">
        <v>5.8120000000000003</v>
      </c>
      <c r="S222">
        <f t="shared" si="81"/>
        <v>17.416283018867937</v>
      </c>
      <c r="U222">
        <v>73</v>
      </c>
      <c r="W222">
        <f t="shared" si="82"/>
        <v>36.358490566037737</v>
      </c>
      <c r="Y222">
        <v>2011</v>
      </c>
      <c r="Z222">
        <f>2025-AVERAGE($Y$203:$Y$255)</f>
        <v>13.962264150943383</v>
      </c>
      <c r="AA222">
        <v>0.11960310907142857</v>
      </c>
      <c r="AB222">
        <v>0.3789866614285714</v>
      </c>
      <c r="AC222">
        <v>7.4999999999999997E-2</v>
      </c>
      <c r="AD222" s="3">
        <v>7.4999999999999997E-2</v>
      </c>
      <c r="AE222">
        <v>1</v>
      </c>
      <c r="AF222" t="s">
        <v>138</v>
      </c>
      <c r="AG222">
        <v>8</v>
      </c>
      <c r="AH222">
        <v>6</v>
      </c>
      <c r="AI222">
        <f t="shared" si="83"/>
        <v>17.415094339622641</v>
      </c>
      <c r="AJ222">
        <f t="shared" si="84"/>
        <v>8.3018867924528301</v>
      </c>
      <c r="AK222" t="s">
        <v>319</v>
      </c>
      <c r="AL222">
        <v>246</v>
      </c>
      <c r="AM222" t="s">
        <v>140</v>
      </c>
      <c r="AN222" t="s">
        <v>320</v>
      </c>
      <c r="AO222">
        <v>4.75</v>
      </c>
    </row>
    <row r="223" spans="1:41" ht="15.6">
      <c r="A223">
        <v>7</v>
      </c>
      <c r="B223" t="s">
        <v>265</v>
      </c>
      <c r="C223" t="s">
        <v>477</v>
      </c>
      <c r="D223" s="3">
        <v>43</v>
      </c>
      <c r="E223" s="3">
        <v>25</v>
      </c>
      <c r="F223">
        <v>2021</v>
      </c>
      <c r="G223">
        <f t="shared" si="77"/>
        <v>4</v>
      </c>
      <c r="H223">
        <v>0.43</v>
      </c>
      <c r="I223">
        <v>2.96</v>
      </c>
      <c r="J223">
        <f t="shared" si="79"/>
        <v>53</v>
      </c>
      <c r="K223">
        <v>6</v>
      </c>
      <c r="L223">
        <v>5</v>
      </c>
      <c r="M223" s="12">
        <f t="shared" si="80"/>
        <v>4.1269706232638903</v>
      </c>
      <c r="N223">
        <f t="shared" si="78"/>
        <v>0.11538287371689877</v>
      </c>
      <c r="O223">
        <v>0.84</v>
      </c>
      <c r="P223" t="s">
        <v>286</v>
      </c>
      <c r="Q223" t="s">
        <v>412</v>
      </c>
      <c r="R223">
        <f>IF(Q223="Nature", IF(Y223=2010, 16.465, IF(Y223=2011, 17.598, IF(Y223=2012, 17.546, ""))), IF(Q223="Cell", IF(Y223=2010, 25.629, IF(Y223=2011, 25.74, IF(Y223=2012, 25.117, ""))), ""))</f>
        <v>17.597999999999999</v>
      </c>
      <c r="S223">
        <f t="shared" si="81"/>
        <v>17.416283018867937</v>
      </c>
      <c r="U223">
        <v>27</v>
      </c>
      <c r="W223">
        <f t="shared" si="82"/>
        <v>36.358490566037737</v>
      </c>
      <c r="Y223">
        <v>2011</v>
      </c>
      <c r="Z223">
        <f>2025-AVERAGE($Y$203:$Y$255)</f>
        <v>13.962264150943383</v>
      </c>
      <c r="AA223">
        <v>0.11937599090000001</v>
      </c>
      <c r="AB223">
        <v>0.18350720333333334</v>
      </c>
      <c r="AC223">
        <v>0.67</v>
      </c>
      <c r="AD223" s="3">
        <v>0.67</v>
      </c>
      <c r="AE223">
        <v>1</v>
      </c>
      <c r="AF223" t="s">
        <v>138</v>
      </c>
      <c r="AG223">
        <v>14</v>
      </c>
      <c r="AH223">
        <v>7</v>
      </c>
      <c r="AI223">
        <f t="shared" si="83"/>
        <v>17.415094339622641</v>
      </c>
      <c r="AJ223">
        <f t="shared" si="84"/>
        <v>8.3018867924528301</v>
      </c>
      <c r="AK223" t="s">
        <v>319</v>
      </c>
      <c r="AL223">
        <v>246</v>
      </c>
      <c r="AM223" t="s">
        <v>140</v>
      </c>
      <c r="AN223" t="s">
        <v>320</v>
      </c>
      <c r="AO223">
        <v>4.75</v>
      </c>
    </row>
    <row r="224" spans="1:41" ht="15.6">
      <c r="A224">
        <v>7</v>
      </c>
      <c r="B224" t="s">
        <v>265</v>
      </c>
      <c r="C224" t="s">
        <v>477</v>
      </c>
      <c r="D224" s="3">
        <v>43</v>
      </c>
      <c r="E224" s="3">
        <v>25</v>
      </c>
      <c r="F224">
        <v>2021</v>
      </c>
      <c r="G224">
        <f t="shared" si="77"/>
        <v>4</v>
      </c>
      <c r="H224">
        <v>0.43</v>
      </c>
      <c r="I224">
        <v>2.96</v>
      </c>
      <c r="J224">
        <f t="shared" si="79"/>
        <v>53</v>
      </c>
      <c r="K224">
        <v>6</v>
      </c>
      <c r="L224">
        <v>5</v>
      </c>
      <c r="M224" s="12">
        <f t="shared" si="80"/>
        <v>4.1269706232638903</v>
      </c>
      <c r="N224">
        <f t="shared" si="78"/>
        <v>0.11538287371689877</v>
      </c>
      <c r="O224">
        <v>0.84</v>
      </c>
      <c r="P224" t="s">
        <v>287</v>
      </c>
      <c r="Q224" t="s">
        <v>412</v>
      </c>
      <c r="R224">
        <f>IF(Q224="Nature", IF(Y224=2010, 16.465, IF(Y224=2011, 17.598, IF(Y224=2012, 17.546, ""))), IF(Q224="Cell", IF(Y224=2010, 25.629, IF(Y224=2011, 25.74, IF(Y224=2012, 25.117, ""))), ""))</f>
        <v>17.597999999999999</v>
      </c>
      <c r="S224">
        <f t="shared" si="81"/>
        <v>17.416283018867937</v>
      </c>
      <c r="U224">
        <v>26</v>
      </c>
      <c r="W224">
        <f t="shared" si="82"/>
        <v>36.358490566037737</v>
      </c>
      <c r="Y224">
        <v>2011</v>
      </c>
      <c r="Z224">
        <f>2025-AVERAGE($Y$203:$Y$255)</f>
        <v>13.962264150943383</v>
      </c>
      <c r="AE224">
        <v>1</v>
      </c>
      <c r="AF224" t="s">
        <v>138</v>
      </c>
      <c r="AG224">
        <v>27</v>
      </c>
      <c r="AH224">
        <v>12</v>
      </c>
      <c r="AI224">
        <f t="shared" si="83"/>
        <v>17.415094339622641</v>
      </c>
      <c r="AJ224">
        <f t="shared" si="84"/>
        <v>8.3018867924528301</v>
      </c>
      <c r="AK224" t="s">
        <v>319</v>
      </c>
      <c r="AL224">
        <v>246</v>
      </c>
      <c r="AM224" t="s">
        <v>140</v>
      </c>
      <c r="AN224" t="s">
        <v>320</v>
      </c>
      <c r="AO224">
        <v>4.75</v>
      </c>
    </row>
    <row r="225" spans="1:41" ht="15.6">
      <c r="A225">
        <v>7</v>
      </c>
      <c r="B225" t="s">
        <v>265</v>
      </c>
      <c r="C225" t="s">
        <v>477</v>
      </c>
      <c r="D225" s="3">
        <v>43</v>
      </c>
      <c r="E225" s="3">
        <v>25</v>
      </c>
      <c r="F225">
        <v>2021</v>
      </c>
      <c r="G225">
        <f t="shared" si="77"/>
        <v>4</v>
      </c>
      <c r="H225">
        <v>0.43</v>
      </c>
      <c r="I225">
        <v>2.96</v>
      </c>
      <c r="J225">
        <f t="shared" si="79"/>
        <v>53</v>
      </c>
      <c r="K225">
        <v>6</v>
      </c>
      <c r="L225">
        <v>5</v>
      </c>
      <c r="M225" s="12">
        <f t="shared" si="80"/>
        <v>4.1269706232638903</v>
      </c>
      <c r="N225">
        <f t="shared" si="78"/>
        <v>0.11538287371689877</v>
      </c>
      <c r="O225">
        <v>0.84</v>
      </c>
      <c r="P225" t="s">
        <v>288</v>
      </c>
      <c r="Q225" t="s">
        <v>478</v>
      </c>
      <c r="R225">
        <f>IF(Q225="Nature", IF(Y225=2010, 16.465, IF(Y225=2011, 17.598, IF(Y225=2012, 17.546, ""))), IF(Q225="Cell", IF(Y225=2010, 25.629, IF(Y225=2011, 25.74, IF(Y225=2012, 25.117, ""))), ""))</f>
        <v>25.74</v>
      </c>
      <c r="S225">
        <f t="shared" si="81"/>
        <v>17.416283018867937</v>
      </c>
      <c r="U225">
        <v>38</v>
      </c>
      <c r="W225">
        <f t="shared" si="82"/>
        <v>36.358490566037737</v>
      </c>
      <c r="Y225">
        <v>2011</v>
      </c>
      <c r="Z225">
        <f>2025-AVERAGE($Y$203:$Y$255)</f>
        <v>13.962264150943383</v>
      </c>
      <c r="AE225">
        <v>1</v>
      </c>
      <c r="AF225" t="s">
        <v>138</v>
      </c>
      <c r="AG225">
        <v>13</v>
      </c>
      <c r="AH225">
        <v>8</v>
      </c>
      <c r="AI225">
        <f t="shared" si="83"/>
        <v>17.415094339622641</v>
      </c>
      <c r="AJ225">
        <f t="shared" si="84"/>
        <v>8.3018867924528301</v>
      </c>
      <c r="AK225" t="s">
        <v>319</v>
      </c>
      <c r="AL225">
        <v>246</v>
      </c>
      <c r="AM225" t="s">
        <v>140</v>
      </c>
      <c r="AN225" t="s">
        <v>320</v>
      </c>
      <c r="AO225">
        <v>4.75</v>
      </c>
    </row>
    <row r="226" spans="1:41" ht="15.6">
      <c r="A226">
        <v>7</v>
      </c>
      <c r="B226" t="s">
        <v>265</v>
      </c>
      <c r="C226" t="s">
        <v>477</v>
      </c>
      <c r="D226" s="3">
        <v>43</v>
      </c>
      <c r="E226" s="3">
        <v>25</v>
      </c>
      <c r="F226">
        <v>2021</v>
      </c>
      <c r="G226">
        <f t="shared" si="77"/>
        <v>4</v>
      </c>
      <c r="H226">
        <v>0.43</v>
      </c>
      <c r="I226">
        <v>2.96</v>
      </c>
      <c r="J226">
        <f t="shared" si="79"/>
        <v>53</v>
      </c>
      <c r="K226">
        <v>6</v>
      </c>
      <c r="L226">
        <v>5</v>
      </c>
      <c r="M226" s="12">
        <f t="shared" si="80"/>
        <v>4.1269706232638903</v>
      </c>
      <c r="N226">
        <f t="shared" si="78"/>
        <v>0.11538287371689877</v>
      </c>
      <c r="O226">
        <v>0.84</v>
      </c>
      <c r="P226" t="s">
        <v>289</v>
      </c>
      <c r="Q226" t="s">
        <v>479</v>
      </c>
      <c r="R226">
        <v>16.202999999999999</v>
      </c>
      <c r="S226">
        <f t="shared" si="81"/>
        <v>17.416283018867937</v>
      </c>
      <c r="U226">
        <v>52</v>
      </c>
      <c r="W226">
        <f t="shared" si="82"/>
        <v>36.358490566037737</v>
      </c>
      <c r="Y226">
        <v>2011</v>
      </c>
      <c r="Z226">
        <f>2025-AVERAGE($Y$203:$Y$255)</f>
        <v>13.962264150943383</v>
      </c>
      <c r="AA226">
        <v>1.9850468442857146E-2</v>
      </c>
      <c r="AB226">
        <v>0.18486305000714284</v>
      </c>
      <c r="AC226">
        <v>0.9</v>
      </c>
      <c r="AD226" s="3">
        <v>0.9</v>
      </c>
      <c r="AE226">
        <v>1</v>
      </c>
      <c r="AF226" t="s">
        <v>138</v>
      </c>
      <c r="AG226">
        <v>22</v>
      </c>
      <c r="AH226">
        <v>7</v>
      </c>
      <c r="AI226">
        <f t="shared" si="83"/>
        <v>17.415094339622641</v>
      </c>
      <c r="AJ226">
        <f t="shared" si="84"/>
        <v>8.3018867924528301</v>
      </c>
      <c r="AK226" t="s">
        <v>319</v>
      </c>
      <c r="AL226">
        <v>246</v>
      </c>
      <c r="AM226" t="s">
        <v>140</v>
      </c>
      <c r="AN226" t="s">
        <v>320</v>
      </c>
      <c r="AO226">
        <v>4.75</v>
      </c>
    </row>
    <row r="227" spans="1:41" ht="15.6">
      <c r="A227">
        <v>7</v>
      </c>
      <c r="B227" t="s">
        <v>265</v>
      </c>
      <c r="C227" t="s">
        <v>477</v>
      </c>
      <c r="D227" s="3">
        <v>43</v>
      </c>
      <c r="E227" s="3">
        <v>25</v>
      </c>
      <c r="F227">
        <v>2021</v>
      </c>
      <c r="G227">
        <f t="shared" si="77"/>
        <v>4</v>
      </c>
      <c r="H227">
        <v>0.43</v>
      </c>
      <c r="I227">
        <v>2.96</v>
      </c>
      <c r="J227">
        <f t="shared" si="79"/>
        <v>53</v>
      </c>
      <c r="K227">
        <v>6</v>
      </c>
      <c r="L227">
        <v>5</v>
      </c>
      <c r="M227" s="12">
        <f t="shared" si="80"/>
        <v>4.1269706232638903</v>
      </c>
      <c r="N227">
        <f t="shared" si="78"/>
        <v>0.11538287371689877</v>
      </c>
      <c r="O227">
        <v>0.84</v>
      </c>
      <c r="P227" t="s">
        <v>290</v>
      </c>
      <c r="Q227" t="s">
        <v>412</v>
      </c>
      <c r="R227">
        <f>IF(Q227="Nature", IF(Y227=2010, 16.465, IF(Y227=2011, 17.598, IF(Y227=2012, 17.546, ""))), IF(Q227="Cell", IF(Y227=2010, 25.629, IF(Y227=2011, 25.74, IF(Y227=2012, 25.117, ""))), ""))</f>
        <v>17.597999999999999</v>
      </c>
      <c r="S227">
        <f t="shared" si="81"/>
        <v>17.416283018867937</v>
      </c>
      <c r="U227">
        <v>31</v>
      </c>
      <c r="W227">
        <f t="shared" si="82"/>
        <v>36.358490566037737</v>
      </c>
      <c r="Y227">
        <v>2011</v>
      </c>
      <c r="Z227">
        <f>2025-AVERAGE($Y$203:$Y$255)</f>
        <v>13.962264150943383</v>
      </c>
      <c r="AE227">
        <v>1</v>
      </c>
      <c r="AF227" t="s">
        <v>138</v>
      </c>
      <c r="AG227">
        <v>17</v>
      </c>
      <c r="AH227">
        <v>11</v>
      </c>
      <c r="AI227">
        <f t="shared" si="83"/>
        <v>17.415094339622641</v>
      </c>
      <c r="AJ227">
        <f t="shared" si="84"/>
        <v>8.3018867924528301</v>
      </c>
      <c r="AK227" t="s">
        <v>319</v>
      </c>
      <c r="AL227">
        <v>246</v>
      </c>
      <c r="AM227" t="s">
        <v>140</v>
      </c>
      <c r="AN227" t="s">
        <v>320</v>
      </c>
      <c r="AO227">
        <v>4.75</v>
      </c>
    </row>
    <row r="228" spans="1:41" ht="15.6">
      <c r="A228">
        <v>7</v>
      </c>
      <c r="B228" t="s">
        <v>265</v>
      </c>
      <c r="C228" t="s">
        <v>477</v>
      </c>
      <c r="D228" s="3">
        <v>43</v>
      </c>
      <c r="E228" s="3">
        <v>25</v>
      </c>
      <c r="F228">
        <v>2021</v>
      </c>
      <c r="G228">
        <f t="shared" si="77"/>
        <v>4</v>
      </c>
      <c r="H228">
        <v>0.43</v>
      </c>
      <c r="I228">
        <v>2.96</v>
      </c>
      <c r="J228">
        <f t="shared" si="79"/>
        <v>53</v>
      </c>
      <c r="K228">
        <v>6</v>
      </c>
      <c r="L228">
        <v>5</v>
      </c>
      <c r="M228" s="12">
        <f t="shared" si="80"/>
        <v>4.1269706232638903</v>
      </c>
      <c r="N228">
        <f t="shared" si="78"/>
        <v>0.11538287371689877</v>
      </c>
      <c r="O228">
        <v>0.84</v>
      </c>
      <c r="P228" t="s">
        <v>291</v>
      </c>
      <c r="Q228" t="s">
        <v>412</v>
      </c>
      <c r="R228">
        <f>IF(Q228="Nature", IF(Y228=2010, 16.465, IF(Y228=2011, 17.598, IF(Y228=2012, 17.546, ""))), IF(Q228="Cell", IF(Y228=2010, 25.629, IF(Y228=2011, 25.74, IF(Y228=2012, 25.117, ""))), ""))</f>
        <v>17.597999999999999</v>
      </c>
      <c r="S228">
        <f t="shared" si="81"/>
        <v>17.416283018867937</v>
      </c>
      <c r="U228">
        <v>29</v>
      </c>
      <c r="W228">
        <f t="shared" si="82"/>
        <v>36.358490566037737</v>
      </c>
      <c r="Y228">
        <v>2011</v>
      </c>
      <c r="Z228">
        <f>2025-AVERAGE($Y$203:$Y$255)</f>
        <v>13.962264150943383</v>
      </c>
      <c r="AE228">
        <v>1</v>
      </c>
      <c r="AF228" t="s">
        <v>138</v>
      </c>
      <c r="AG228">
        <v>8</v>
      </c>
      <c r="AH228">
        <v>10</v>
      </c>
      <c r="AI228">
        <f t="shared" si="83"/>
        <v>17.415094339622641</v>
      </c>
      <c r="AJ228">
        <f t="shared" si="84"/>
        <v>8.3018867924528301</v>
      </c>
      <c r="AK228" t="s">
        <v>319</v>
      </c>
      <c r="AL228">
        <v>246</v>
      </c>
      <c r="AM228" t="s">
        <v>140</v>
      </c>
      <c r="AN228" t="s">
        <v>320</v>
      </c>
      <c r="AO228">
        <v>4.75</v>
      </c>
    </row>
    <row r="229" spans="1:41" ht="15.6">
      <c r="A229">
        <v>7</v>
      </c>
      <c r="B229" t="s">
        <v>265</v>
      </c>
      <c r="C229" t="s">
        <v>477</v>
      </c>
      <c r="D229" s="3">
        <v>43</v>
      </c>
      <c r="E229" s="3">
        <v>25</v>
      </c>
      <c r="F229">
        <v>2021</v>
      </c>
      <c r="G229">
        <f t="shared" si="77"/>
        <v>4</v>
      </c>
      <c r="H229">
        <v>0.43</v>
      </c>
      <c r="I229">
        <v>2.96</v>
      </c>
      <c r="J229">
        <f t="shared" si="79"/>
        <v>53</v>
      </c>
      <c r="K229">
        <v>6</v>
      </c>
      <c r="L229">
        <v>5</v>
      </c>
      <c r="M229" s="12">
        <f t="shared" si="80"/>
        <v>4.1269706232638903</v>
      </c>
      <c r="N229">
        <f t="shared" si="78"/>
        <v>0.11538287371689877</v>
      </c>
      <c r="O229">
        <v>0.84</v>
      </c>
      <c r="P229" t="s">
        <v>292</v>
      </c>
      <c r="Q229" t="s">
        <v>482</v>
      </c>
      <c r="R229">
        <v>9.8079999999999998</v>
      </c>
      <c r="S229">
        <f t="shared" si="81"/>
        <v>17.416283018867937</v>
      </c>
      <c r="U229">
        <v>39</v>
      </c>
      <c r="W229">
        <f t="shared" si="82"/>
        <v>36.358490566037737</v>
      </c>
      <c r="Y229">
        <v>2011</v>
      </c>
      <c r="Z229">
        <f>2025-AVERAGE($Y$203:$Y$255)</f>
        <v>13.962264150943383</v>
      </c>
      <c r="AE229">
        <v>1</v>
      </c>
      <c r="AF229" t="s">
        <v>138</v>
      </c>
      <c r="AG229">
        <v>15</v>
      </c>
      <c r="AH229">
        <v>10</v>
      </c>
      <c r="AI229">
        <f t="shared" si="83"/>
        <v>17.415094339622641</v>
      </c>
      <c r="AJ229">
        <f t="shared" si="84"/>
        <v>8.3018867924528301</v>
      </c>
      <c r="AK229" t="s">
        <v>319</v>
      </c>
      <c r="AL229">
        <v>246</v>
      </c>
      <c r="AM229" t="s">
        <v>140</v>
      </c>
      <c r="AN229" t="s">
        <v>320</v>
      </c>
      <c r="AO229">
        <v>4.75</v>
      </c>
    </row>
    <row r="230" spans="1:41" ht="15.6">
      <c r="A230">
        <v>7</v>
      </c>
      <c r="B230" t="s">
        <v>265</v>
      </c>
      <c r="C230" t="s">
        <v>477</v>
      </c>
      <c r="D230" s="3">
        <v>43</v>
      </c>
      <c r="E230" s="3">
        <v>25</v>
      </c>
      <c r="F230">
        <v>2021</v>
      </c>
      <c r="G230">
        <f t="shared" si="77"/>
        <v>4</v>
      </c>
      <c r="H230">
        <v>0.43</v>
      </c>
      <c r="I230">
        <v>2.96</v>
      </c>
      <c r="J230">
        <f t="shared" si="79"/>
        <v>53</v>
      </c>
      <c r="K230">
        <v>6</v>
      </c>
      <c r="L230">
        <v>5</v>
      </c>
      <c r="M230" s="12">
        <f t="shared" si="80"/>
        <v>4.1269706232638903</v>
      </c>
      <c r="N230">
        <f t="shared" si="78"/>
        <v>0.11538287371689877</v>
      </c>
      <c r="O230">
        <v>0.84</v>
      </c>
      <c r="P230" t="s">
        <v>293</v>
      </c>
      <c r="Q230" t="s">
        <v>412</v>
      </c>
      <c r="R230">
        <f>IF(Q230="Nature", IF(Y230=2010, 16.465, IF(Y230=2011, 17.598, IF(Y230=2012, 17.546, ""))), IF(Q230="Cell", IF(Y230=2010, 25.629, IF(Y230=2011, 25.74, IF(Y230=2012, 25.117, ""))), ""))</f>
        <v>17.597999999999999</v>
      </c>
      <c r="S230">
        <f t="shared" si="81"/>
        <v>17.416283018867937</v>
      </c>
      <c r="U230">
        <v>21</v>
      </c>
      <c r="W230">
        <f t="shared" si="82"/>
        <v>36.358490566037737</v>
      </c>
      <c r="Y230">
        <v>2011</v>
      </c>
      <c r="Z230">
        <f>2025-AVERAGE($Y$203:$Y$255)</f>
        <v>13.962264150943383</v>
      </c>
      <c r="AA230">
        <v>0.12964614249999998</v>
      </c>
      <c r="AB230">
        <v>0.63854845999999998</v>
      </c>
      <c r="AC230">
        <v>-9.2999999999999999E-2</v>
      </c>
      <c r="AD230" s="3">
        <v>-9.2999999999999999E-2</v>
      </c>
      <c r="AE230">
        <v>1</v>
      </c>
      <c r="AF230" t="s">
        <v>138</v>
      </c>
      <c r="AG230">
        <v>27</v>
      </c>
      <c r="AH230">
        <v>9</v>
      </c>
      <c r="AI230">
        <f t="shared" si="83"/>
        <v>17.415094339622641</v>
      </c>
      <c r="AJ230">
        <f t="shared" si="84"/>
        <v>8.3018867924528301</v>
      </c>
      <c r="AK230" t="s">
        <v>319</v>
      </c>
      <c r="AL230">
        <v>246</v>
      </c>
      <c r="AM230" t="s">
        <v>140</v>
      </c>
      <c r="AN230" t="s">
        <v>320</v>
      </c>
      <c r="AO230">
        <v>4.75</v>
      </c>
    </row>
    <row r="231" spans="1:41" ht="15.6">
      <c r="A231">
        <v>7</v>
      </c>
      <c r="B231" t="s">
        <v>265</v>
      </c>
      <c r="C231" t="s">
        <v>477</v>
      </c>
      <c r="D231" s="3">
        <v>43</v>
      </c>
      <c r="E231" s="3">
        <v>25</v>
      </c>
      <c r="F231">
        <v>2021</v>
      </c>
      <c r="G231">
        <f t="shared" si="77"/>
        <v>4</v>
      </c>
      <c r="H231">
        <v>0.43</v>
      </c>
      <c r="I231">
        <v>2.96</v>
      </c>
      <c r="J231">
        <f t="shared" si="79"/>
        <v>53</v>
      </c>
      <c r="K231">
        <v>6</v>
      </c>
      <c r="L231">
        <v>5</v>
      </c>
      <c r="M231" s="12">
        <f t="shared" si="80"/>
        <v>4.1269706232638903</v>
      </c>
      <c r="N231">
        <f t="shared" si="78"/>
        <v>0.11538287371689877</v>
      </c>
      <c r="O231">
        <v>0.84</v>
      </c>
      <c r="P231" t="s">
        <v>294</v>
      </c>
      <c r="Q231" t="s">
        <v>412</v>
      </c>
      <c r="R231">
        <f>IF(Q231="Nature", IF(Y231=2010, 16.465, IF(Y231=2011, 17.598, IF(Y231=2012, 17.546, ""))), IF(Q231="Cell", IF(Y231=2010, 25.629, IF(Y231=2011, 25.74, IF(Y231=2012, 25.117, ""))), ""))</f>
        <v>17.597999999999999</v>
      </c>
      <c r="S231">
        <f t="shared" si="81"/>
        <v>17.416283018867937</v>
      </c>
      <c r="U231">
        <v>26</v>
      </c>
      <c r="W231">
        <f t="shared" si="82"/>
        <v>36.358490566037737</v>
      </c>
      <c r="Y231">
        <v>2011</v>
      </c>
      <c r="Z231">
        <f>2025-AVERAGE($Y$203:$Y$255)</f>
        <v>13.962264150943383</v>
      </c>
      <c r="AA231">
        <v>4.2760780550000002E-2</v>
      </c>
      <c r="AB231">
        <v>0.22880340716666669</v>
      </c>
      <c r="AC231">
        <v>5.5</v>
      </c>
      <c r="AD231" s="3">
        <v>5.5</v>
      </c>
      <c r="AE231">
        <v>1</v>
      </c>
      <c r="AF231" t="s">
        <v>138</v>
      </c>
      <c r="AG231">
        <v>9</v>
      </c>
      <c r="AH231">
        <v>6</v>
      </c>
      <c r="AI231">
        <f t="shared" si="83"/>
        <v>17.415094339622641</v>
      </c>
      <c r="AJ231">
        <f t="shared" si="84"/>
        <v>8.3018867924528301</v>
      </c>
      <c r="AK231" t="s">
        <v>319</v>
      </c>
      <c r="AL231">
        <v>246</v>
      </c>
      <c r="AM231" t="s">
        <v>140</v>
      </c>
      <c r="AN231" t="s">
        <v>320</v>
      </c>
      <c r="AO231">
        <v>4.75</v>
      </c>
    </row>
    <row r="232" spans="1:41" ht="15.6">
      <c r="A232">
        <v>7</v>
      </c>
      <c r="B232" t="s">
        <v>265</v>
      </c>
      <c r="C232" t="s">
        <v>477</v>
      </c>
      <c r="D232" s="3">
        <v>43</v>
      </c>
      <c r="E232" s="3">
        <v>25</v>
      </c>
      <c r="F232">
        <v>2021</v>
      </c>
      <c r="G232">
        <f t="shared" si="77"/>
        <v>4</v>
      </c>
      <c r="H232">
        <v>0.43</v>
      </c>
      <c r="I232">
        <v>2.96</v>
      </c>
      <c r="J232">
        <f t="shared" si="79"/>
        <v>53</v>
      </c>
      <c r="K232">
        <v>6</v>
      </c>
      <c r="L232">
        <v>5</v>
      </c>
      <c r="M232" s="12">
        <f t="shared" si="80"/>
        <v>4.1269706232638903</v>
      </c>
      <c r="N232">
        <f t="shared" si="78"/>
        <v>0.11538287371689877</v>
      </c>
      <c r="O232">
        <v>0.84</v>
      </c>
      <c r="P232" t="s">
        <v>295</v>
      </c>
      <c r="Q232" t="s">
        <v>478</v>
      </c>
      <c r="R232">
        <f>IF(Q232="Nature", IF(Y232=2010, 16.465, IF(Y232=2011, 17.598, IF(Y232=2012, 17.546, ""))), IF(Q232="Cell", IF(Y232=2010, 25.629, IF(Y232=2011, 25.74, IF(Y232=2012, 25.117, ""))), ""))</f>
        <v>25.74</v>
      </c>
      <c r="S232">
        <f t="shared" si="81"/>
        <v>17.416283018867937</v>
      </c>
      <c r="U232">
        <v>44</v>
      </c>
      <c r="W232">
        <f t="shared" si="82"/>
        <v>36.358490566037737</v>
      </c>
      <c r="Y232">
        <v>2011</v>
      </c>
      <c r="Z232">
        <f>2025-AVERAGE($Y$203:$Y$255)</f>
        <v>13.962264150943383</v>
      </c>
      <c r="AE232">
        <v>1</v>
      </c>
      <c r="AF232" t="s">
        <v>138</v>
      </c>
      <c r="AG232">
        <v>11</v>
      </c>
      <c r="AH232">
        <v>10</v>
      </c>
      <c r="AI232">
        <f t="shared" si="83"/>
        <v>17.415094339622641</v>
      </c>
      <c r="AJ232">
        <f t="shared" si="84"/>
        <v>8.3018867924528301</v>
      </c>
      <c r="AK232" t="s">
        <v>319</v>
      </c>
      <c r="AL232">
        <v>246</v>
      </c>
      <c r="AM232" t="s">
        <v>140</v>
      </c>
      <c r="AN232" t="s">
        <v>320</v>
      </c>
      <c r="AO232">
        <v>4.75</v>
      </c>
    </row>
    <row r="233" spans="1:41" ht="15.6">
      <c r="A233">
        <v>7</v>
      </c>
      <c r="B233" t="s">
        <v>265</v>
      </c>
      <c r="C233" t="s">
        <v>477</v>
      </c>
      <c r="D233" s="3">
        <v>43</v>
      </c>
      <c r="E233" s="3">
        <v>25</v>
      </c>
      <c r="F233">
        <v>2021</v>
      </c>
      <c r="G233">
        <f t="shared" si="77"/>
        <v>4</v>
      </c>
      <c r="H233">
        <v>0.43</v>
      </c>
      <c r="I233">
        <v>2.96</v>
      </c>
      <c r="J233">
        <f t="shared" si="79"/>
        <v>53</v>
      </c>
      <c r="K233">
        <v>6</v>
      </c>
      <c r="L233">
        <v>5</v>
      </c>
      <c r="M233" s="12">
        <f t="shared" si="80"/>
        <v>4.1269706232638903</v>
      </c>
      <c r="N233">
        <f t="shared" si="78"/>
        <v>0.11538287371689877</v>
      </c>
      <c r="O233">
        <v>0.84</v>
      </c>
      <c r="P233" t="s">
        <v>296</v>
      </c>
      <c r="Q233" t="s">
        <v>483</v>
      </c>
      <c r="R233">
        <v>6.8639999999999999</v>
      </c>
      <c r="S233">
        <f t="shared" si="81"/>
        <v>17.416283018867937</v>
      </c>
      <c r="U233">
        <v>34</v>
      </c>
      <c r="W233">
        <f t="shared" si="82"/>
        <v>36.358490566037737</v>
      </c>
      <c r="Y233">
        <v>2011</v>
      </c>
      <c r="Z233">
        <f>2025-AVERAGE($Y$203:$Y$255)</f>
        <v>13.962264150943383</v>
      </c>
      <c r="AE233">
        <v>1</v>
      </c>
      <c r="AF233" t="s">
        <v>138</v>
      </c>
      <c r="AG233">
        <v>14</v>
      </c>
      <c r="AH233">
        <v>6</v>
      </c>
      <c r="AI233">
        <f t="shared" si="83"/>
        <v>17.415094339622641</v>
      </c>
      <c r="AJ233">
        <f t="shared" si="84"/>
        <v>8.3018867924528301</v>
      </c>
      <c r="AK233" t="s">
        <v>319</v>
      </c>
      <c r="AL233">
        <v>246</v>
      </c>
      <c r="AM233" t="s">
        <v>140</v>
      </c>
      <c r="AN233" t="s">
        <v>320</v>
      </c>
      <c r="AO233">
        <v>4.75</v>
      </c>
    </row>
    <row r="234" spans="1:41" ht="15.6">
      <c r="A234">
        <v>7</v>
      </c>
      <c r="B234" t="s">
        <v>265</v>
      </c>
      <c r="C234" t="s">
        <v>477</v>
      </c>
      <c r="D234" s="3">
        <v>43</v>
      </c>
      <c r="E234" s="3">
        <v>25</v>
      </c>
      <c r="F234">
        <v>2021</v>
      </c>
      <c r="G234">
        <f t="shared" si="77"/>
        <v>4</v>
      </c>
      <c r="H234">
        <v>0.43</v>
      </c>
      <c r="I234">
        <v>2.96</v>
      </c>
      <c r="J234">
        <f t="shared" si="79"/>
        <v>53</v>
      </c>
      <c r="K234">
        <v>6</v>
      </c>
      <c r="L234">
        <v>5</v>
      </c>
      <c r="M234" s="12">
        <f t="shared" si="80"/>
        <v>4.1269706232638903</v>
      </c>
      <c r="N234">
        <f t="shared" si="78"/>
        <v>0.11538287371689877</v>
      </c>
      <c r="O234">
        <v>0.84</v>
      </c>
      <c r="P234" t="s">
        <v>297</v>
      </c>
      <c r="Q234" t="s">
        <v>412</v>
      </c>
      <c r="R234">
        <f>IF(Q234="Nature", IF(Y234=2010, 16.465, IF(Y234=2011, 17.598, IF(Y234=2012, 17.546, ""))), IF(Q234="Cell", IF(Y234=2010, 25.629, IF(Y234=2011, 25.74, IF(Y234=2012, 25.117, ""))), ""))</f>
        <v>17.597999999999999</v>
      </c>
      <c r="S234">
        <f t="shared" si="81"/>
        <v>17.416283018867937</v>
      </c>
      <c r="U234">
        <v>34</v>
      </c>
      <c r="W234">
        <f t="shared" si="82"/>
        <v>36.358490566037737</v>
      </c>
      <c r="Y234">
        <v>2011</v>
      </c>
      <c r="Z234">
        <f>2025-AVERAGE($Y$203:$Y$255)</f>
        <v>13.962264150943383</v>
      </c>
      <c r="AE234">
        <v>1</v>
      </c>
      <c r="AF234" t="s">
        <v>138</v>
      </c>
      <c r="AG234">
        <v>19</v>
      </c>
      <c r="AH234">
        <v>6</v>
      </c>
      <c r="AI234">
        <f t="shared" si="83"/>
        <v>17.415094339622641</v>
      </c>
      <c r="AJ234">
        <f t="shared" si="84"/>
        <v>8.3018867924528301</v>
      </c>
      <c r="AK234" t="s">
        <v>319</v>
      </c>
      <c r="AL234">
        <v>246</v>
      </c>
      <c r="AM234" t="s">
        <v>140</v>
      </c>
      <c r="AN234" t="s">
        <v>320</v>
      </c>
      <c r="AO234">
        <v>4.75</v>
      </c>
    </row>
    <row r="235" spans="1:41" ht="15.6">
      <c r="A235">
        <v>7</v>
      </c>
      <c r="B235" t="s">
        <v>265</v>
      </c>
      <c r="C235" t="s">
        <v>477</v>
      </c>
      <c r="D235" s="3">
        <v>43</v>
      </c>
      <c r="E235" s="3">
        <v>25</v>
      </c>
      <c r="F235">
        <v>2021</v>
      </c>
      <c r="G235">
        <f t="shared" si="77"/>
        <v>4</v>
      </c>
      <c r="H235">
        <v>0.43</v>
      </c>
      <c r="I235">
        <v>2.96</v>
      </c>
      <c r="J235">
        <f t="shared" si="79"/>
        <v>53</v>
      </c>
      <c r="K235">
        <v>6</v>
      </c>
      <c r="L235">
        <v>5</v>
      </c>
      <c r="M235" s="12">
        <f t="shared" si="80"/>
        <v>4.1269706232638903</v>
      </c>
      <c r="N235">
        <f t="shared" ref="N235:N255" si="85">$O$203/SQRT($J$203)</f>
        <v>0.11538287371689877</v>
      </c>
      <c r="O235">
        <v>0.84</v>
      </c>
      <c r="P235" t="s">
        <v>298</v>
      </c>
      <c r="Q235" t="s">
        <v>412</v>
      </c>
      <c r="R235">
        <f>IF(Q235="Nature", IF(Y235=2010, 16.465, IF(Y235=2011, 17.598, IF(Y235=2012, 17.546, ""))), IF(Q235="Cell", IF(Y235=2010, 25.629, IF(Y235=2011, 25.74, IF(Y235=2012, 25.117, ""))), ""))</f>
        <v>17.597999999999999</v>
      </c>
      <c r="S235">
        <f t="shared" si="81"/>
        <v>17.416283018867937</v>
      </c>
      <c r="U235">
        <v>21</v>
      </c>
      <c r="W235">
        <f t="shared" si="82"/>
        <v>36.358490566037737</v>
      </c>
      <c r="Y235">
        <v>2011</v>
      </c>
      <c r="Z235">
        <f>2025-AVERAGE($Y$203:$Y$255)</f>
        <v>13.962264150943383</v>
      </c>
      <c r="AE235">
        <v>1</v>
      </c>
      <c r="AF235" t="s">
        <v>138</v>
      </c>
      <c r="AG235">
        <v>25</v>
      </c>
      <c r="AH235">
        <v>15</v>
      </c>
      <c r="AI235">
        <f t="shared" si="83"/>
        <v>17.415094339622641</v>
      </c>
      <c r="AJ235">
        <f t="shared" si="84"/>
        <v>8.3018867924528301</v>
      </c>
      <c r="AK235" t="s">
        <v>319</v>
      </c>
      <c r="AL235">
        <v>246</v>
      </c>
      <c r="AM235" t="s">
        <v>140</v>
      </c>
      <c r="AN235" t="s">
        <v>320</v>
      </c>
      <c r="AO235">
        <v>4.75</v>
      </c>
    </row>
    <row r="236" spans="1:41" ht="15.6">
      <c r="A236">
        <v>7</v>
      </c>
      <c r="B236" t="s">
        <v>265</v>
      </c>
      <c r="C236" t="s">
        <v>477</v>
      </c>
      <c r="D236" s="3">
        <v>43</v>
      </c>
      <c r="E236" s="3">
        <v>25</v>
      </c>
      <c r="F236">
        <v>2021</v>
      </c>
      <c r="G236">
        <f t="shared" si="77"/>
        <v>4</v>
      </c>
      <c r="H236">
        <v>0.43</v>
      </c>
      <c r="I236">
        <v>2.96</v>
      </c>
      <c r="J236">
        <f t="shared" si="79"/>
        <v>53</v>
      </c>
      <c r="K236">
        <v>6</v>
      </c>
      <c r="L236">
        <v>5</v>
      </c>
      <c r="M236" s="12">
        <f t="shared" si="80"/>
        <v>4.1269706232638903</v>
      </c>
      <c r="N236">
        <f t="shared" si="85"/>
        <v>0.11538287371689877</v>
      </c>
      <c r="O236">
        <v>0.84</v>
      </c>
      <c r="P236" t="s">
        <v>299</v>
      </c>
      <c r="Q236" t="s">
        <v>412</v>
      </c>
      <c r="R236">
        <f>IF(Q236="Nature", IF(Y236=2010, 16.465, IF(Y236=2011, 17.598, IF(Y236=2012, 17.546, ""))), IF(Q236="Cell", IF(Y236=2010, 25.629, IF(Y236=2011, 25.74, IF(Y236=2012, 25.117, ""))), ""))</f>
        <v>17.545999999999999</v>
      </c>
      <c r="S236">
        <f t="shared" si="81"/>
        <v>17.416283018867937</v>
      </c>
      <c r="U236">
        <v>19</v>
      </c>
      <c r="W236">
        <f t="shared" si="82"/>
        <v>36.358490566037737</v>
      </c>
      <c r="Y236">
        <v>2012</v>
      </c>
      <c r="Z236">
        <f>2025-AVERAGE($Y$203:$Y$255)</f>
        <v>13.962264150943383</v>
      </c>
      <c r="AE236">
        <v>1</v>
      </c>
      <c r="AF236" t="s">
        <v>138</v>
      </c>
      <c r="AG236">
        <v>7</v>
      </c>
      <c r="AH236">
        <v>6</v>
      </c>
      <c r="AI236">
        <f t="shared" si="83"/>
        <v>17.415094339622641</v>
      </c>
      <c r="AJ236">
        <f t="shared" si="84"/>
        <v>8.3018867924528301</v>
      </c>
      <c r="AK236" t="s">
        <v>319</v>
      </c>
      <c r="AL236">
        <v>246</v>
      </c>
      <c r="AM236" t="s">
        <v>140</v>
      </c>
      <c r="AN236" t="s">
        <v>320</v>
      </c>
      <c r="AO236">
        <v>4.75</v>
      </c>
    </row>
    <row r="237" spans="1:41" ht="15.6">
      <c r="A237">
        <v>7</v>
      </c>
      <c r="B237" t="s">
        <v>265</v>
      </c>
      <c r="C237" t="s">
        <v>477</v>
      </c>
      <c r="D237" s="3">
        <v>43</v>
      </c>
      <c r="E237" s="3">
        <v>25</v>
      </c>
      <c r="F237">
        <v>2021</v>
      </c>
      <c r="G237">
        <f t="shared" si="77"/>
        <v>4</v>
      </c>
      <c r="H237">
        <v>0.43</v>
      </c>
      <c r="I237">
        <v>2.96</v>
      </c>
      <c r="J237">
        <f t="shared" si="79"/>
        <v>53</v>
      </c>
      <c r="K237">
        <v>6</v>
      </c>
      <c r="L237">
        <v>5</v>
      </c>
      <c r="M237" s="12">
        <f t="shared" si="80"/>
        <v>4.1269706232638903</v>
      </c>
      <c r="N237">
        <f t="shared" si="85"/>
        <v>0.11538287371689877</v>
      </c>
      <c r="O237">
        <v>0.84</v>
      </c>
      <c r="P237" t="s">
        <v>300</v>
      </c>
      <c r="Q237" t="s">
        <v>412</v>
      </c>
      <c r="R237">
        <f>IF(Q237="Nature", IF(Y237=2010, 16.465, IF(Y237=2011, 17.598, IF(Y237=2012, 17.546, ""))), IF(Q237="Cell", IF(Y237=2010, 25.629, IF(Y237=2011, 25.74, IF(Y237=2012, 25.117, ""))), ""))</f>
        <v>17.545999999999999</v>
      </c>
      <c r="S237">
        <f t="shared" si="81"/>
        <v>17.416283018867937</v>
      </c>
      <c r="U237">
        <v>26</v>
      </c>
      <c r="W237">
        <f t="shared" si="82"/>
        <v>36.358490566037737</v>
      </c>
      <c r="Y237">
        <v>2012</v>
      </c>
      <c r="Z237">
        <f>2025-AVERAGE($Y$203:$Y$255)</f>
        <v>13.962264150943383</v>
      </c>
      <c r="AE237">
        <v>1</v>
      </c>
      <c r="AF237" t="s">
        <v>138</v>
      </c>
      <c r="AG237">
        <v>5</v>
      </c>
      <c r="AH237">
        <v>6</v>
      </c>
      <c r="AI237">
        <f t="shared" si="83"/>
        <v>17.415094339622641</v>
      </c>
      <c r="AJ237">
        <f t="shared" si="84"/>
        <v>8.3018867924528301</v>
      </c>
      <c r="AK237" t="s">
        <v>319</v>
      </c>
      <c r="AL237">
        <v>246</v>
      </c>
      <c r="AM237" t="s">
        <v>140</v>
      </c>
      <c r="AN237" t="s">
        <v>320</v>
      </c>
      <c r="AO237">
        <v>4.75</v>
      </c>
    </row>
    <row r="238" spans="1:41" ht="15.6">
      <c r="A238">
        <v>7</v>
      </c>
      <c r="B238" t="s">
        <v>265</v>
      </c>
      <c r="C238" t="s">
        <v>477</v>
      </c>
      <c r="D238" s="3">
        <v>43</v>
      </c>
      <c r="E238" s="3">
        <v>25</v>
      </c>
      <c r="F238">
        <v>2021</v>
      </c>
      <c r="G238">
        <f t="shared" si="77"/>
        <v>4</v>
      </c>
      <c r="H238">
        <v>0.43</v>
      </c>
      <c r="I238">
        <v>2.96</v>
      </c>
      <c r="J238">
        <f t="shared" si="79"/>
        <v>53</v>
      </c>
      <c r="K238">
        <v>6</v>
      </c>
      <c r="L238">
        <v>5</v>
      </c>
      <c r="M238" s="12">
        <f t="shared" si="80"/>
        <v>4.1269706232638903</v>
      </c>
      <c r="N238">
        <f t="shared" si="85"/>
        <v>0.11538287371689877</v>
      </c>
      <c r="O238">
        <v>0.84</v>
      </c>
      <c r="P238" t="s">
        <v>301</v>
      </c>
      <c r="Q238" t="s">
        <v>412</v>
      </c>
      <c r="R238">
        <f>IF(Q238="Nature", IF(Y238=2010, 16.465, IF(Y238=2011, 17.598, IF(Y238=2012, 17.546, ""))), IF(Q238="Cell", IF(Y238=2010, 25.629, IF(Y238=2011, 25.74, IF(Y238=2012, 25.117, ""))), ""))</f>
        <v>17.545999999999999</v>
      </c>
      <c r="S238">
        <f t="shared" si="81"/>
        <v>17.416283018867937</v>
      </c>
      <c r="U238">
        <v>38</v>
      </c>
      <c r="W238">
        <f t="shared" si="82"/>
        <v>36.358490566037737</v>
      </c>
      <c r="Y238">
        <v>2012</v>
      </c>
      <c r="Z238">
        <f>2025-AVERAGE($Y$203:$Y$255)</f>
        <v>13.962264150943383</v>
      </c>
      <c r="AE238">
        <v>1</v>
      </c>
      <c r="AF238" t="s">
        <v>138</v>
      </c>
      <c r="AG238">
        <v>54</v>
      </c>
      <c r="AH238">
        <v>8</v>
      </c>
      <c r="AI238">
        <f t="shared" si="83"/>
        <v>17.415094339622641</v>
      </c>
      <c r="AJ238">
        <f t="shared" si="84"/>
        <v>8.3018867924528301</v>
      </c>
      <c r="AK238" t="s">
        <v>319</v>
      </c>
      <c r="AL238">
        <v>246</v>
      </c>
      <c r="AM238" t="s">
        <v>140</v>
      </c>
      <c r="AN238" t="s">
        <v>320</v>
      </c>
      <c r="AO238">
        <v>4.75</v>
      </c>
    </row>
    <row r="239" spans="1:41" ht="15.6">
      <c r="A239">
        <v>7</v>
      </c>
      <c r="B239" t="s">
        <v>265</v>
      </c>
      <c r="C239" t="s">
        <v>477</v>
      </c>
      <c r="D239" s="3">
        <v>43</v>
      </c>
      <c r="E239" s="3">
        <v>25</v>
      </c>
      <c r="F239">
        <v>2021</v>
      </c>
      <c r="G239">
        <f t="shared" si="77"/>
        <v>4</v>
      </c>
      <c r="H239">
        <v>0.43</v>
      </c>
      <c r="I239">
        <v>2.96</v>
      </c>
      <c r="J239">
        <f t="shared" si="79"/>
        <v>53</v>
      </c>
      <c r="K239">
        <v>6</v>
      </c>
      <c r="L239">
        <v>5</v>
      </c>
      <c r="M239" s="12">
        <f t="shared" si="80"/>
        <v>4.1269706232638903</v>
      </c>
      <c r="N239">
        <f t="shared" si="85"/>
        <v>0.11538287371689877</v>
      </c>
      <c r="O239">
        <v>0.84</v>
      </c>
      <c r="P239" t="s">
        <v>302</v>
      </c>
      <c r="Q239" t="s">
        <v>111</v>
      </c>
      <c r="R239">
        <v>13.318</v>
      </c>
      <c r="S239">
        <f t="shared" si="81"/>
        <v>17.416283018867937</v>
      </c>
      <c r="U239">
        <v>24</v>
      </c>
      <c r="W239">
        <f t="shared" si="82"/>
        <v>36.358490566037737</v>
      </c>
      <c r="Y239">
        <v>2012</v>
      </c>
      <c r="Z239">
        <f>2025-AVERAGE($Y$203:$Y$255)</f>
        <v>13.962264150943383</v>
      </c>
      <c r="AA239">
        <v>6.614384626E-2</v>
      </c>
      <c r="AB239">
        <v>0.247575455375</v>
      </c>
      <c r="AC239">
        <v>-0.14000000000000001</v>
      </c>
      <c r="AD239" s="3">
        <v>-0.14000000000000001</v>
      </c>
      <c r="AE239">
        <v>1</v>
      </c>
      <c r="AF239" t="s">
        <v>138</v>
      </c>
      <c r="AG239">
        <v>7</v>
      </c>
      <c r="AH239">
        <v>6</v>
      </c>
      <c r="AI239">
        <f t="shared" si="83"/>
        <v>17.415094339622641</v>
      </c>
      <c r="AJ239">
        <f t="shared" si="84"/>
        <v>8.3018867924528301</v>
      </c>
      <c r="AK239" t="s">
        <v>319</v>
      </c>
      <c r="AL239">
        <v>246</v>
      </c>
      <c r="AM239" t="s">
        <v>140</v>
      </c>
      <c r="AN239" t="s">
        <v>320</v>
      </c>
      <c r="AO239">
        <v>4.75</v>
      </c>
    </row>
    <row r="240" spans="1:41" ht="15.6">
      <c r="A240">
        <v>7</v>
      </c>
      <c r="B240" t="s">
        <v>265</v>
      </c>
      <c r="C240" t="s">
        <v>477</v>
      </c>
      <c r="D240" s="3">
        <v>43</v>
      </c>
      <c r="E240" s="3">
        <v>25</v>
      </c>
      <c r="F240">
        <v>2021</v>
      </c>
      <c r="G240">
        <f t="shared" si="77"/>
        <v>4</v>
      </c>
      <c r="H240">
        <v>0.43</v>
      </c>
      <c r="I240">
        <v>2.96</v>
      </c>
      <c r="J240">
        <f t="shared" si="79"/>
        <v>53</v>
      </c>
      <c r="K240">
        <v>6</v>
      </c>
      <c r="L240">
        <v>5</v>
      </c>
      <c r="M240" s="12">
        <f t="shared" si="80"/>
        <v>4.1269706232638903</v>
      </c>
      <c r="N240">
        <f t="shared" si="85"/>
        <v>0.11538287371689877</v>
      </c>
      <c r="O240">
        <v>0.84</v>
      </c>
      <c r="P240" t="s">
        <v>303</v>
      </c>
      <c r="Q240" t="s">
        <v>483</v>
      </c>
      <c r="R240">
        <v>6.8680000000000003</v>
      </c>
      <c r="S240">
        <f t="shared" si="81"/>
        <v>17.416283018867937</v>
      </c>
      <c r="U240">
        <v>48</v>
      </c>
      <c r="W240">
        <f t="shared" si="82"/>
        <v>36.358490566037737</v>
      </c>
      <c r="Y240">
        <v>2012</v>
      </c>
      <c r="Z240">
        <f>2025-AVERAGE($Y$203:$Y$255)</f>
        <v>13.962264150943383</v>
      </c>
      <c r="AE240">
        <v>1</v>
      </c>
      <c r="AF240" t="s">
        <v>138</v>
      </c>
      <c r="AG240">
        <v>44</v>
      </c>
      <c r="AH240">
        <v>5</v>
      </c>
      <c r="AI240">
        <f t="shared" si="83"/>
        <v>17.415094339622641</v>
      </c>
      <c r="AJ240">
        <f t="shared" si="84"/>
        <v>8.3018867924528301</v>
      </c>
      <c r="AK240" t="s">
        <v>319</v>
      </c>
      <c r="AL240">
        <v>246</v>
      </c>
      <c r="AM240" t="s">
        <v>140</v>
      </c>
      <c r="AN240" t="s">
        <v>320</v>
      </c>
      <c r="AO240">
        <v>4.75</v>
      </c>
    </row>
    <row r="241" spans="1:41" ht="15.6">
      <c r="A241">
        <v>7</v>
      </c>
      <c r="B241" t="s">
        <v>265</v>
      </c>
      <c r="C241" t="s">
        <v>477</v>
      </c>
      <c r="D241" s="3">
        <v>43</v>
      </c>
      <c r="E241" s="3">
        <v>25</v>
      </c>
      <c r="F241">
        <v>2021</v>
      </c>
      <c r="G241">
        <f t="shared" si="77"/>
        <v>4</v>
      </c>
      <c r="H241">
        <v>0.43</v>
      </c>
      <c r="I241">
        <v>2.96</v>
      </c>
      <c r="J241">
        <f t="shared" si="79"/>
        <v>53</v>
      </c>
      <c r="K241">
        <v>6</v>
      </c>
      <c r="L241">
        <v>5</v>
      </c>
      <c r="M241" s="12">
        <f t="shared" si="80"/>
        <v>4.1269706232638903</v>
      </c>
      <c r="N241">
        <f t="shared" si="85"/>
        <v>0.11538287371689877</v>
      </c>
      <c r="O241">
        <v>0.84</v>
      </c>
      <c r="P241" t="s">
        <v>304</v>
      </c>
      <c r="Q241" t="s">
        <v>412</v>
      </c>
      <c r="R241">
        <f>IF(Q241="Nature", IF(Y241=2010, 16.465, IF(Y241=2011, 17.598, IF(Y241=2012, 17.546, ""))), IF(Q241="Cell", IF(Y241=2010, 25.629, IF(Y241=2011, 25.74, IF(Y241=2012, 25.117, ""))), ""))</f>
        <v>17.545999999999999</v>
      </c>
      <c r="S241">
        <f t="shared" si="81"/>
        <v>17.416283018867937</v>
      </c>
      <c r="U241">
        <v>30</v>
      </c>
      <c r="W241">
        <f t="shared" si="82"/>
        <v>36.358490566037737</v>
      </c>
      <c r="Y241">
        <v>2012</v>
      </c>
      <c r="Z241">
        <f>2025-AVERAGE($Y$203:$Y$255)</f>
        <v>13.962264150943383</v>
      </c>
      <c r="AA241">
        <v>4.6975300000000001E-3</v>
      </c>
      <c r="AB241">
        <v>0.103811</v>
      </c>
      <c r="AC241">
        <v>-1.1299999999999999</v>
      </c>
      <c r="AD241" s="3">
        <v>-1.1299999999999999</v>
      </c>
      <c r="AE241">
        <v>1</v>
      </c>
      <c r="AF241" t="s">
        <v>138</v>
      </c>
      <c r="AG241">
        <v>19</v>
      </c>
      <c r="AH241">
        <v>10</v>
      </c>
      <c r="AI241">
        <f t="shared" si="83"/>
        <v>17.415094339622641</v>
      </c>
      <c r="AJ241">
        <f t="shared" si="84"/>
        <v>8.3018867924528301</v>
      </c>
      <c r="AK241" t="s">
        <v>319</v>
      </c>
      <c r="AL241">
        <v>246</v>
      </c>
      <c r="AM241" t="s">
        <v>140</v>
      </c>
      <c r="AN241" t="s">
        <v>320</v>
      </c>
      <c r="AO241">
        <v>4.75</v>
      </c>
    </row>
    <row r="242" spans="1:41" ht="15.6">
      <c r="A242">
        <v>7</v>
      </c>
      <c r="B242" t="s">
        <v>265</v>
      </c>
      <c r="C242" t="s">
        <v>477</v>
      </c>
      <c r="D242" s="3">
        <v>43</v>
      </c>
      <c r="E242" s="3">
        <v>25</v>
      </c>
      <c r="F242">
        <v>2021</v>
      </c>
      <c r="G242">
        <f t="shared" si="77"/>
        <v>4</v>
      </c>
      <c r="H242">
        <v>0.43</v>
      </c>
      <c r="I242">
        <v>2.96</v>
      </c>
      <c r="J242">
        <f t="shared" si="79"/>
        <v>53</v>
      </c>
      <c r="K242">
        <v>6</v>
      </c>
      <c r="L242">
        <v>5</v>
      </c>
      <c r="M242" s="12">
        <f t="shared" si="80"/>
        <v>4.1269706232638903</v>
      </c>
      <c r="N242">
        <f t="shared" si="85"/>
        <v>0.11538287371689877</v>
      </c>
      <c r="O242">
        <v>0.84</v>
      </c>
      <c r="P242" t="s">
        <v>305</v>
      </c>
      <c r="Q242" t="s">
        <v>111</v>
      </c>
      <c r="R242">
        <v>13.318</v>
      </c>
      <c r="S242">
        <f t="shared" si="81"/>
        <v>17.416283018867937</v>
      </c>
      <c r="U242">
        <v>25</v>
      </c>
      <c r="W242">
        <f t="shared" si="82"/>
        <v>36.358490566037737</v>
      </c>
      <c r="Y242">
        <v>2012</v>
      </c>
      <c r="Z242">
        <f>2025-AVERAGE($Y$203:$Y$255)</f>
        <v>13.962264150943383</v>
      </c>
      <c r="AE242">
        <v>1</v>
      </c>
      <c r="AF242" t="s">
        <v>138</v>
      </c>
      <c r="AG242">
        <v>17</v>
      </c>
      <c r="AH242">
        <v>8</v>
      </c>
      <c r="AI242">
        <f t="shared" si="83"/>
        <v>17.415094339622641</v>
      </c>
      <c r="AJ242">
        <f t="shared" si="84"/>
        <v>8.3018867924528301</v>
      </c>
      <c r="AK242" t="s">
        <v>319</v>
      </c>
      <c r="AL242">
        <v>246</v>
      </c>
      <c r="AM242" t="s">
        <v>140</v>
      </c>
      <c r="AN242" t="s">
        <v>320</v>
      </c>
      <c r="AO242">
        <v>4.75</v>
      </c>
    </row>
    <row r="243" spans="1:41" ht="15.6">
      <c r="A243">
        <v>7</v>
      </c>
      <c r="B243" t="s">
        <v>265</v>
      </c>
      <c r="C243" t="s">
        <v>477</v>
      </c>
      <c r="D243" s="3">
        <v>43</v>
      </c>
      <c r="E243" s="3">
        <v>25</v>
      </c>
      <c r="F243">
        <v>2021</v>
      </c>
      <c r="G243">
        <f t="shared" si="77"/>
        <v>4</v>
      </c>
      <c r="H243">
        <v>0.43</v>
      </c>
      <c r="I243">
        <v>2.96</v>
      </c>
      <c r="J243">
        <f t="shared" si="79"/>
        <v>53</v>
      </c>
      <c r="K243">
        <v>6</v>
      </c>
      <c r="L243">
        <v>5</v>
      </c>
      <c r="M243" s="12">
        <f t="shared" si="80"/>
        <v>4.1269706232638903</v>
      </c>
      <c r="N243">
        <f t="shared" si="85"/>
        <v>0.11538287371689877</v>
      </c>
      <c r="O243">
        <v>0.84</v>
      </c>
      <c r="P243" t="s">
        <v>306</v>
      </c>
      <c r="Q243" t="s">
        <v>482</v>
      </c>
      <c r="R243">
        <v>8.5250000000000004</v>
      </c>
      <c r="S243">
        <f t="shared" si="81"/>
        <v>17.416283018867937</v>
      </c>
      <c r="U243">
        <v>58</v>
      </c>
      <c r="W243">
        <f t="shared" si="82"/>
        <v>36.358490566037737</v>
      </c>
      <c r="Y243">
        <v>2012</v>
      </c>
      <c r="Z243">
        <f>2025-AVERAGE($Y$203:$Y$255)</f>
        <v>13.962264150943383</v>
      </c>
      <c r="AA243">
        <v>0.54023929999999998</v>
      </c>
      <c r="AB243">
        <v>0.12113765</v>
      </c>
      <c r="AC243">
        <v>1.56</v>
      </c>
      <c r="AD243" s="3">
        <v>1.56</v>
      </c>
      <c r="AE243">
        <v>1</v>
      </c>
      <c r="AF243" t="s">
        <v>138</v>
      </c>
      <c r="AG243">
        <v>25</v>
      </c>
      <c r="AH243">
        <v>11</v>
      </c>
      <c r="AI243">
        <f t="shared" si="83"/>
        <v>17.415094339622641</v>
      </c>
      <c r="AJ243">
        <f t="shared" si="84"/>
        <v>8.3018867924528301</v>
      </c>
      <c r="AK243" t="s">
        <v>319</v>
      </c>
      <c r="AL243">
        <v>246</v>
      </c>
      <c r="AM243" t="s">
        <v>140</v>
      </c>
      <c r="AN243" t="s">
        <v>320</v>
      </c>
      <c r="AO243">
        <v>4.75</v>
      </c>
    </row>
    <row r="244" spans="1:41" ht="15.6">
      <c r="A244">
        <v>7</v>
      </c>
      <c r="B244" t="s">
        <v>265</v>
      </c>
      <c r="C244" t="s">
        <v>477</v>
      </c>
      <c r="D244" s="3">
        <v>43</v>
      </c>
      <c r="E244" s="3">
        <v>25</v>
      </c>
      <c r="F244">
        <v>2021</v>
      </c>
      <c r="G244">
        <f t="shared" si="77"/>
        <v>4</v>
      </c>
      <c r="H244">
        <v>0.43</v>
      </c>
      <c r="I244">
        <v>2.96</v>
      </c>
      <c r="J244">
        <f t="shared" si="79"/>
        <v>53</v>
      </c>
      <c r="K244">
        <v>6</v>
      </c>
      <c r="L244">
        <v>5</v>
      </c>
      <c r="M244" s="12">
        <f t="shared" si="80"/>
        <v>4.1269706232638903</v>
      </c>
      <c r="N244">
        <f t="shared" si="85"/>
        <v>0.11538287371689877</v>
      </c>
      <c r="O244">
        <v>0.84</v>
      </c>
      <c r="P244" t="s">
        <v>307</v>
      </c>
      <c r="Q244" t="s">
        <v>412</v>
      </c>
      <c r="R244">
        <f t="shared" ref="R244:R250" si="86">IF(Q244="Nature", IF(Y244=2010, 16.465, IF(Y244=2011, 17.598, IF(Y244=2012, 17.546, ""))), IF(Q244="Cell", IF(Y244=2010, 25.629, IF(Y244=2011, 25.74, IF(Y244=2012, 25.117, ""))), ""))</f>
        <v>17.545999999999999</v>
      </c>
      <c r="S244">
        <f t="shared" si="81"/>
        <v>17.416283018867937</v>
      </c>
      <c r="U244">
        <v>34</v>
      </c>
      <c r="W244">
        <f t="shared" si="82"/>
        <v>36.358490566037737</v>
      </c>
      <c r="Y244">
        <v>2012</v>
      </c>
      <c r="Z244">
        <f>2025-AVERAGE($Y$203:$Y$255)</f>
        <v>13.962264150943383</v>
      </c>
      <c r="AA244">
        <v>4.8003822500000005E-3</v>
      </c>
      <c r="AB244">
        <v>0.78490887500000006</v>
      </c>
      <c r="AC244">
        <v>0.14699999999999999</v>
      </c>
      <c r="AD244" s="3">
        <v>0.14699999999999999</v>
      </c>
      <c r="AE244">
        <v>1</v>
      </c>
      <c r="AF244" t="s">
        <v>138</v>
      </c>
      <c r="AG244">
        <v>7</v>
      </c>
      <c r="AH244">
        <v>12</v>
      </c>
      <c r="AI244">
        <f t="shared" si="83"/>
        <v>17.415094339622641</v>
      </c>
      <c r="AJ244">
        <f t="shared" si="84"/>
        <v>8.3018867924528301</v>
      </c>
      <c r="AK244" t="s">
        <v>319</v>
      </c>
      <c r="AL244">
        <v>246</v>
      </c>
      <c r="AM244" t="s">
        <v>140</v>
      </c>
      <c r="AN244" t="s">
        <v>320</v>
      </c>
      <c r="AO244">
        <v>4.75</v>
      </c>
    </row>
    <row r="245" spans="1:41" ht="15.6">
      <c r="A245">
        <v>7</v>
      </c>
      <c r="B245" t="s">
        <v>265</v>
      </c>
      <c r="C245" t="s">
        <v>477</v>
      </c>
      <c r="D245" s="3">
        <v>43</v>
      </c>
      <c r="E245" s="3">
        <v>25</v>
      </c>
      <c r="F245">
        <v>2021</v>
      </c>
      <c r="G245">
        <f t="shared" si="77"/>
        <v>4</v>
      </c>
      <c r="H245">
        <v>0.43</v>
      </c>
      <c r="I245">
        <v>2.96</v>
      </c>
      <c r="J245">
        <f t="shared" si="79"/>
        <v>53</v>
      </c>
      <c r="K245">
        <v>6</v>
      </c>
      <c r="L245">
        <v>5</v>
      </c>
      <c r="M245" s="12">
        <f t="shared" si="80"/>
        <v>4.1269706232638903</v>
      </c>
      <c r="N245">
        <f t="shared" si="85"/>
        <v>0.11538287371689877</v>
      </c>
      <c r="O245">
        <v>0.84</v>
      </c>
      <c r="P245" t="s">
        <v>308</v>
      </c>
      <c r="Q245" t="s">
        <v>412</v>
      </c>
      <c r="R245">
        <f t="shared" si="86"/>
        <v>17.545999999999999</v>
      </c>
      <c r="S245">
        <f t="shared" si="81"/>
        <v>17.416283018867937</v>
      </c>
      <c r="U245">
        <v>29</v>
      </c>
      <c r="W245">
        <f t="shared" si="82"/>
        <v>36.358490566037737</v>
      </c>
      <c r="Y245">
        <v>2012</v>
      </c>
      <c r="Z245">
        <f>2025-AVERAGE($Y$203:$Y$255)</f>
        <v>13.962264150943383</v>
      </c>
      <c r="AE245">
        <v>1</v>
      </c>
      <c r="AF245" t="s">
        <v>138</v>
      </c>
      <c r="AG245">
        <v>48</v>
      </c>
      <c r="AH245">
        <v>10</v>
      </c>
      <c r="AI245">
        <f t="shared" si="83"/>
        <v>17.415094339622641</v>
      </c>
      <c r="AJ245">
        <f t="shared" si="84"/>
        <v>8.3018867924528301</v>
      </c>
      <c r="AK245" t="s">
        <v>319</v>
      </c>
      <c r="AL245">
        <v>246</v>
      </c>
      <c r="AM245" t="s">
        <v>140</v>
      </c>
      <c r="AN245" t="s">
        <v>320</v>
      </c>
      <c r="AO245">
        <v>4.75</v>
      </c>
    </row>
    <row r="246" spans="1:41" ht="15.6">
      <c r="A246">
        <v>7</v>
      </c>
      <c r="B246" t="s">
        <v>265</v>
      </c>
      <c r="C246" t="s">
        <v>477</v>
      </c>
      <c r="D246" s="3">
        <v>43</v>
      </c>
      <c r="E246" s="3">
        <v>25</v>
      </c>
      <c r="F246">
        <v>2021</v>
      </c>
      <c r="G246">
        <f t="shared" si="77"/>
        <v>4</v>
      </c>
      <c r="H246">
        <v>0.43</v>
      </c>
      <c r="I246">
        <v>2.96</v>
      </c>
      <c r="J246">
        <f t="shared" si="79"/>
        <v>53</v>
      </c>
      <c r="K246">
        <v>6</v>
      </c>
      <c r="L246">
        <v>5</v>
      </c>
      <c r="M246" s="12">
        <f t="shared" si="80"/>
        <v>4.1269706232638903</v>
      </c>
      <c r="N246">
        <f t="shared" si="85"/>
        <v>0.11538287371689877</v>
      </c>
      <c r="O246">
        <v>0.84</v>
      </c>
      <c r="P246" t="s">
        <v>309</v>
      </c>
      <c r="Q246" t="s">
        <v>412</v>
      </c>
      <c r="R246">
        <f t="shared" si="86"/>
        <v>17.545999999999999</v>
      </c>
      <c r="S246">
        <f t="shared" si="81"/>
        <v>17.416283018867937</v>
      </c>
      <c r="U246">
        <v>22</v>
      </c>
      <c r="W246">
        <f t="shared" si="82"/>
        <v>36.358490566037737</v>
      </c>
      <c r="Y246">
        <v>2012</v>
      </c>
      <c r="Z246">
        <f>2025-AVERAGE($Y$203:$Y$255)</f>
        <v>13.962264150943383</v>
      </c>
      <c r="AA246">
        <v>1.8007568249999998E-2</v>
      </c>
      <c r="AB246">
        <v>0.74297492499999995</v>
      </c>
      <c r="AC246">
        <v>0.89</v>
      </c>
      <c r="AD246" s="3">
        <v>0.89</v>
      </c>
      <c r="AE246">
        <v>1</v>
      </c>
      <c r="AF246" t="s">
        <v>138</v>
      </c>
      <c r="AG246">
        <v>9</v>
      </c>
      <c r="AH246">
        <v>7</v>
      </c>
      <c r="AI246">
        <f t="shared" si="83"/>
        <v>17.415094339622641</v>
      </c>
      <c r="AJ246">
        <f t="shared" si="84"/>
        <v>8.3018867924528301</v>
      </c>
      <c r="AK246" t="s">
        <v>319</v>
      </c>
      <c r="AL246">
        <v>246</v>
      </c>
      <c r="AM246" t="s">
        <v>140</v>
      </c>
      <c r="AN246" t="s">
        <v>320</v>
      </c>
      <c r="AO246">
        <v>4.75</v>
      </c>
    </row>
    <row r="247" spans="1:41" ht="15.6">
      <c r="A247">
        <v>7</v>
      </c>
      <c r="B247" t="s">
        <v>265</v>
      </c>
      <c r="C247" t="s">
        <v>477</v>
      </c>
      <c r="D247" s="3">
        <v>43</v>
      </c>
      <c r="E247" s="3">
        <v>25</v>
      </c>
      <c r="F247">
        <v>2021</v>
      </c>
      <c r="G247">
        <f t="shared" si="77"/>
        <v>4</v>
      </c>
      <c r="H247">
        <v>0.43</v>
      </c>
      <c r="I247">
        <v>2.96</v>
      </c>
      <c r="J247">
        <f t="shared" si="79"/>
        <v>53</v>
      </c>
      <c r="K247">
        <v>6</v>
      </c>
      <c r="L247">
        <v>5</v>
      </c>
      <c r="M247" s="12">
        <f t="shared" si="80"/>
        <v>4.1269706232638903</v>
      </c>
      <c r="N247">
        <f t="shared" si="85"/>
        <v>0.11538287371689877</v>
      </c>
      <c r="O247">
        <v>0.84</v>
      </c>
      <c r="P247" t="s">
        <v>310</v>
      </c>
      <c r="Q247" t="s">
        <v>412</v>
      </c>
      <c r="R247">
        <f t="shared" si="86"/>
        <v>17.545999999999999</v>
      </c>
      <c r="S247">
        <f t="shared" si="81"/>
        <v>17.416283018867937</v>
      </c>
      <c r="U247">
        <v>29</v>
      </c>
      <c r="W247">
        <f t="shared" si="82"/>
        <v>36.358490566037737</v>
      </c>
      <c r="Y247">
        <v>2012</v>
      </c>
      <c r="Z247">
        <f>2025-AVERAGE($Y$203:$Y$255)</f>
        <v>13.962264150943383</v>
      </c>
      <c r="AE247">
        <v>1</v>
      </c>
      <c r="AF247" t="s">
        <v>138</v>
      </c>
      <c r="AG247">
        <v>18</v>
      </c>
      <c r="AH247">
        <v>10</v>
      </c>
      <c r="AI247">
        <f t="shared" si="83"/>
        <v>17.415094339622641</v>
      </c>
      <c r="AJ247">
        <f t="shared" si="84"/>
        <v>8.3018867924528301</v>
      </c>
      <c r="AK247" t="s">
        <v>319</v>
      </c>
      <c r="AL247">
        <v>246</v>
      </c>
      <c r="AM247" t="s">
        <v>140</v>
      </c>
      <c r="AN247" t="s">
        <v>320</v>
      </c>
      <c r="AO247">
        <v>4.75</v>
      </c>
    </row>
    <row r="248" spans="1:41" ht="15.6">
      <c r="A248">
        <v>7</v>
      </c>
      <c r="B248" t="s">
        <v>265</v>
      </c>
      <c r="C248" t="s">
        <v>477</v>
      </c>
      <c r="D248" s="3">
        <v>43</v>
      </c>
      <c r="E248" s="3">
        <v>25</v>
      </c>
      <c r="F248">
        <v>2021</v>
      </c>
      <c r="G248">
        <f t="shared" si="77"/>
        <v>4</v>
      </c>
      <c r="H248">
        <v>0.43</v>
      </c>
      <c r="I248">
        <v>2.96</v>
      </c>
      <c r="J248">
        <f t="shared" si="79"/>
        <v>53</v>
      </c>
      <c r="K248">
        <v>6</v>
      </c>
      <c r="L248">
        <v>5</v>
      </c>
      <c r="M248" s="12">
        <f t="shared" si="80"/>
        <v>4.1269706232638903</v>
      </c>
      <c r="N248">
        <f t="shared" si="85"/>
        <v>0.11538287371689877</v>
      </c>
      <c r="O248">
        <v>0.84</v>
      </c>
      <c r="P248" t="s">
        <v>311</v>
      </c>
      <c r="Q248" t="s">
        <v>412</v>
      </c>
      <c r="R248">
        <f t="shared" si="86"/>
        <v>17.545999999999999</v>
      </c>
      <c r="S248">
        <f t="shared" si="81"/>
        <v>17.416283018867937</v>
      </c>
      <c r="U248">
        <v>30</v>
      </c>
      <c r="W248">
        <f t="shared" si="82"/>
        <v>36.358490566037737</v>
      </c>
      <c r="Y248">
        <v>2012</v>
      </c>
      <c r="Z248">
        <f>2025-AVERAGE($Y$203:$Y$255)</f>
        <v>13.962264150943383</v>
      </c>
      <c r="AE248">
        <v>1</v>
      </c>
      <c r="AF248" t="s">
        <v>138</v>
      </c>
      <c r="AG248">
        <v>17</v>
      </c>
      <c r="AH248">
        <v>7</v>
      </c>
      <c r="AI248">
        <f t="shared" si="83"/>
        <v>17.415094339622641</v>
      </c>
      <c r="AJ248">
        <f t="shared" si="84"/>
        <v>8.3018867924528301</v>
      </c>
      <c r="AK248" t="s">
        <v>319</v>
      </c>
      <c r="AL248">
        <v>246</v>
      </c>
      <c r="AM248" t="s">
        <v>140</v>
      </c>
      <c r="AN248" t="s">
        <v>320</v>
      </c>
      <c r="AO248">
        <v>4.75</v>
      </c>
    </row>
    <row r="249" spans="1:41" ht="15.6">
      <c r="A249">
        <v>7</v>
      </c>
      <c r="B249" t="s">
        <v>265</v>
      </c>
      <c r="C249" t="s">
        <v>477</v>
      </c>
      <c r="D249" s="3">
        <v>43</v>
      </c>
      <c r="E249" s="3">
        <v>25</v>
      </c>
      <c r="F249">
        <v>2021</v>
      </c>
      <c r="G249">
        <f t="shared" si="77"/>
        <v>4</v>
      </c>
      <c r="H249">
        <v>0.43</v>
      </c>
      <c r="I249">
        <v>2.96</v>
      </c>
      <c r="J249">
        <f t="shared" si="79"/>
        <v>53</v>
      </c>
      <c r="K249">
        <v>6</v>
      </c>
      <c r="L249">
        <v>5</v>
      </c>
      <c r="M249" s="12">
        <f t="shared" si="80"/>
        <v>4.1269706232638903</v>
      </c>
      <c r="N249">
        <f t="shared" si="85"/>
        <v>0.11538287371689877</v>
      </c>
      <c r="O249">
        <v>0.84</v>
      </c>
      <c r="P249" t="s">
        <v>312</v>
      </c>
      <c r="Q249" t="s">
        <v>478</v>
      </c>
      <c r="R249">
        <f t="shared" si="86"/>
        <v>25.117000000000001</v>
      </c>
      <c r="S249">
        <f t="shared" si="81"/>
        <v>17.416283018867937</v>
      </c>
      <c r="U249">
        <v>100</v>
      </c>
      <c r="W249">
        <f t="shared" si="82"/>
        <v>36.358490566037737</v>
      </c>
      <c r="Y249">
        <v>2012</v>
      </c>
      <c r="Z249">
        <f>2025-AVERAGE($Y$203:$Y$255)</f>
        <v>13.962264150943383</v>
      </c>
      <c r="AA249">
        <v>7.2299278818181809E-2</v>
      </c>
      <c r="AB249">
        <v>0.40833588007214289</v>
      </c>
      <c r="AC249">
        <v>1.58</v>
      </c>
      <c r="AD249" s="3">
        <v>1.58</v>
      </c>
      <c r="AE249">
        <v>1</v>
      </c>
      <c r="AF249" t="s">
        <v>138</v>
      </c>
      <c r="AG249">
        <v>8</v>
      </c>
      <c r="AH249">
        <v>11</v>
      </c>
      <c r="AI249">
        <f t="shared" si="83"/>
        <v>17.415094339622641</v>
      </c>
      <c r="AJ249">
        <f t="shared" si="84"/>
        <v>8.3018867924528301</v>
      </c>
      <c r="AK249" t="s">
        <v>319</v>
      </c>
      <c r="AL249">
        <v>246</v>
      </c>
      <c r="AM249" t="s">
        <v>140</v>
      </c>
      <c r="AN249" t="s">
        <v>320</v>
      </c>
      <c r="AO249">
        <v>4.75</v>
      </c>
    </row>
    <row r="250" spans="1:41" ht="15.6">
      <c r="A250">
        <v>7</v>
      </c>
      <c r="B250" t="s">
        <v>265</v>
      </c>
      <c r="C250" t="s">
        <v>477</v>
      </c>
      <c r="D250" s="3">
        <v>43</v>
      </c>
      <c r="E250" s="3">
        <v>25</v>
      </c>
      <c r="F250">
        <v>2021</v>
      </c>
      <c r="G250">
        <f t="shared" si="77"/>
        <v>4</v>
      </c>
      <c r="H250">
        <v>0.43</v>
      </c>
      <c r="I250">
        <v>2.96</v>
      </c>
      <c r="J250">
        <f t="shared" si="79"/>
        <v>53</v>
      </c>
      <c r="K250">
        <v>6</v>
      </c>
      <c r="L250">
        <v>5</v>
      </c>
      <c r="M250" s="12">
        <f t="shared" si="80"/>
        <v>4.1269706232638903</v>
      </c>
      <c r="N250">
        <f t="shared" si="85"/>
        <v>0.11538287371689877</v>
      </c>
      <c r="O250">
        <v>0.84</v>
      </c>
      <c r="P250" t="s">
        <v>313</v>
      </c>
      <c r="Q250" t="s">
        <v>478</v>
      </c>
      <c r="R250">
        <f t="shared" si="86"/>
        <v>25.117000000000001</v>
      </c>
      <c r="S250">
        <f t="shared" si="81"/>
        <v>17.416283018867937</v>
      </c>
      <c r="U250">
        <v>51</v>
      </c>
      <c r="W250">
        <f t="shared" si="82"/>
        <v>36.358490566037737</v>
      </c>
      <c r="Y250">
        <v>2012</v>
      </c>
      <c r="Z250">
        <f>2025-AVERAGE($Y$203:$Y$255)</f>
        <v>13.962264150943383</v>
      </c>
      <c r="AA250">
        <v>7.0410604442857133E-3</v>
      </c>
      <c r="AB250">
        <v>6.0188741071494925E-2</v>
      </c>
      <c r="AC250">
        <v>0.56000000000000005</v>
      </c>
      <c r="AD250" s="3">
        <v>0.56000000000000005</v>
      </c>
      <c r="AE250">
        <v>1</v>
      </c>
      <c r="AF250" t="s">
        <v>138</v>
      </c>
      <c r="AG250">
        <v>7</v>
      </c>
      <c r="AH250">
        <v>8</v>
      </c>
      <c r="AI250">
        <f t="shared" si="83"/>
        <v>17.415094339622641</v>
      </c>
      <c r="AJ250">
        <f t="shared" si="84"/>
        <v>8.3018867924528301</v>
      </c>
      <c r="AK250" t="s">
        <v>319</v>
      </c>
      <c r="AL250">
        <v>246</v>
      </c>
      <c r="AM250" t="s">
        <v>140</v>
      </c>
      <c r="AN250" t="s">
        <v>320</v>
      </c>
      <c r="AO250">
        <v>4.75</v>
      </c>
    </row>
    <row r="251" spans="1:41" ht="15.6">
      <c r="A251">
        <v>7</v>
      </c>
      <c r="B251" t="s">
        <v>265</v>
      </c>
      <c r="C251" t="s">
        <v>477</v>
      </c>
      <c r="D251" s="3">
        <v>43</v>
      </c>
      <c r="E251" s="3">
        <v>25</v>
      </c>
      <c r="F251">
        <v>2021</v>
      </c>
      <c r="G251">
        <f t="shared" si="77"/>
        <v>4</v>
      </c>
      <c r="H251">
        <v>0.43</v>
      </c>
      <c r="I251">
        <v>2.96</v>
      </c>
      <c r="J251">
        <f t="shared" si="79"/>
        <v>53</v>
      </c>
      <c r="K251">
        <v>6</v>
      </c>
      <c r="L251">
        <v>5</v>
      </c>
      <c r="M251" s="12">
        <f t="shared" si="80"/>
        <v>4.1269706232638903</v>
      </c>
      <c r="N251">
        <f t="shared" si="85"/>
        <v>0.11538287371689877</v>
      </c>
      <c r="O251">
        <v>0.84</v>
      </c>
      <c r="P251" t="s">
        <v>314</v>
      </c>
      <c r="Q251" t="s">
        <v>484</v>
      </c>
      <c r="R251">
        <v>14.305999999999999</v>
      </c>
      <c r="S251">
        <f t="shared" si="81"/>
        <v>17.416283018867937</v>
      </c>
      <c r="U251">
        <v>39</v>
      </c>
      <c r="W251">
        <f t="shared" si="82"/>
        <v>36.358490566037737</v>
      </c>
      <c r="Y251">
        <v>2012</v>
      </c>
      <c r="Z251">
        <f>2025-AVERAGE($Y$203:$Y$255)</f>
        <v>13.962264150943383</v>
      </c>
      <c r="AE251">
        <v>1</v>
      </c>
      <c r="AF251" t="s">
        <v>138</v>
      </c>
      <c r="AG251">
        <v>11</v>
      </c>
      <c r="AH251">
        <v>6</v>
      </c>
      <c r="AI251">
        <f t="shared" si="83"/>
        <v>17.415094339622641</v>
      </c>
      <c r="AJ251">
        <f t="shared" si="84"/>
        <v>8.3018867924528301</v>
      </c>
      <c r="AK251" t="s">
        <v>319</v>
      </c>
      <c r="AL251">
        <v>246</v>
      </c>
      <c r="AM251" t="s">
        <v>140</v>
      </c>
      <c r="AN251" t="s">
        <v>320</v>
      </c>
      <c r="AO251">
        <v>4.75</v>
      </c>
    </row>
    <row r="252" spans="1:41" ht="15.6">
      <c r="A252">
        <v>7</v>
      </c>
      <c r="B252" t="s">
        <v>265</v>
      </c>
      <c r="C252" t="s">
        <v>477</v>
      </c>
      <c r="D252" s="3">
        <v>43</v>
      </c>
      <c r="E252" s="3">
        <v>25</v>
      </c>
      <c r="F252">
        <v>2021</v>
      </c>
      <c r="G252">
        <f t="shared" si="77"/>
        <v>4</v>
      </c>
      <c r="H252">
        <v>0.43</v>
      </c>
      <c r="I252">
        <v>2.96</v>
      </c>
      <c r="J252">
        <f t="shared" si="79"/>
        <v>53</v>
      </c>
      <c r="K252">
        <v>6</v>
      </c>
      <c r="L252">
        <v>5</v>
      </c>
      <c r="M252" s="12">
        <f t="shared" si="80"/>
        <v>4.1269706232638903</v>
      </c>
      <c r="N252">
        <f t="shared" si="85"/>
        <v>0.11538287371689877</v>
      </c>
      <c r="O252">
        <v>0.84</v>
      </c>
      <c r="P252" t="s">
        <v>315</v>
      </c>
      <c r="Q252" t="s">
        <v>412</v>
      </c>
      <c r="R252">
        <f>IF(Q252="Nature", IF(Y252=2010, 16.465, IF(Y252=2011, 17.598, IF(Y252=2012, 17.546, ""))), IF(Q252="Cell", IF(Y252=2010, 25.629, IF(Y252=2011, 25.74, IF(Y252=2012, 25.117, ""))), ""))</f>
        <v>17.545999999999999</v>
      </c>
      <c r="S252">
        <f t="shared" si="81"/>
        <v>17.416283018867937</v>
      </c>
      <c r="U252">
        <v>50</v>
      </c>
      <c r="W252">
        <f t="shared" si="82"/>
        <v>36.358490566037737</v>
      </c>
      <c r="Y252">
        <v>2012</v>
      </c>
      <c r="Z252">
        <f>2025-AVERAGE($Y$203:$Y$255)</f>
        <v>13.962264150943383</v>
      </c>
      <c r="AA252">
        <v>2.52E-6</v>
      </c>
      <c r="AB252">
        <v>3.2078740000000001E-2</v>
      </c>
      <c r="AC252">
        <v>0.23</v>
      </c>
      <c r="AD252" s="3">
        <v>0.23</v>
      </c>
      <c r="AE252">
        <v>1</v>
      </c>
      <c r="AF252" t="s">
        <v>138</v>
      </c>
      <c r="AG252">
        <v>10</v>
      </c>
      <c r="AH252">
        <v>3</v>
      </c>
      <c r="AI252">
        <f t="shared" si="83"/>
        <v>17.415094339622641</v>
      </c>
      <c r="AJ252">
        <f t="shared" si="84"/>
        <v>8.3018867924528301</v>
      </c>
      <c r="AK252" t="s">
        <v>319</v>
      </c>
      <c r="AL252">
        <v>246</v>
      </c>
      <c r="AM252" t="s">
        <v>140</v>
      </c>
      <c r="AN252" t="s">
        <v>320</v>
      </c>
      <c r="AO252">
        <v>4.75</v>
      </c>
    </row>
    <row r="253" spans="1:41" ht="15.6">
      <c r="A253">
        <v>7</v>
      </c>
      <c r="B253" t="s">
        <v>265</v>
      </c>
      <c r="C253" t="s">
        <v>477</v>
      </c>
      <c r="D253" s="3">
        <v>43</v>
      </c>
      <c r="E253" s="3">
        <v>25</v>
      </c>
      <c r="F253">
        <v>2021</v>
      </c>
      <c r="G253">
        <f t="shared" si="77"/>
        <v>4</v>
      </c>
      <c r="H253">
        <v>0.43</v>
      </c>
      <c r="I253">
        <v>2.96</v>
      </c>
      <c r="J253">
        <f t="shared" si="79"/>
        <v>53</v>
      </c>
      <c r="K253">
        <v>6</v>
      </c>
      <c r="L253">
        <v>5</v>
      </c>
      <c r="M253" s="12">
        <f t="shared" si="80"/>
        <v>4.1269706232638903</v>
      </c>
      <c r="N253">
        <f t="shared" si="85"/>
        <v>0.11538287371689877</v>
      </c>
      <c r="O253">
        <v>0.84</v>
      </c>
      <c r="P253" t="s">
        <v>316</v>
      </c>
      <c r="Q253" t="s">
        <v>412</v>
      </c>
      <c r="R253">
        <f>IF(Q253="Nature", IF(Y253=2010, 16.465, IF(Y253=2011, 17.598, IF(Y253=2012, 17.546, ""))), IF(Q253="Cell", IF(Y253=2010, 25.629, IF(Y253=2011, 25.74, IF(Y253=2012, 25.117, ""))), ""))</f>
        <v>17.545999999999999</v>
      </c>
      <c r="S253">
        <f t="shared" si="81"/>
        <v>17.416283018867937</v>
      </c>
      <c r="U253">
        <v>18</v>
      </c>
      <c r="W253">
        <f t="shared" si="82"/>
        <v>36.358490566037737</v>
      </c>
      <c r="Y253">
        <v>2012</v>
      </c>
      <c r="Z253">
        <f>2025-AVERAGE($Y$203:$Y$255)</f>
        <v>13.962264150943383</v>
      </c>
      <c r="AE253">
        <v>1</v>
      </c>
      <c r="AF253" t="s">
        <v>138</v>
      </c>
      <c r="AG253">
        <v>4</v>
      </c>
      <c r="AH253">
        <v>3</v>
      </c>
      <c r="AI253">
        <f t="shared" si="83"/>
        <v>17.415094339622641</v>
      </c>
      <c r="AJ253">
        <f t="shared" si="84"/>
        <v>8.3018867924528301</v>
      </c>
      <c r="AK253" t="s">
        <v>319</v>
      </c>
      <c r="AL253">
        <v>246</v>
      </c>
      <c r="AM253" t="s">
        <v>140</v>
      </c>
      <c r="AN253" t="s">
        <v>320</v>
      </c>
      <c r="AO253">
        <v>4.75</v>
      </c>
    </row>
    <row r="254" spans="1:41" ht="15.6">
      <c r="A254">
        <v>7</v>
      </c>
      <c r="B254" t="s">
        <v>265</v>
      </c>
      <c r="C254" t="s">
        <v>477</v>
      </c>
      <c r="D254" s="3">
        <v>43</v>
      </c>
      <c r="E254" s="3">
        <v>25</v>
      </c>
      <c r="F254">
        <v>2021</v>
      </c>
      <c r="G254">
        <f t="shared" si="77"/>
        <v>4</v>
      </c>
      <c r="H254">
        <v>0.43</v>
      </c>
      <c r="I254">
        <v>2.96</v>
      </c>
      <c r="J254">
        <f t="shared" si="79"/>
        <v>53</v>
      </c>
      <c r="K254">
        <v>6</v>
      </c>
      <c r="L254">
        <v>5</v>
      </c>
      <c r="M254" s="12">
        <f t="shared" si="80"/>
        <v>4.1269706232638903</v>
      </c>
      <c r="N254">
        <f t="shared" si="85"/>
        <v>0.11538287371689877</v>
      </c>
      <c r="O254">
        <v>0.84</v>
      </c>
      <c r="P254" t="s">
        <v>317</v>
      </c>
      <c r="Q254" t="s">
        <v>412</v>
      </c>
      <c r="R254">
        <f>IF(Q254="Nature", IF(Y254=2010, 16.465, IF(Y254=2011, 17.598, IF(Y254=2012, 17.546, ""))), IF(Q254="Cell", IF(Y254=2010, 25.629, IF(Y254=2011, 25.74, IF(Y254=2012, 25.117, ""))), ""))</f>
        <v>17.545999999999999</v>
      </c>
      <c r="S254">
        <f t="shared" si="81"/>
        <v>17.416283018867937</v>
      </c>
      <c r="U254">
        <v>40</v>
      </c>
      <c r="W254">
        <f t="shared" si="82"/>
        <v>36.358490566037737</v>
      </c>
      <c r="Y254">
        <v>2012</v>
      </c>
      <c r="Z254">
        <f>2025-AVERAGE($Y$203:$Y$255)</f>
        <v>13.962264150943383</v>
      </c>
      <c r="AE254">
        <v>1</v>
      </c>
      <c r="AF254" t="s">
        <v>138</v>
      </c>
      <c r="AG254">
        <v>14</v>
      </c>
      <c r="AH254">
        <v>11</v>
      </c>
      <c r="AI254">
        <f t="shared" si="83"/>
        <v>17.415094339622641</v>
      </c>
      <c r="AJ254">
        <f t="shared" si="84"/>
        <v>8.3018867924528301</v>
      </c>
      <c r="AK254" t="s">
        <v>319</v>
      </c>
      <c r="AL254">
        <v>246</v>
      </c>
      <c r="AM254" t="s">
        <v>140</v>
      </c>
      <c r="AN254" t="s">
        <v>320</v>
      </c>
      <c r="AO254">
        <v>4.75</v>
      </c>
    </row>
    <row r="255" spans="1:41" ht="15.6">
      <c r="A255">
        <v>7</v>
      </c>
      <c r="B255" t="s">
        <v>265</v>
      </c>
      <c r="C255" t="s">
        <v>477</v>
      </c>
      <c r="D255" s="3">
        <v>43</v>
      </c>
      <c r="E255" s="3">
        <v>25</v>
      </c>
      <c r="F255">
        <v>2021</v>
      </c>
      <c r="G255">
        <f t="shared" si="77"/>
        <v>4</v>
      </c>
      <c r="H255">
        <v>0.43</v>
      </c>
      <c r="I255">
        <v>2.96</v>
      </c>
      <c r="J255">
        <f t="shared" si="79"/>
        <v>53</v>
      </c>
      <c r="K255">
        <v>6</v>
      </c>
      <c r="L255">
        <v>5</v>
      </c>
      <c r="M255" s="12">
        <f t="shared" si="80"/>
        <v>4.1269706232638903</v>
      </c>
      <c r="N255">
        <f t="shared" si="85"/>
        <v>0.11538287371689877</v>
      </c>
      <c r="O255">
        <v>0.84</v>
      </c>
      <c r="P255" t="s">
        <v>318</v>
      </c>
      <c r="Q255" t="s">
        <v>485</v>
      </c>
      <c r="R255">
        <v>28.013000000000002</v>
      </c>
      <c r="S255">
        <f>AVERAGE($R$203:$R$255)</f>
        <v>17.416283018867937</v>
      </c>
      <c r="U255">
        <v>42</v>
      </c>
      <c r="W255">
        <f t="shared" si="82"/>
        <v>36.358490566037737</v>
      </c>
      <c r="Y255">
        <v>2010</v>
      </c>
      <c r="Z255">
        <f>2025-AVERAGE($Y$203:$Y$255)</f>
        <v>13.962264150943383</v>
      </c>
      <c r="AE255">
        <v>1</v>
      </c>
      <c r="AF255" t="s">
        <v>138</v>
      </c>
      <c r="AG255">
        <v>38</v>
      </c>
      <c r="AH255">
        <v>5</v>
      </c>
      <c r="AI255">
        <f t="shared" si="83"/>
        <v>17.415094339622641</v>
      </c>
      <c r="AJ255">
        <f t="shared" si="84"/>
        <v>8.3018867924528301</v>
      </c>
      <c r="AK255" t="s">
        <v>319</v>
      </c>
      <c r="AL255">
        <v>246</v>
      </c>
      <c r="AM255" t="s">
        <v>140</v>
      </c>
      <c r="AN255" t="s">
        <v>320</v>
      </c>
      <c r="AO255">
        <v>4.75</v>
      </c>
    </row>
    <row r="256" spans="1:41" ht="15.6">
      <c r="A256">
        <v>8</v>
      </c>
      <c r="B256" t="s">
        <v>321</v>
      </c>
      <c r="C256" t="s">
        <v>322</v>
      </c>
      <c r="D256" s="3">
        <f>100*(2/10)</f>
        <v>20</v>
      </c>
      <c r="E256" s="3">
        <f>100*(1/10)</f>
        <v>10</v>
      </c>
      <c r="F256">
        <v>2019</v>
      </c>
      <c r="G256">
        <f t="shared" si="77"/>
        <v>6</v>
      </c>
      <c r="H256">
        <f>AVERAGE($AD$256:$AD$266)</f>
        <v>0.46316666666666673</v>
      </c>
      <c r="I256">
        <f>AVERAGE($AC$256:$AC$266)</f>
        <v>0.86626249999999994</v>
      </c>
      <c r="J256">
        <f>COUNTA($C$256:$C$266)</f>
        <v>11</v>
      </c>
      <c r="K256">
        <v>2</v>
      </c>
      <c r="L256">
        <v>1</v>
      </c>
      <c r="M256" s="12">
        <f>_xlfn.VAR.P($AD$256:$AD$266)</f>
        <v>0.30102013888888873</v>
      </c>
      <c r="N256">
        <f t="shared" ref="N256:N266" si="87">$O$256/SQRT($J$256)</f>
        <v>0.16542511046306471</v>
      </c>
      <c r="O256">
        <f>_xlfn.STDEV.P($AD$256:$AD$266)</f>
        <v>0.54865302230908086</v>
      </c>
      <c r="P256" t="s">
        <v>486</v>
      </c>
      <c r="Q256" t="s">
        <v>497</v>
      </c>
      <c r="R256">
        <v>2.0289999999999999</v>
      </c>
      <c r="S256">
        <f>AVERAGE($R$256:$R$266)</f>
        <v>3.0197777777777777</v>
      </c>
      <c r="T256" t="s">
        <v>102</v>
      </c>
      <c r="U256">
        <v>67</v>
      </c>
      <c r="W256">
        <f>AVERAGE($U$256:$U$266)</f>
        <v>49.454545454545453</v>
      </c>
      <c r="Y256">
        <v>2003</v>
      </c>
      <c r="Z256">
        <f>2025-AVERAGE($Y$256:$Y$266)</f>
        <v>17.727272727272748</v>
      </c>
      <c r="AD256" s="3">
        <v>0.05</v>
      </c>
      <c r="AE256">
        <v>1</v>
      </c>
      <c r="AF256" t="s">
        <v>138</v>
      </c>
      <c r="AG256">
        <v>2</v>
      </c>
      <c r="AH256">
        <v>1</v>
      </c>
      <c r="AI256">
        <f>AVERAGE($AG$256:$AG$266)</f>
        <v>4.7272727272727275</v>
      </c>
      <c r="AJ256">
        <f>AVERAGE($AH$256:$AH$266)</f>
        <v>3.7272727272727271</v>
      </c>
      <c r="AK256" t="s">
        <v>319</v>
      </c>
      <c r="AL256">
        <v>54</v>
      </c>
      <c r="AM256" t="s">
        <v>140</v>
      </c>
      <c r="AN256" t="s">
        <v>324</v>
      </c>
      <c r="AO256">
        <v>0.995</v>
      </c>
    </row>
    <row r="257" spans="1:41" ht="15.6">
      <c r="A257">
        <v>8</v>
      </c>
      <c r="B257" t="s">
        <v>321</v>
      </c>
      <c r="C257" t="s">
        <v>322</v>
      </c>
      <c r="D257" s="3">
        <f t="shared" ref="D257:D266" si="88">100*(2/10)</f>
        <v>20</v>
      </c>
      <c r="E257" s="3">
        <f t="shared" ref="E257:E266" si="89">100*(1/10)</f>
        <v>10</v>
      </c>
      <c r="F257">
        <v>2019</v>
      </c>
      <c r="G257">
        <f t="shared" si="77"/>
        <v>6</v>
      </c>
      <c r="H257">
        <f t="shared" ref="H257:H265" si="90">AVERAGE($AD$256:$AD$266)</f>
        <v>0.46316666666666673</v>
      </c>
      <c r="I257">
        <f t="shared" ref="I257:I266" si="91">AVERAGE($AC$256:$AC$266)</f>
        <v>0.86626249999999994</v>
      </c>
      <c r="J257">
        <f t="shared" ref="J257:J266" si="92">COUNTA($C$256:$C$266)</f>
        <v>11</v>
      </c>
      <c r="K257">
        <v>2</v>
      </c>
      <c r="L257">
        <v>1</v>
      </c>
      <c r="M257" s="12">
        <f t="shared" ref="M257:M266" si="93">_xlfn.VAR.P($AD$256:$AD$266)</f>
        <v>0.30102013888888873</v>
      </c>
      <c r="N257">
        <f t="shared" si="87"/>
        <v>0.16542511046306471</v>
      </c>
      <c r="O257">
        <f t="shared" ref="O257:O266" si="94">_xlfn.STDEV.P($AD$256:$AD$266)</f>
        <v>0.54865302230908086</v>
      </c>
      <c r="P257" t="s">
        <v>487</v>
      </c>
      <c r="Q257" t="s">
        <v>498</v>
      </c>
      <c r="R257">
        <v>2.2509999999999999</v>
      </c>
      <c r="S257">
        <f t="shared" ref="S257:S266" si="95">AVERAGE($R$256:$R$266)</f>
        <v>3.0197777777777777</v>
      </c>
      <c r="T257" t="s">
        <v>263</v>
      </c>
      <c r="U257">
        <v>42</v>
      </c>
      <c r="W257">
        <f t="shared" ref="W257:W266" si="96">AVERAGE($U$256:$U$266)</f>
        <v>49.454545454545453</v>
      </c>
      <c r="Y257">
        <v>2003</v>
      </c>
      <c r="Z257">
        <f>2025-AVERAGE($Y$256:$Y$266)</f>
        <v>17.727272727272748</v>
      </c>
      <c r="AC257">
        <v>0.88</v>
      </c>
      <c r="AD257" s="3">
        <v>0.06</v>
      </c>
      <c r="AE257">
        <v>1</v>
      </c>
      <c r="AF257" t="s">
        <v>138</v>
      </c>
      <c r="AG257">
        <v>5</v>
      </c>
      <c r="AH257">
        <v>4</v>
      </c>
      <c r="AI257">
        <f t="shared" ref="AI257:AI266" si="97">AVERAGE($AG$256:$AG$266)</f>
        <v>4.7272727272727275</v>
      </c>
      <c r="AJ257">
        <f t="shared" ref="AJ257:AJ266" si="98">AVERAGE($AH$256:$AH$266)</f>
        <v>3.7272727272727271</v>
      </c>
      <c r="AK257" t="s">
        <v>319</v>
      </c>
      <c r="AL257">
        <v>54</v>
      </c>
      <c r="AM257" t="s">
        <v>140</v>
      </c>
      <c r="AN257" t="s">
        <v>324</v>
      </c>
      <c r="AO257">
        <v>0.995</v>
      </c>
    </row>
    <row r="258" spans="1:41" ht="15.6">
      <c r="A258">
        <v>8</v>
      </c>
      <c r="B258" t="s">
        <v>321</v>
      </c>
      <c r="C258" t="s">
        <v>322</v>
      </c>
      <c r="D258" s="3">
        <f t="shared" si="88"/>
        <v>20</v>
      </c>
      <c r="E258" s="3">
        <f t="shared" si="89"/>
        <v>10</v>
      </c>
      <c r="F258">
        <v>2019</v>
      </c>
      <c r="G258">
        <f t="shared" si="77"/>
        <v>6</v>
      </c>
      <c r="H258">
        <f t="shared" si="90"/>
        <v>0.46316666666666673</v>
      </c>
      <c r="I258">
        <f t="shared" si="91"/>
        <v>0.86626249999999994</v>
      </c>
      <c r="J258">
        <f t="shared" si="92"/>
        <v>11</v>
      </c>
      <c r="K258">
        <v>2</v>
      </c>
      <c r="L258">
        <v>1</v>
      </c>
      <c r="M258" s="12">
        <f t="shared" si="93"/>
        <v>0.30102013888888873</v>
      </c>
      <c r="N258">
        <f t="shared" si="87"/>
        <v>0.16542511046306471</v>
      </c>
      <c r="O258">
        <f t="shared" si="94"/>
        <v>0.54865302230908086</v>
      </c>
      <c r="P258" t="s">
        <v>488</v>
      </c>
      <c r="Q258" t="s">
        <v>499</v>
      </c>
      <c r="R258">
        <v>1.7929999999999999</v>
      </c>
      <c r="S258">
        <f t="shared" si="95"/>
        <v>3.0197777777777777</v>
      </c>
      <c r="T258" t="s">
        <v>263</v>
      </c>
      <c r="U258">
        <v>49</v>
      </c>
      <c r="W258">
        <f t="shared" si="96"/>
        <v>49.454545454545453</v>
      </c>
      <c r="Y258">
        <v>2004</v>
      </c>
      <c r="Z258">
        <f>2025-AVERAGE($Y$256:$Y$266)</f>
        <v>17.727272727272748</v>
      </c>
      <c r="AE258">
        <v>1</v>
      </c>
      <c r="AF258" t="s">
        <v>138</v>
      </c>
      <c r="AG258">
        <v>2</v>
      </c>
      <c r="AH258">
        <v>3</v>
      </c>
      <c r="AI258">
        <f t="shared" si="97"/>
        <v>4.7272727272727275</v>
      </c>
      <c r="AJ258">
        <f t="shared" si="98"/>
        <v>3.7272727272727271</v>
      </c>
      <c r="AK258" t="s">
        <v>319</v>
      </c>
      <c r="AL258">
        <v>54</v>
      </c>
      <c r="AM258" t="s">
        <v>140</v>
      </c>
      <c r="AN258" t="s">
        <v>324</v>
      </c>
      <c r="AO258">
        <v>0.995</v>
      </c>
    </row>
    <row r="259" spans="1:41" ht="15.6">
      <c r="A259">
        <v>8</v>
      </c>
      <c r="B259" t="s">
        <v>321</v>
      </c>
      <c r="C259" t="s">
        <v>322</v>
      </c>
      <c r="D259" s="3">
        <f t="shared" si="88"/>
        <v>20</v>
      </c>
      <c r="E259" s="3">
        <f t="shared" si="89"/>
        <v>10</v>
      </c>
      <c r="F259">
        <v>2019</v>
      </c>
      <c r="G259">
        <f t="shared" ref="G259:G273" si="99">2025-F259</f>
        <v>6</v>
      </c>
      <c r="H259">
        <f t="shared" si="90"/>
        <v>0.46316666666666673</v>
      </c>
      <c r="I259">
        <f t="shared" si="91"/>
        <v>0.86626249999999994</v>
      </c>
      <c r="J259">
        <f t="shared" si="92"/>
        <v>11</v>
      </c>
      <c r="K259">
        <v>2</v>
      </c>
      <c r="L259">
        <v>1</v>
      </c>
      <c r="M259" s="12">
        <f t="shared" si="93"/>
        <v>0.30102013888888873</v>
      </c>
      <c r="N259">
        <f t="shared" si="87"/>
        <v>0.16542511046306471</v>
      </c>
      <c r="O259">
        <f t="shared" si="94"/>
        <v>0.54865302230908086</v>
      </c>
      <c r="P259" t="s">
        <v>489</v>
      </c>
      <c r="Q259" t="s">
        <v>500</v>
      </c>
      <c r="R259">
        <v>1.7430000000000001</v>
      </c>
      <c r="S259">
        <f t="shared" si="95"/>
        <v>3.0197777777777777</v>
      </c>
      <c r="T259" t="s">
        <v>263</v>
      </c>
      <c r="U259">
        <v>55</v>
      </c>
      <c r="W259">
        <f t="shared" si="96"/>
        <v>49.454545454545453</v>
      </c>
      <c r="Y259">
        <v>2011</v>
      </c>
      <c r="Z259">
        <f>2025-AVERAGE($Y$256:$Y$266)</f>
        <v>17.727272727272748</v>
      </c>
      <c r="AD259" s="3">
        <v>1.6439999999999999</v>
      </c>
      <c r="AE259">
        <v>1</v>
      </c>
      <c r="AF259" t="s">
        <v>138</v>
      </c>
      <c r="AG259">
        <v>5</v>
      </c>
      <c r="AH259">
        <v>5</v>
      </c>
      <c r="AI259">
        <f t="shared" si="97"/>
        <v>4.7272727272727275</v>
      </c>
      <c r="AJ259">
        <f t="shared" si="98"/>
        <v>3.7272727272727271</v>
      </c>
      <c r="AK259" t="s">
        <v>319</v>
      </c>
      <c r="AL259">
        <v>54</v>
      </c>
      <c r="AM259" t="s">
        <v>140</v>
      </c>
      <c r="AN259" t="s">
        <v>324</v>
      </c>
      <c r="AO259">
        <v>0.995</v>
      </c>
    </row>
    <row r="260" spans="1:41" ht="15.6">
      <c r="A260">
        <v>8</v>
      </c>
      <c r="B260" t="s">
        <v>321</v>
      </c>
      <c r="C260" t="s">
        <v>322</v>
      </c>
      <c r="D260" s="3">
        <f t="shared" si="88"/>
        <v>20</v>
      </c>
      <c r="E260" s="3">
        <f t="shared" si="89"/>
        <v>10</v>
      </c>
      <c r="F260">
        <v>2019</v>
      </c>
      <c r="G260">
        <f t="shared" si="99"/>
        <v>6</v>
      </c>
      <c r="H260">
        <f t="shared" si="90"/>
        <v>0.46316666666666673</v>
      </c>
      <c r="I260">
        <f t="shared" si="91"/>
        <v>0.86626249999999994</v>
      </c>
      <c r="J260">
        <f t="shared" si="92"/>
        <v>11</v>
      </c>
      <c r="K260">
        <v>2</v>
      </c>
      <c r="L260">
        <v>1</v>
      </c>
      <c r="M260" s="12">
        <f t="shared" si="93"/>
        <v>0.30102013888888873</v>
      </c>
      <c r="N260">
        <f t="shared" si="87"/>
        <v>0.16542511046306471</v>
      </c>
      <c r="O260">
        <f t="shared" si="94"/>
        <v>0.54865302230908086</v>
      </c>
      <c r="P260" t="s">
        <v>490</v>
      </c>
      <c r="Q260" t="s">
        <v>501</v>
      </c>
      <c r="R260">
        <v>1.361</v>
      </c>
      <c r="S260">
        <f t="shared" si="95"/>
        <v>3.0197777777777777</v>
      </c>
      <c r="T260" t="s">
        <v>263</v>
      </c>
      <c r="U260">
        <v>39</v>
      </c>
      <c r="W260">
        <f t="shared" si="96"/>
        <v>49.454545454545453</v>
      </c>
      <c r="Y260">
        <v>2009</v>
      </c>
      <c r="Z260">
        <f>2025-AVERAGE($Y$256:$Y$266)</f>
        <v>17.727272727272748</v>
      </c>
      <c r="AC260">
        <v>1.8125</v>
      </c>
      <c r="AD260" s="3">
        <v>0.32500000000000001</v>
      </c>
      <c r="AE260">
        <v>1</v>
      </c>
      <c r="AF260" t="s">
        <v>138</v>
      </c>
      <c r="AG260">
        <v>5</v>
      </c>
      <c r="AH260">
        <v>5</v>
      </c>
      <c r="AI260">
        <f t="shared" si="97"/>
        <v>4.7272727272727275</v>
      </c>
      <c r="AJ260">
        <f t="shared" si="98"/>
        <v>3.7272727272727271</v>
      </c>
      <c r="AK260" t="s">
        <v>319</v>
      </c>
      <c r="AL260">
        <v>54</v>
      </c>
      <c r="AM260" t="s">
        <v>140</v>
      </c>
      <c r="AN260" t="s">
        <v>324</v>
      </c>
      <c r="AO260">
        <v>0.995</v>
      </c>
    </row>
    <row r="261" spans="1:41" ht="15.6">
      <c r="A261">
        <v>8</v>
      </c>
      <c r="B261" t="s">
        <v>321</v>
      </c>
      <c r="C261" t="s">
        <v>322</v>
      </c>
      <c r="D261" s="3">
        <f t="shared" si="88"/>
        <v>20</v>
      </c>
      <c r="E261" s="3">
        <f t="shared" si="89"/>
        <v>10</v>
      </c>
      <c r="F261">
        <v>2019</v>
      </c>
      <c r="G261">
        <f t="shared" si="99"/>
        <v>6</v>
      </c>
      <c r="H261">
        <f t="shared" si="90"/>
        <v>0.46316666666666673</v>
      </c>
      <c r="I261">
        <f t="shared" si="91"/>
        <v>0.86626249999999994</v>
      </c>
      <c r="J261">
        <f t="shared" si="92"/>
        <v>11</v>
      </c>
      <c r="K261">
        <v>2</v>
      </c>
      <c r="L261">
        <v>1</v>
      </c>
      <c r="M261" s="12">
        <f t="shared" si="93"/>
        <v>0.30102013888888873</v>
      </c>
      <c r="N261">
        <f t="shared" si="87"/>
        <v>0.16542511046306471</v>
      </c>
      <c r="O261">
        <f t="shared" si="94"/>
        <v>0.54865302230908086</v>
      </c>
      <c r="P261" t="s">
        <v>491</v>
      </c>
      <c r="Q261" t="s">
        <v>502</v>
      </c>
      <c r="R261">
        <v>1.5720000000000001</v>
      </c>
      <c r="S261">
        <f t="shared" si="95"/>
        <v>3.0197777777777777</v>
      </c>
      <c r="T261" t="s">
        <v>262</v>
      </c>
      <c r="U261">
        <v>78</v>
      </c>
      <c r="W261">
        <f t="shared" si="96"/>
        <v>49.454545454545453</v>
      </c>
      <c r="Y261">
        <v>2013</v>
      </c>
      <c r="Z261">
        <f>2025-AVERAGE($Y$256:$Y$266)</f>
        <v>17.727272727272748</v>
      </c>
      <c r="AC261">
        <v>0.27</v>
      </c>
      <c r="AD261" s="3">
        <v>0.48</v>
      </c>
      <c r="AE261">
        <v>1</v>
      </c>
      <c r="AF261" t="s">
        <v>138</v>
      </c>
      <c r="AG261">
        <v>8</v>
      </c>
      <c r="AH261">
        <v>8</v>
      </c>
      <c r="AI261">
        <f t="shared" si="97"/>
        <v>4.7272727272727275</v>
      </c>
      <c r="AJ261">
        <f t="shared" si="98"/>
        <v>3.7272727272727271</v>
      </c>
      <c r="AK261" t="s">
        <v>319</v>
      </c>
      <c r="AL261">
        <v>54</v>
      </c>
      <c r="AM261" t="s">
        <v>140</v>
      </c>
      <c r="AN261" t="s">
        <v>324</v>
      </c>
      <c r="AO261">
        <v>0.995</v>
      </c>
    </row>
    <row r="262" spans="1:41" ht="15.6">
      <c r="A262">
        <v>8</v>
      </c>
      <c r="B262" t="s">
        <v>321</v>
      </c>
      <c r="C262" t="s">
        <v>322</v>
      </c>
      <c r="D262" s="3">
        <f t="shared" si="88"/>
        <v>20</v>
      </c>
      <c r="E262" s="3">
        <f t="shared" si="89"/>
        <v>10</v>
      </c>
      <c r="F262">
        <v>2019</v>
      </c>
      <c r="G262">
        <f t="shared" si="99"/>
        <v>6</v>
      </c>
      <c r="H262">
        <f t="shared" si="90"/>
        <v>0.46316666666666673</v>
      </c>
      <c r="I262">
        <f t="shared" si="91"/>
        <v>0.86626249999999994</v>
      </c>
      <c r="J262">
        <f t="shared" si="92"/>
        <v>11</v>
      </c>
      <c r="K262">
        <v>2</v>
      </c>
      <c r="L262">
        <v>1</v>
      </c>
      <c r="M262" s="12">
        <f t="shared" si="93"/>
        <v>0.30102013888888873</v>
      </c>
      <c r="N262">
        <f t="shared" si="87"/>
        <v>0.16542511046306471</v>
      </c>
      <c r="O262">
        <f t="shared" si="94"/>
        <v>0.54865302230908086</v>
      </c>
      <c r="P262" t="s">
        <v>492</v>
      </c>
      <c r="Q262" t="s">
        <v>503</v>
      </c>
      <c r="R262">
        <v>3.53</v>
      </c>
      <c r="S262">
        <f t="shared" si="95"/>
        <v>3.0197777777777777</v>
      </c>
      <c r="T262" t="s">
        <v>323</v>
      </c>
      <c r="U262">
        <v>79</v>
      </c>
      <c r="W262">
        <f t="shared" si="96"/>
        <v>49.454545454545453</v>
      </c>
      <c r="Y262">
        <v>2014</v>
      </c>
      <c r="Z262">
        <f>2025-AVERAGE($Y$256:$Y$266)</f>
        <v>17.727272727272748</v>
      </c>
      <c r="AC262">
        <v>0.50255000000000005</v>
      </c>
      <c r="AD262" s="3">
        <v>0.22</v>
      </c>
      <c r="AE262">
        <v>1</v>
      </c>
      <c r="AF262" t="s">
        <v>138</v>
      </c>
      <c r="AG262">
        <v>3</v>
      </c>
      <c r="AH262">
        <v>3</v>
      </c>
      <c r="AI262">
        <f t="shared" si="97"/>
        <v>4.7272727272727275</v>
      </c>
      <c r="AJ262">
        <f t="shared" si="98"/>
        <v>3.7272727272727271</v>
      </c>
      <c r="AK262" t="s">
        <v>319</v>
      </c>
      <c r="AL262">
        <v>54</v>
      </c>
      <c r="AM262" t="s">
        <v>140</v>
      </c>
      <c r="AN262" t="s">
        <v>324</v>
      </c>
      <c r="AO262">
        <v>0.995</v>
      </c>
    </row>
    <row r="263" spans="1:41" ht="15.6">
      <c r="A263">
        <v>8</v>
      </c>
      <c r="B263" t="s">
        <v>321</v>
      </c>
      <c r="C263" t="s">
        <v>322</v>
      </c>
      <c r="D263" s="3">
        <f t="shared" si="88"/>
        <v>20</v>
      </c>
      <c r="E263" s="3">
        <f t="shared" si="89"/>
        <v>10</v>
      </c>
      <c r="F263">
        <v>2019</v>
      </c>
      <c r="G263">
        <f t="shared" si="99"/>
        <v>6</v>
      </c>
      <c r="H263">
        <f t="shared" si="90"/>
        <v>0.46316666666666673</v>
      </c>
      <c r="I263">
        <f t="shared" si="91"/>
        <v>0.86626249999999994</v>
      </c>
      <c r="J263">
        <f t="shared" si="92"/>
        <v>11</v>
      </c>
      <c r="K263">
        <v>2</v>
      </c>
      <c r="L263">
        <v>1</v>
      </c>
      <c r="M263" s="12">
        <f t="shared" si="93"/>
        <v>0.30102013888888873</v>
      </c>
      <c r="N263">
        <f t="shared" si="87"/>
        <v>0.16542511046306471</v>
      </c>
      <c r="O263">
        <f t="shared" si="94"/>
        <v>0.54865302230908086</v>
      </c>
      <c r="P263" t="s">
        <v>493</v>
      </c>
      <c r="Q263" t="s">
        <v>501</v>
      </c>
      <c r="R263" t="s">
        <v>261</v>
      </c>
      <c r="S263">
        <f t="shared" si="95"/>
        <v>3.0197777777777777</v>
      </c>
      <c r="T263" t="s">
        <v>263</v>
      </c>
      <c r="U263">
        <v>42</v>
      </c>
      <c r="W263">
        <f t="shared" si="96"/>
        <v>49.454545454545453</v>
      </c>
      <c r="Y263">
        <v>1986</v>
      </c>
      <c r="Z263">
        <f>2025-AVERAGE($Y$256:$Y$266)</f>
        <v>17.727272727272748</v>
      </c>
      <c r="AE263">
        <v>1</v>
      </c>
      <c r="AF263" t="s">
        <v>138</v>
      </c>
      <c r="AG263">
        <v>4</v>
      </c>
      <c r="AH263">
        <v>4</v>
      </c>
      <c r="AI263">
        <f t="shared" si="97"/>
        <v>4.7272727272727275</v>
      </c>
      <c r="AJ263">
        <f t="shared" si="98"/>
        <v>3.7272727272727271</v>
      </c>
      <c r="AK263" t="s">
        <v>319</v>
      </c>
      <c r="AL263">
        <v>54</v>
      </c>
      <c r="AM263" t="s">
        <v>140</v>
      </c>
      <c r="AN263" t="s">
        <v>324</v>
      </c>
      <c r="AO263">
        <v>0.995</v>
      </c>
    </row>
    <row r="264" spans="1:41" ht="15.6">
      <c r="A264">
        <v>8</v>
      </c>
      <c r="B264" t="s">
        <v>321</v>
      </c>
      <c r="C264" t="s">
        <v>322</v>
      </c>
      <c r="D264" s="3">
        <f t="shared" si="88"/>
        <v>20</v>
      </c>
      <c r="E264" s="3">
        <f t="shared" si="89"/>
        <v>10</v>
      </c>
      <c r="F264">
        <v>2019</v>
      </c>
      <c r="G264">
        <f t="shared" si="99"/>
        <v>6</v>
      </c>
      <c r="H264">
        <f t="shared" si="90"/>
        <v>0.46316666666666673</v>
      </c>
      <c r="I264">
        <f t="shared" si="91"/>
        <v>0.86626249999999994</v>
      </c>
      <c r="J264">
        <f t="shared" si="92"/>
        <v>11</v>
      </c>
      <c r="K264">
        <v>2</v>
      </c>
      <c r="L264">
        <v>1</v>
      </c>
      <c r="M264" s="12">
        <f t="shared" si="93"/>
        <v>0.30102013888888873</v>
      </c>
      <c r="N264">
        <f t="shared" si="87"/>
        <v>0.16542511046306471</v>
      </c>
      <c r="O264">
        <f t="shared" si="94"/>
        <v>0.54865302230908086</v>
      </c>
      <c r="P264" t="s">
        <v>494</v>
      </c>
      <c r="Q264" t="s">
        <v>504</v>
      </c>
      <c r="R264" t="s">
        <v>261</v>
      </c>
      <c r="S264">
        <f t="shared" si="95"/>
        <v>3.0197777777777777</v>
      </c>
      <c r="T264" t="s">
        <v>263</v>
      </c>
      <c r="U264">
        <v>34</v>
      </c>
      <c r="W264">
        <f t="shared" si="96"/>
        <v>49.454545454545453</v>
      </c>
      <c r="Y264">
        <v>2013</v>
      </c>
      <c r="Z264">
        <f>2025-AVERAGE($Y$256:$Y$266)</f>
        <v>17.727272727272748</v>
      </c>
      <c r="AE264">
        <v>1</v>
      </c>
      <c r="AF264" t="s">
        <v>138</v>
      </c>
      <c r="AG264">
        <v>3</v>
      </c>
      <c r="AH264">
        <v>4</v>
      </c>
      <c r="AI264">
        <f t="shared" si="97"/>
        <v>4.7272727272727275</v>
      </c>
      <c r="AJ264">
        <f t="shared" si="98"/>
        <v>3.7272727272727271</v>
      </c>
      <c r="AK264" t="s">
        <v>319</v>
      </c>
      <c r="AL264">
        <v>54</v>
      </c>
      <c r="AM264" t="s">
        <v>140</v>
      </c>
      <c r="AN264" t="s">
        <v>324</v>
      </c>
      <c r="AO264">
        <v>0.995</v>
      </c>
    </row>
    <row r="265" spans="1:41" ht="15.6">
      <c r="A265">
        <v>8</v>
      </c>
      <c r="B265" t="s">
        <v>321</v>
      </c>
      <c r="C265" t="s">
        <v>322</v>
      </c>
      <c r="D265" s="3">
        <f t="shared" si="88"/>
        <v>20</v>
      </c>
      <c r="E265" s="3">
        <f t="shared" si="89"/>
        <v>10</v>
      </c>
      <c r="F265">
        <v>2019</v>
      </c>
      <c r="G265">
        <f t="shared" si="99"/>
        <v>6</v>
      </c>
      <c r="H265">
        <f t="shared" si="90"/>
        <v>0.46316666666666673</v>
      </c>
      <c r="I265">
        <f t="shared" si="91"/>
        <v>0.86626249999999994</v>
      </c>
      <c r="J265">
        <f t="shared" si="92"/>
        <v>11</v>
      </c>
      <c r="K265">
        <v>2</v>
      </c>
      <c r="L265">
        <v>1</v>
      </c>
      <c r="M265" s="12">
        <f t="shared" si="93"/>
        <v>0.30102013888888873</v>
      </c>
      <c r="N265">
        <f t="shared" si="87"/>
        <v>0.16542511046306471</v>
      </c>
      <c r="O265">
        <f t="shared" si="94"/>
        <v>0.54865302230908086</v>
      </c>
      <c r="P265" t="s">
        <v>495</v>
      </c>
      <c r="Q265" t="s">
        <v>505</v>
      </c>
      <c r="R265">
        <v>0.84699999999999998</v>
      </c>
      <c r="S265">
        <f t="shared" si="95"/>
        <v>3.0197777777777777</v>
      </c>
      <c r="T265" t="s">
        <v>263</v>
      </c>
      <c r="U265">
        <v>40</v>
      </c>
      <c r="W265">
        <f t="shared" si="96"/>
        <v>49.454545454545453</v>
      </c>
      <c r="Y265">
        <v>2010</v>
      </c>
      <c r="Z265">
        <f>2025-AVERAGE($Y$256:$Y$266)</f>
        <v>17.727272727272748</v>
      </c>
      <c r="AE265">
        <v>1</v>
      </c>
      <c r="AF265" t="s">
        <v>138</v>
      </c>
      <c r="AG265">
        <v>5</v>
      </c>
      <c r="AH265">
        <v>3</v>
      </c>
      <c r="AI265">
        <f t="shared" si="97"/>
        <v>4.7272727272727275</v>
      </c>
      <c r="AJ265">
        <f t="shared" si="98"/>
        <v>3.7272727272727271</v>
      </c>
      <c r="AK265" t="s">
        <v>319</v>
      </c>
      <c r="AL265">
        <v>54</v>
      </c>
      <c r="AM265" t="s">
        <v>140</v>
      </c>
      <c r="AN265" t="s">
        <v>324</v>
      </c>
      <c r="AO265">
        <v>0.995</v>
      </c>
    </row>
    <row r="266" spans="1:41" ht="15.6">
      <c r="A266">
        <v>8</v>
      </c>
      <c r="B266" t="s">
        <v>321</v>
      </c>
      <c r="C266" t="s">
        <v>322</v>
      </c>
      <c r="D266" s="3">
        <f t="shared" si="88"/>
        <v>20</v>
      </c>
      <c r="E266" s="3">
        <f t="shared" si="89"/>
        <v>10</v>
      </c>
      <c r="F266">
        <v>2019</v>
      </c>
      <c r="G266">
        <f t="shared" si="99"/>
        <v>6</v>
      </c>
      <c r="H266">
        <f>AVERAGE($AD$256:$AD$266)</f>
        <v>0.46316666666666673</v>
      </c>
      <c r="I266">
        <f t="shared" si="91"/>
        <v>0.86626249999999994</v>
      </c>
      <c r="J266">
        <f t="shared" si="92"/>
        <v>11</v>
      </c>
      <c r="K266">
        <v>2</v>
      </c>
      <c r="L266">
        <v>1</v>
      </c>
      <c r="M266" s="12">
        <f t="shared" si="93"/>
        <v>0.30102013888888873</v>
      </c>
      <c r="N266">
        <f t="shared" si="87"/>
        <v>0.16542511046306471</v>
      </c>
      <c r="O266">
        <f t="shared" si="94"/>
        <v>0.54865302230908086</v>
      </c>
      <c r="P266" t="s">
        <v>496</v>
      </c>
      <c r="Q266" t="s">
        <v>111</v>
      </c>
      <c r="R266">
        <v>12.052</v>
      </c>
      <c r="S266">
        <f t="shared" si="95"/>
        <v>3.0197777777777777</v>
      </c>
      <c r="T266" t="s">
        <v>263</v>
      </c>
      <c r="U266">
        <v>19</v>
      </c>
      <c r="W266">
        <f t="shared" si="96"/>
        <v>49.454545454545453</v>
      </c>
      <c r="Y266">
        <v>2014</v>
      </c>
      <c r="Z266">
        <f>2025-AVERAGE($Y$256:$Y$266)</f>
        <v>17.727272727272748</v>
      </c>
      <c r="AE266">
        <v>1</v>
      </c>
      <c r="AF266" t="s">
        <v>138</v>
      </c>
      <c r="AG266">
        <v>10</v>
      </c>
      <c r="AH266">
        <v>1</v>
      </c>
      <c r="AI266">
        <f t="shared" si="97"/>
        <v>4.7272727272727275</v>
      </c>
      <c r="AJ266">
        <f t="shared" si="98"/>
        <v>3.7272727272727271</v>
      </c>
      <c r="AK266" t="s">
        <v>319</v>
      </c>
      <c r="AL266">
        <v>54</v>
      </c>
      <c r="AM266" t="s">
        <v>140</v>
      </c>
      <c r="AN266" t="s">
        <v>324</v>
      </c>
      <c r="AO266">
        <v>0.995</v>
      </c>
    </row>
    <row r="267" spans="1:41" ht="15.6">
      <c r="A267">
        <v>9</v>
      </c>
      <c r="B267" t="s">
        <v>326</v>
      </c>
      <c r="C267" t="s">
        <v>327</v>
      </c>
      <c r="D267" s="3">
        <f>100*(21/24)</f>
        <v>87.5</v>
      </c>
      <c r="E267" s="3">
        <f>100*(13/15)</f>
        <v>86.666666666666671</v>
      </c>
      <c r="F267">
        <v>2022</v>
      </c>
      <c r="G267">
        <f t="shared" si="99"/>
        <v>3</v>
      </c>
      <c r="H267">
        <f>AVERAGE($AD$267:$AD$290)</f>
        <v>0.85995833333333327</v>
      </c>
      <c r="I267">
        <f>AVERAGE($AC$267:$AC$290)</f>
        <v>0.84153858024691353</v>
      </c>
      <c r="J267">
        <f>COUNTA($P$267:$P$290)</f>
        <v>24</v>
      </c>
      <c r="K267">
        <v>2</v>
      </c>
      <c r="L267">
        <v>3</v>
      </c>
      <c r="M267" s="12">
        <f>_xlfn.VAR.P($AD$267:$AD$290)</f>
        <v>0.58113887326388913</v>
      </c>
      <c r="N267">
        <f t="shared" ref="N267:N290" si="100">$O$267/SQRT($J$267)</f>
        <v>0.15560886774001256</v>
      </c>
      <c r="O267">
        <f>_xlfn.STDEV.P($AD$267:$AD$290)</f>
        <v>0.7623246508305298</v>
      </c>
      <c r="P267" t="s">
        <v>340</v>
      </c>
      <c r="Q267" t="s">
        <v>506</v>
      </c>
      <c r="R267">
        <v>11.385999999999999</v>
      </c>
      <c r="S267">
        <f>AVERAGE($R$267:$R$290)</f>
        <v>13.125666666666666</v>
      </c>
      <c r="U267">
        <v>35</v>
      </c>
      <c r="W267">
        <f>AVERAGE($U$267:$U$290)</f>
        <v>31.375</v>
      </c>
      <c r="Y267">
        <v>2008</v>
      </c>
      <c r="Z267">
        <f>2025-AVERAGE($Y$267:$Y$290)</f>
        <v>14.333333333333258</v>
      </c>
      <c r="AA267">
        <v>1.5652292712493199E-3</v>
      </c>
      <c r="AB267">
        <v>2.0083203784069E-7</v>
      </c>
      <c r="AC267">
        <v>0.69</v>
      </c>
      <c r="AD267" s="3">
        <v>0.7</v>
      </c>
      <c r="AE267">
        <v>0</v>
      </c>
      <c r="AF267" t="s">
        <v>186</v>
      </c>
      <c r="AG267">
        <v>24</v>
      </c>
      <c r="AH267">
        <v>7</v>
      </c>
      <c r="AI267">
        <f>AVERAGE($AG$267:$AG$290)</f>
        <v>24.666666666666668</v>
      </c>
      <c r="AJ267">
        <f>AVERAGE($AH$267:$AH$290)</f>
        <v>11.541666666666666</v>
      </c>
      <c r="AK267" t="s">
        <v>319</v>
      </c>
      <c r="AL267">
        <v>94</v>
      </c>
      <c r="AM267" t="s">
        <v>140</v>
      </c>
      <c r="AN267" t="s">
        <v>352</v>
      </c>
      <c r="AO267">
        <v>1.3</v>
      </c>
    </row>
    <row r="268" spans="1:41" ht="15.6">
      <c r="A268">
        <v>9</v>
      </c>
      <c r="B268" t="s">
        <v>326</v>
      </c>
      <c r="C268" t="s">
        <v>327</v>
      </c>
      <c r="D268" s="3">
        <f t="shared" ref="D268:D290" si="101">100*(21/24)</f>
        <v>87.5</v>
      </c>
      <c r="E268" s="3">
        <f t="shared" ref="E268:E290" si="102">100*(13/15)</f>
        <v>86.666666666666671</v>
      </c>
      <c r="F268">
        <v>2022</v>
      </c>
      <c r="G268">
        <f t="shared" si="99"/>
        <v>3</v>
      </c>
      <c r="H268">
        <f t="shared" ref="H268:H290" si="103">AVERAGE($AD$267:$AD$290)</f>
        <v>0.85995833333333327</v>
      </c>
      <c r="I268">
        <f t="shared" ref="I268:I290" si="104">AVERAGE($AC$267:$AC$290)</f>
        <v>0.84153858024691353</v>
      </c>
      <c r="J268">
        <f t="shared" ref="J268:J290" si="105">COUNTA($P$267:$P$290)</f>
        <v>24</v>
      </c>
      <c r="K268">
        <v>2</v>
      </c>
      <c r="L268">
        <v>3</v>
      </c>
      <c r="M268" s="12">
        <f t="shared" ref="M268:M291" si="106">_xlfn.VAR.P($AD$267:$AD$290)</f>
        <v>0.58113887326388913</v>
      </c>
      <c r="N268">
        <f t="shared" si="100"/>
        <v>0.15560886774001256</v>
      </c>
      <c r="O268">
        <f t="shared" ref="O268:O290" si="107">_xlfn.STDEV.P($AD$267:$AD$290)</f>
        <v>0.7623246508305298</v>
      </c>
      <c r="P268" t="s">
        <v>341</v>
      </c>
      <c r="Q268" t="s">
        <v>506</v>
      </c>
      <c r="R268">
        <v>13.984</v>
      </c>
      <c r="S268">
        <f t="shared" ref="S268:S290" si="108">AVERAGE($R$267:$R$290)</f>
        <v>13.125666666666666</v>
      </c>
      <c r="U268">
        <v>26</v>
      </c>
      <c r="W268">
        <f t="shared" ref="W268:W290" si="109">AVERAGE($U$267:$U$290)</f>
        <v>31.375</v>
      </c>
      <c r="Y268">
        <v>2012</v>
      </c>
      <c r="Z268">
        <f>2025-AVERAGE($Y$267:$Y$290)</f>
        <v>14.333333333333258</v>
      </c>
      <c r="AC268">
        <v>0.20699999999999999</v>
      </c>
      <c r="AD268" s="3">
        <v>0.26</v>
      </c>
      <c r="AE268">
        <v>0</v>
      </c>
      <c r="AF268" t="s">
        <v>186</v>
      </c>
      <c r="AG268">
        <v>30</v>
      </c>
      <c r="AH268">
        <v>8</v>
      </c>
      <c r="AI268">
        <f t="shared" ref="AI268:AI290" si="110">AVERAGE($AG$267:$AG$290)</f>
        <v>24.666666666666668</v>
      </c>
      <c r="AJ268">
        <f t="shared" ref="AJ268:AJ290" si="111">AVERAGE($AH$267:$AH$290)</f>
        <v>11.541666666666666</v>
      </c>
      <c r="AK268" t="s">
        <v>319</v>
      </c>
      <c r="AL268">
        <v>94</v>
      </c>
      <c r="AM268" t="s">
        <v>140</v>
      </c>
      <c r="AN268" t="s">
        <v>352</v>
      </c>
      <c r="AO268">
        <v>1.3</v>
      </c>
    </row>
    <row r="269" spans="1:41" ht="15.6">
      <c r="A269">
        <v>9</v>
      </c>
      <c r="B269" t="s">
        <v>326</v>
      </c>
      <c r="C269" t="s">
        <v>327</v>
      </c>
      <c r="D269" s="3">
        <f t="shared" si="101"/>
        <v>87.5</v>
      </c>
      <c r="E269" s="3">
        <f t="shared" si="102"/>
        <v>86.666666666666671</v>
      </c>
      <c r="F269">
        <v>2022</v>
      </c>
      <c r="G269">
        <f t="shared" si="99"/>
        <v>3</v>
      </c>
      <c r="H269">
        <f t="shared" si="103"/>
        <v>0.85995833333333327</v>
      </c>
      <c r="I269">
        <f t="shared" si="104"/>
        <v>0.84153858024691353</v>
      </c>
      <c r="J269">
        <f t="shared" si="105"/>
        <v>24</v>
      </c>
      <c r="K269">
        <v>2</v>
      </c>
      <c r="L269">
        <v>3</v>
      </c>
      <c r="M269" s="12">
        <f t="shared" si="106"/>
        <v>0.58113887326388913</v>
      </c>
      <c r="N269">
        <f t="shared" si="100"/>
        <v>0.15560886774001256</v>
      </c>
      <c r="O269">
        <f t="shared" si="107"/>
        <v>0.7623246508305298</v>
      </c>
      <c r="P269" t="s">
        <v>328</v>
      </c>
      <c r="Q269" t="s">
        <v>506</v>
      </c>
      <c r="R269">
        <v>11.385999999999999</v>
      </c>
      <c r="S269">
        <f t="shared" si="108"/>
        <v>13.125666666666666</v>
      </c>
      <c r="U269">
        <v>25</v>
      </c>
      <c r="W269">
        <f t="shared" si="109"/>
        <v>31.375</v>
      </c>
      <c r="Y269">
        <v>2008</v>
      </c>
      <c r="Z269">
        <f>2025-AVERAGE($Y$267:$Y$290)</f>
        <v>14.333333333333258</v>
      </c>
      <c r="AA269">
        <v>0.48962764575041701</v>
      </c>
      <c r="AB269">
        <v>4.3950663614796603E-2</v>
      </c>
      <c r="AC269">
        <v>0.95</v>
      </c>
      <c r="AD269" s="3">
        <v>0.92</v>
      </c>
      <c r="AE269">
        <v>0</v>
      </c>
      <c r="AF269" t="s">
        <v>186</v>
      </c>
      <c r="AG269">
        <v>12</v>
      </c>
      <c r="AH269">
        <v>6</v>
      </c>
      <c r="AI269">
        <f t="shared" si="110"/>
        <v>24.666666666666668</v>
      </c>
      <c r="AJ269">
        <f t="shared" si="111"/>
        <v>11.541666666666666</v>
      </c>
      <c r="AK269" t="s">
        <v>319</v>
      </c>
      <c r="AL269">
        <v>94</v>
      </c>
      <c r="AM269" t="s">
        <v>140</v>
      </c>
      <c r="AN269" t="s">
        <v>352</v>
      </c>
      <c r="AO269">
        <v>1.3</v>
      </c>
    </row>
    <row r="270" spans="1:41" ht="15.6">
      <c r="A270">
        <v>9</v>
      </c>
      <c r="B270" t="s">
        <v>326</v>
      </c>
      <c r="C270" t="s">
        <v>327</v>
      </c>
      <c r="D270" s="3">
        <f t="shared" si="101"/>
        <v>87.5</v>
      </c>
      <c r="E270" s="3">
        <f t="shared" si="102"/>
        <v>86.666666666666671</v>
      </c>
      <c r="F270">
        <v>2022</v>
      </c>
      <c r="G270">
        <f t="shared" si="99"/>
        <v>3</v>
      </c>
      <c r="H270">
        <f t="shared" si="103"/>
        <v>0.85995833333333327</v>
      </c>
      <c r="I270">
        <f t="shared" si="104"/>
        <v>0.84153858024691353</v>
      </c>
      <c r="J270">
        <f t="shared" si="105"/>
        <v>24</v>
      </c>
      <c r="K270">
        <v>2</v>
      </c>
      <c r="L270">
        <v>3</v>
      </c>
      <c r="M270" s="12">
        <f t="shared" si="106"/>
        <v>0.58113887326388913</v>
      </c>
      <c r="N270">
        <f t="shared" si="100"/>
        <v>0.15560886774001256</v>
      </c>
      <c r="O270">
        <f t="shared" si="107"/>
        <v>0.7623246508305298</v>
      </c>
      <c r="P270" t="s">
        <v>349</v>
      </c>
      <c r="Q270" t="s">
        <v>506</v>
      </c>
      <c r="R270">
        <v>13.984</v>
      </c>
      <c r="S270">
        <f t="shared" si="108"/>
        <v>13.125666666666666</v>
      </c>
      <c r="U270">
        <v>39</v>
      </c>
      <c r="W270">
        <f t="shared" si="109"/>
        <v>31.375</v>
      </c>
      <c r="Y270">
        <v>2012</v>
      </c>
      <c r="Z270">
        <f>2025-AVERAGE($Y$267:$Y$290)</f>
        <v>14.333333333333258</v>
      </c>
      <c r="AC270">
        <v>0.125925925925926</v>
      </c>
      <c r="AD270" s="3">
        <v>0.27</v>
      </c>
      <c r="AE270">
        <v>0</v>
      </c>
      <c r="AF270" t="s">
        <v>186</v>
      </c>
      <c r="AG270">
        <v>26</v>
      </c>
      <c r="AH270">
        <v>16</v>
      </c>
      <c r="AI270">
        <f t="shared" si="110"/>
        <v>24.666666666666668</v>
      </c>
      <c r="AJ270">
        <f t="shared" si="111"/>
        <v>11.541666666666666</v>
      </c>
      <c r="AK270" t="s">
        <v>319</v>
      </c>
      <c r="AL270">
        <v>94</v>
      </c>
      <c r="AM270" t="s">
        <v>140</v>
      </c>
      <c r="AN270" t="s">
        <v>352</v>
      </c>
      <c r="AO270">
        <v>1.3</v>
      </c>
    </row>
    <row r="271" spans="1:41" ht="15.6">
      <c r="A271">
        <v>9</v>
      </c>
      <c r="B271" t="s">
        <v>326</v>
      </c>
      <c r="C271" t="s">
        <v>327</v>
      </c>
      <c r="D271" s="3">
        <f t="shared" si="101"/>
        <v>87.5</v>
      </c>
      <c r="E271" s="3">
        <f t="shared" si="102"/>
        <v>86.666666666666671</v>
      </c>
      <c r="F271">
        <v>2022</v>
      </c>
      <c r="G271">
        <f t="shared" si="99"/>
        <v>3</v>
      </c>
      <c r="H271">
        <f t="shared" si="103"/>
        <v>0.85995833333333327</v>
      </c>
      <c r="I271">
        <f t="shared" si="104"/>
        <v>0.84153858024691353</v>
      </c>
      <c r="J271">
        <f t="shared" si="105"/>
        <v>24</v>
      </c>
      <c r="K271">
        <v>2</v>
      </c>
      <c r="L271">
        <v>3</v>
      </c>
      <c r="M271" s="12">
        <f t="shared" si="106"/>
        <v>0.58113887326388913</v>
      </c>
      <c r="N271">
        <f t="shared" si="100"/>
        <v>0.15560886774001256</v>
      </c>
      <c r="O271">
        <f t="shared" si="107"/>
        <v>0.7623246508305298</v>
      </c>
      <c r="P271" t="s">
        <v>329</v>
      </c>
      <c r="Q271" t="s">
        <v>506</v>
      </c>
      <c r="R271">
        <v>9.8879999999999999</v>
      </c>
      <c r="S271">
        <f t="shared" si="108"/>
        <v>13.125666666666666</v>
      </c>
      <c r="U271">
        <v>35</v>
      </c>
      <c r="W271">
        <f t="shared" si="109"/>
        <v>31.375</v>
      </c>
      <c r="Y271">
        <v>2005</v>
      </c>
      <c r="Z271">
        <f>2025-AVERAGE($Y$267:$Y$290)</f>
        <v>14.333333333333258</v>
      </c>
      <c r="AA271">
        <v>2.5035186769213002E-6</v>
      </c>
      <c r="AB271">
        <v>1.3701784291237899E-4</v>
      </c>
      <c r="AC271">
        <v>0.63</v>
      </c>
      <c r="AD271" s="3">
        <v>0.68</v>
      </c>
      <c r="AE271">
        <v>0</v>
      </c>
      <c r="AF271" t="s">
        <v>186</v>
      </c>
      <c r="AG271">
        <v>12</v>
      </c>
      <c r="AH271">
        <v>5</v>
      </c>
      <c r="AI271">
        <f t="shared" si="110"/>
        <v>24.666666666666668</v>
      </c>
      <c r="AJ271">
        <f t="shared" si="111"/>
        <v>11.541666666666666</v>
      </c>
      <c r="AK271" t="s">
        <v>319</v>
      </c>
      <c r="AL271">
        <v>94</v>
      </c>
      <c r="AM271" t="s">
        <v>140</v>
      </c>
      <c r="AN271" t="s">
        <v>352</v>
      </c>
      <c r="AO271">
        <v>1.3</v>
      </c>
    </row>
    <row r="272" spans="1:41" ht="15.6">
      <c r="A272">
        <v>9</v>
      </c>
      <c r="B272" t="s">
        <v>326</v>
      </c>
      <c r="C272" t="s">
        <v>327</v>
      </c>
      <c r="D272" s="3">
        <f t="shared" si="101"/>
        <v>87.5</v>
      </c>
      <c r="E272" s="3">
        <f t="shared" si="102"/>
        <v>86.666666666666671</v>
      </c>
      <c r="F272">
        <v>2022</v>
      </c>
      <c r="G272">
        <f t="shared" si="99"/>
        <v>3</v>
      </c>
      <c r="H272">
        <f t="shared" si="103"/>
        <v>0.85995833333333327</v>
      </c>
      <c r="I272">
        <f t="shared" si="104"/>
        <v>0.84153858024691353</v>
      </c>
      <c r="J272">
        <f t="shared" si="105"/>
        <v>24</v>
      </c>
      <c r="K272">
        <v>2</v>
      </c>
      <c r="L272">
        <v>3</v>
      </c>
      <c r="M272" s="12">
        <f t="shared" si="106"/>
        <v>0.58113887326388913</v>
      </c>
      <c r="N272">
        <f t="shared" si="100"/>
        <v>0.15560886774001256</v>
      </c>
      <c r="O272">
        <f t="shared" si="107"/>
        <v>0.7623246508305298</v>
      </c>
      <c r="P272" t="s">
        <v>342</v>
      </c>
      <c r="Q272" t="s">
        <v>506</v>
      </c>
      <c r="R272">
        <v>13.673999999999999</v>
      </c>
      <c r="S272">
        <f t="shared" si="108"/>
        <v>13.125666666666666</v>
      </c>
      <c r="U272">
        <v>24</v>
      </c>
      <c r="W272">
        <f t="shared" si="109"/>
        <v>31.375</v>
      </c>
      <c r="Y272">
        <v>2008</v>
      </c>
      <c r="Z272">
        <f>2025-AVERAGE($Y$267:$Y$290)</f>
        <v>14.333333333333258</v>
      </c>
      <c r="AA272">
        <v>3.5157951624889203E-2</v>
      </c>
      <c r="AB272">
        <v>2.5319986243844798E-6</v>
      </c>
      <c r="AC272">
        <v>1.34</v>
      </c>
      <c r="AD272" s="3">
        <v>1.29</v>
      </c>
      <c r="AE272">
        <v>0</v>
      </c>
      <c r="AF272" t="s">
        <v>186</v>
      </c>
      <c r="AG272">
        <v>14</v>
      </c>
      <c r="AH272">
        <v>7</v>
      </c>
      <c r="AI272">
        <f t="shared" si="110"/>
        <v>24.666666666666668</v>
      </c>
      <c r="AJ272">
        <f t="shared" si="111"/>
        <v>11.541666666666666</v>
      </c>
      <c r="AK272" t="s">
        <v>319</v>
      </c>
      <c r="AL272">
        <v>94</v>
      </c>
      <c r="AM272" t="s">
        <v>140</v>
      </c>
      <c r="AN272" t="s">
        <v>352</v>
      </c>
      <c r="AO272">
        <v>1.3</v>
      </c>
    </row>
    <row r="273" spans="1:41" ht="15.6">
      <c r="A273">
        <v>9</v>
      </c>
      <c r="B273" t="s">
        <v>326</v>
      </c>
      <c r="C273" t="s">
        <v>327</v>
      </c>
      <c r="D273" s="3">
        <f t="shared" si="101"/>
        <v>87.5</v>
      </c>
      <c r="E273" s="3">
        <f t="shared" si="102"/>
        <v>86.666666666666671</v>
      </c>
      <c r="F273">
        <v>2022</v>
      </c>
      <c r="G273">
        <f t="shared" si="99"/>
        <v>3</v>
      </c>
      <c r="H273">
        <f t="shared" si="103"/>
        <v>0.85995833333333327</v>
      </c>
      <c r="I273">
        <f t="shared" si="104"/>
        <v>0.84153858024691353</v>
      </c>
      <c r="J273">
        <f t="shared" si="105"/>
        <v>24</v>
      </c>
      <c r="K273">
        <v>2</v>
      </c>
      <c r="L273">
        <v>3</v>
      </c>
      <c r="M273" s="12">
        <f t="shared" si="106"/>
        <v>0.58113887326388913</v>
      </c>
      <c r="N273">
        <f t="shared" si="100"/>
        <v>0.15560886774001256</v>
      </c>
      <c r="O273">
        <f t="shared" si="107"/>
        <v>0.7623246508305298</v>
      </c>
      <c r="P273" t="s">
        <v>330</v>
      </c>
      <c r="Q273" t="s">
        <v>506</v>
      </c>
      <c r="R273">
        <v>9.8879999999999999</v>
      </c>
      <c r="S273">
        <f t="shared" si="108"/>
        <v>13.125666666666666</v>
      </c>
      <c r="U273">
        <v>40</v>
      </c>
      <c r="W273">
        <f t="shared" si="109"/>
        <v>31.375</v>
      </c>
      <c r="Y273">
        <v>2011</v>
      </c>
      <c r="Z273">
        <f>2025-AVERAGE($Y$267:$Y$290)</f>
        <v>14.333333333333258</v>
      </c>
      <c r="AA273">
        <v>0.88767917078618597</v>
      </c>
      <c r="AB273">
        <v>3.8134791749028139E-2</v>
      </c>
      <c r="AC273">
        <v>0.99</v>
      </c>
      <c r="AD273" s="3">
        <v>0.86</v>
      </c>
      <c r="AE273">
        <v>0</v>
      </c>
      <c r="AF273" t="s">
        <v>186</v>
      </c>
      <c r="AG273">
        <v>13</v>
      </c>
      <c r="AH273">
        <v>7</v>
      </c>
      <c r="AI273">
        <f t="shared" si="110"/>
        <v>24.666666666666668</v>
      </c>
      <c r="AJ273">
        <f t="shared" si="111"/>
        <v>11.541666666666666</v>
      </c>
      <c r="AK273" t="s">
        <v>319</v>
      </c>
      <c r="AL273">
        <v>94</v>
      </c>
      <c r="AM273" t="s">
        <v>140</v>
      </c>
      <c r="AN273" t="s">
        <v>352</v>
      </c>
      <c r="AO273">
        <v>1.3</v>
      </c>
    </row>
    <row r="274" spans="1:41" ht="15.6">
      <c r="A274">
        <v>9</v>
      </c>
      <c r="B274" t="s">
        <v>326</v>
      </c>
      <c r="C274" t="s">
        <v>327</v>
      </c>
      <c r="D274" s="3">
        <f t="shared" si="101"/>
        <v>87.5</v>
      </c>
      <c r="E274" s="3">
        <f t="shared" si="102"/>
        <v>86.666666666666671</v>
      </c>
      <c r="F274">
        <v>2022</v>
      </c>
      <c r="G274">
        <f t="shared" ref="G274:G337" si="112">2025-F274</f>
        <v>3</v>
      </c>
      <c r="H274">
        <f t="shared" si="103"/>
        <v>0.85995833333333327</v>
      </c>
      <c r="I274">
        <f t="shared" si="104"/>
        <v>0.84153858024691353</v>
      </c>
      <c r="J274">
        <f t="shared" si="105"/>
        <v>24</v>
      </c>
      <c r="K274">
        <v>2</v>
      </c>
      <c r="L274">
        <v>3</v>
      </c>
      <c r="M274" s="12">
        <f t="shared" si="106"/>
        <v>0.58113887326388913</v>
      </c>
      <c r="N274">
        <f t="shared" si="100"/>
        <v>0.15560886774001256</v>
      </c>
      <c r="O274">
        <f t="shared" si="107"/>
        <v>0.7623246508305298</v>
      </c>
      <c r="P274" t="s">
        <v>343</v>
      </c>
      <c r="Q274" t="s">
        <v>506</v>
      </c>
      <c r="R274">
        <v>13.148999999999999</v>
      </c>
      <c r="S274">
        <f t="shared" si="108"/>
        <v>13.125666666666666</v>
      </c>
      <c r="U274">
        <v>37</v>
      </c>
      <c r="W274">
        <f t="shared" si="109"/>
        <v>31.375</v>
      </c>
      <c r="Y274">
        <v>2005</v>
      </c>
      <c r="Z274">
        <f>2025-AVERAGE($Y$267:$Y$290)</f>
        <v>14.333333333333258</v>
      </c>
      <c r="AA274">
        <v>8.8070035594555602E-8</v>
      </c>
      <c r="AB274">
        <v>8.8919332484237E-8</v>
      </c>
      <c r="AC274">
        <v>0.54</v>
      </c>
      <c r="AD274" s="3">
        <v>0.77</v>
      </c>
      <c r="AE274">
        <v>0</v>
      </c>
      <c r="AF274" t="s">
        <v>186</v>
      </c>
      <c r="AG274">
        <v>32</v>
      </c>
      <c r="AH274">
        <v>5</v>
      </c>
      <c r="AI274">
        <f t="shared" si="110"/>
        <v>24.666666666666668</v>
      </c>
      <c r="AJ274">
        <f t="shared" si="111"/>
        <v>11.541666666666666</v>
      </c>
      <c r="AK274" t="s">
        <v>319</v>
      </c>
      <c r="AL274">
        <v>94</v>
      </c>
      <c r="AM274" t="s">
        <v>140</v>
      </c>
      <c r="AN274" t="s">
        <v>352</v>
      </c>
      <c r="AO274">
        <v>1.3</v>
      </c>
    </row>
    <row r="275" spans="1:41" ht="15.6">
      <c r="A275">
        <v>9</v>
      </c>
      <c r="B275" t="s">
        <v>326</v>
      </c>
      <c r="C275" t="s">
        <v>327</v>
      </c>
      <c r="D275" s="3">
        <f t="shared" si="101"/>
        <v>87.5</v>
      </c>
      <c r="E275" s="3">
        <f t="shared" si="102"/>
        <v>86.666666666666671</v>
      </c>
      <c r="F275">
        <v>2022</v>
      </c>
      <c r="G275">
        <f t="shared" si="112"/>
        <v>3</v>
      </c>
      <c r="H275">
        <f t="shared" si="103"/>
        <v>0.85995833333333327</v>
      </c>
      <c r="I275">
        <f t="shared" si="104"/>
        <v>0.84153858024691353</v>
      </c>
      <c r="J275">
        <f t="shared" si="105"/>
        <v>24</v>
      </c>
      <c r="K275">
        <v>2</v>
      </c>
      <c r="L275">
        <v>3</v>
      </c>
      <c r="M275" s="12">
        <f t="shared" si="106"/>
        <v>0.58113887326388913</v>
      </c>
      <c r="N275">
        <f t="shared" si="100"/>
        <v>0.15560886774001256</v>
      </c>
      <c r="O275">
        <f t="shared" si="107"/>
        <v>0.7623246508305298</v>
      </c>
      <c r="P275" t="s">
        <v>350</v>
      </c>
      <c r="Q275" t="s">
        <v>506</v>
      </c>
      <c r="R275">
        <v>13.148999999999999</v>
      </c>
      <c r="S275">
        <f t="shared" si="108"/>
        <v>13.125666666666666</v>
      </c>
      <c r="U275">
        <v>30</v>
      </c>
      <c r="W275">
        <f t="shared" si="109"/>
        <v>31.375</v>
      </c>
      <c r="Y275">
        <v>2010</v>
      </c>
      <c r="Z275">
        <f>2025-AVERAGE($Y$267:$Y$290)</f>
        <v>14.333333333333258</v>
      </c>
      <c r="AA275">
        <v>2.9192655177205402E-12</v>
      </c>
      <c r="AB275">
        <v>1.3564189906308565E-5</v>
      </c>
      <c r="AC275">
        <v>0.32</v>
      </c>
      <c r="AD275" s="3">
        <v>0.39</v>
      </c>
      <c r="AE275">
        <v>0</v>
      </c>
      <c r="AF275" t="s">
        <v>186</v>
      </c>
      <c r="AG275">
        <v>23</v>
      </c>
      <c r="AH275">
        <v>8</v>
      </c>
      <c r="AI275">
        <f t="shared" si="110"/>
        <v>24.666666666666668</v>
      </c>
      <c r="AJ275">
        <f t="shared" si="111"/>
        <v>11.541666666666666</v>
      </c>
      <c r="AK275" t="s">
        <v>319</v>
      </c>
      <c r="AL275">
        <v>94</v>
      </c>
      <c r="AM275" t="s">
        <v>140</v>
      </c>
      <c r="AN275" t="s">
        <v>352</v>
      </c>
      <c r="AO275">
        <v>1.3</v>
      </c>
    </row>
    <row r="276" spans="1:41" ht="15.6">
      <c r="A276">
        <v>9</v>
      </c>
      <c r="B276" t="s">
        <v>326</v>
      </c>
      <c r="C276" t="s">
        <v>327</v>
      </c>
      <c r="D276" s="3">
        <f t="shared" si="101"/>
        <v>87.5</v>
      </c>
      <c r="E276" s="3">
        <f t="shared" si="102"/>
        <v>86.666666666666671</v>
      </c>
      <c r="F276">
        <v>2022</v>
      </c>
      <c r="G276">
        <f t="shared" si="112"/>
        <v>3</v>
      </c>
      <c r="H276">
        <f t="shared" si="103"/>
        <v>0.85995833333333327</v>
      </c>
      <c r="I276">
        <f t="shared" si="104"/>
        <v>0.84153858024691353</v>
      </c>
      <c r="J276">
        <f t="shared" si="105"/>
        <v>24</v>
      </c>
      <c r="K276">
        <v>2</v>
      </c>
      <c r="L276">
        <v>3</v>
      </c>
      <c r="M276" s="12">
        <f t="shared" si="106"/>
        <v>0.58113887326388913</v>
      </c>
      <c r="N276">
        <f t="shared" si="100"/>
        <v>0.15560886774001256</v>
      </c>
      <c r="O276">
        <f t="shared" si="107"/>
        <v>0.7623246508305298</v>
      </c>
      <c r="P276" t="s">
        <v>331</v>
      </c>
      <c r="Q276" t="s">
        <v>506</v>
      </c>
      <c r="R276">
        <v>11.765000000000001</v>
      </c>
      <c r="S276">
        <f t="shared" si="108"/>
        <v>13.125666666666666</v>
      </c>
      <c r="U276">
        <v>38</v>
      </c>
      <c r="W276">
        <f t="shared" si="109"/>
        <v>31.375</v>
      </c>
      <c r="Y276">
        <v>2009</v>
      </c>
      <c r="Z276">
        <f>2025-AVERAGE($Y$267:$Y$290)</f>
        <v>14.333333333333258</v>
      </c>
      <c r="AA276">
        <v>3.2853617029059402E-2</v>
      </c>
      <c r="AB276">
        <v>0.51435128994221202</v>
      </c>
      <c r="AC276">
        <v>0.8</v>
      </c>
      <c r="AD276" s="3">
        <v>0.96</v>
      </c>
      <c r="AE276">
        <v>0</v>
      </c>
      <c r="AF276" t="s">
        <v>186</v>
      </c>
      <c r="AG276">
        <v>23</v>
      </c>
      <c r="AH276">
        <v>8</v>
      </c>
      <c r="AI276">
        <f t="shared" si="110"/>
        <v>24.666666666666668</v>
      </c>
      <c r="AJ276">
        <f t="shared" si="111"/>
        <v>11.541666666666666</v>
      </c>
      <c r="AK276" t="s">
        <v>319</v>
      </c>
      <c r="AL276">
        <v>94</v>
      </c>
      <c r="AM276" t="s">
        <v>140</v>
      </c>
      <c r="AN276" t="s">
        <v>352</v>
      </c>
      <c r="AO276">
        <v>1.3</v>
      </c>
    </row>
    <row r="277" spans="1:41" ht="15.6">
      <c r="A277">
        <v>9</v>
      </c>
      <c r="B277" t="s">
        <v>326</v>
      </c>
      <c r="C277" t="s">
        <v>327</v>
      </c>
      <c r="D277" s="3">
        <f t="shared" si="101"/>
        <v>87.5</v>
      </c>
      <c r="E277" s="3">
        <f t="shared" si="102"/>
        <v>86.666666666666671</v>
      </c>
      <c r="F277">
        <v>2022</v>
      </c>
      <c r="G277">
        <f t="shared" si="112"/>
        <v>3</v>
      </c>
      <c r="H277">
        <f t="shared" si="103"/>
        <v>0.85995833333333327</v>
      </c>
      <c r="I277">
        <f t="shared" si="104"/>
        <v>0.84153858024691353</v>
      </c>
      <c r="J277">
        <f t="shared" si="105"/>
        <v>24</v>
      </c>
      <c r="K277">
        <v>2</v>
      </c>
      <c r="L277">
        <v>3</v>
      </c>
      <c r="M277" s="12">
        <f t="shared" si="106"/>
        <v>0.58113887326388913</v>
      </c>
      <c r="N277">
        <f t="shared" si="100"/>
        <v>0.15560886774001256</v>
      </c>
      <c r="O277">
        <f t="shared" si="107"/>
        <v>0.7623246508305298</v>
      </c>
      <c r="P277" t="s">
        <v>332</v>
      </c>
      <c r="Q277" t="s">
        <v>506</v>
      </c>
      <c r="R277">
        <v>18.009</v>
      </c>
      <c r="S277">
        <f t="shared" si="108"/>
        <v>13.125666666666666</v>
      </c>
      <c r="U277">
        <v>16</v>
      </c>
      <c r="W277">
        <f t="shared" si="109"/>
        <v>31.375</v>
      </c>
      <c r="Y277">
        <v>2016</v>
      </c>
      <c r="Z277">
        <f>2025-AVERAGE($Y$267:$Y$290)</f>
        <v>14.333333333333258</v>
      </c>
      <c r="AA277">
        <v>1.019821116035477E-5</v>
      </c>
      <c r="AB277">
        <v>0.29756323384804828</v>
      </c>
      <c r="AC277">
        <v>0.5</v>
      </c>
      <c r="AD277" s="3">
        <v>0.69</v>
      </c>
      <c r="AE277">
        <v>0</v>
      </c>
      <c r="AF277" t="s">
        <v>186</v>
      </c>
      <c r="AG277">
        <v>18</v>
      </c>
      <c r="AH277">
        <v>15</v>
      </c>
      <c r="AI277">
        <f t="shared" si="110"/>
        <v>24.666666666666668</v>
      </c>
      <c r="AJ277">
        <f t="shared" si="111"/>
        <v>11.541666666666666</v>
      </c>
      <c r="AK277" t="s">
        <v>319</v>
      </c>
      <c r="AL277">
        <v>94</v>
      </c>
      <c r="AM277" t="s">
        <v>140</v>
      </c>
      <c r="AN277" t="s">
        <v>352</v>
      </c>
      <c r="AO277">
        <v>1.3</v>
      </c>
    </row>
    <row r="278" spans="1:41" ht="15.6">
      <c r="A278">
        <v>9</v>
      </c>
      <c r="B278" t="s">
        <v>326</v>
      </c>
      <c r="C278" t="s">
        <v>327</v>
      </c>
      <c r="D278" s="3">
        <f t="shared" si="101"/>
        <v>87.5</v>
      </c>
      <c r="E278" s="3">
        <f t="shared" si="102"/>
        <v>86.666666666666671</v>
      </c>
      <c r="F278">
        <v>2022</v>
      </c>
      <c r="G278">
        <f t="shared" si="112"/>
        <v>3</v>
      </c>
      <c r="H278">
        <f t="shared" si="103"/>
        <v>0.85995833333333327</v>
      </c>
      <c r="I278">
        <f t="shared" si="104"/>
        <v>0.84153858024691353</v>
      </c>
      <c r="J278">
        <f t="shared" si="105"/>
        <v>24</v>
      </c>
      <c r="K278">
        <v>2</v>
      </c>
      <c r="L278">
        <v>3</v>
      </c>
      <c r="M278" s="12">
        <f t="shared" si="106"/>
        <v>0.58113887326388913</v>
      </c>
      <c r="N278">
        <f t="shared" si="100"/>
        <v>0.15560886774001256</v>
      </c>
      <c r="O278">
        <f t="shared" si="107"/>
        <v>0.7623246508305298</v>
      </c>
      <c r="P278" t="s">
        <v>333</v>
      </c>
      <c r="Q278" t="s">
        <v>506</v>
      </c>
      <c r="R278">
        <v>16.591000000000001</v>
      </c>
      <c r="S278">
        <f t="shared" si="108"/>
        <v>13.125666666666666</v>
      </c>
      <c r="U278">
        <v>30</v>
      </c>
      <c r="W278">
        <f t="shared" si="109"/>
        <v>31.375</v>
      </c>
      <c r="Y278">
        <v>2015</v>
      </c>
      <c r="Z278">
        <f>2025-AVERAGE($Y$267:$Y$290)</f>
        <v>14.333333333333258</v>
      </c>
      <c r="AA278">
        <v>5.1336647390166597E-4</v>
      </c>
      <c r="AB278">
        <v>7.2942717267110197E-4</v>
      </c>
      <c r="AC278">
        <v>0.83</v>
      </c>
      <c r="AD278" s="3">
        <v>1.37</v>
      </c>
      <c r="AE278">
        <v>0</v>
      </c>
      <c r="AF278" t="s">
        <v>186</v>
      </c>
      <c r="AG278">
        <v>56</v>
      </c>
      <c r="AH278">
        <v>6</v>
      </c>
      <c r="AI278">
        <f t="shared" si="110"/>
        <v>24.666666666666668</v>
      </c>
      <c r="AJ278">
        <f t="shared" si="111"/>
        <v>11.541666666666666</v>
      </c>
      <c r="AK278" t="s">
        <v>319</v>
      </c>
      <c r="AL278">
        <v>94</v>
      </c>
      <c r="AM278" t="s">
        <v>140</v>
      </c>
      <c r="AN278" t="s">
        <v>352</v>
      </c>
      <c r="AO278">
        <v>1.3</v>
      </c>
    </row>
    <row r="279" spans="1:41" ht="15.6">
      <c r="A279">
        <v>9</v>
      </c>
      <c r="B279" t="s">
        <v>326</v>
      </c>
      <c r="C279" t="s">
        <v>327</v>
      </c>
      <c r="D279" s="3">
        <f t="shared" si="101"/>
        <v>87.5</v>
      </c>
      <c r="E279" s="3">
        <f t="shared" si="102"/>
        <v>86.666666666666671</v>
      </c>
      <c r="F279">
        <v>2022</v>
      </c>
      <c r="G279">
        <f t="shared" si="112"/>
        <v>3</v>
      </c>
      <c r="H279">
        <f t="shared" si="103"/>
        <v>0.85995833333333327</v>
      </c>
      <c r="I279">
        <f t="shared" si="104"/>
        <v>0.84153858024691353</v>
      </c>
      <c r="J279">
        <f t="shared" si="105"/>
        <v>24</v>
      </c>
      <c r="K279">
        <v>2</v>
      </c>
      <c r="L279">
        <v>3</v>
      </c>
      <c r="M279" s="12">
        <f t="shared" si="106"/>
        <v>0.58113887326388913</v>
      </c>
      <c r="N279">
        <f t="shared" si="100"/>
        <v>0.15560886774001256</v>
      </c>
      <c r="O279">
        <f t="shared" si="107"/>
        <v>0.7623246508305298</v>
      </c>
      <c r="P279" t="s">
        <v>334</v>
      </c>
      <c r="Q279" t="s">
        <v>506</v>
      </c>
      <c r="R279">
        <v>16.591000000000001</v>
      </c>
      <c r="S279">
        <f t="shared" si="108"/>
        <v>13.125666666666666</v>
      </c>
      <c r="U279">
        <v>40</v>
      </c>
      <c r="W279">
        <f t="shared" si="109"/>
        <v>31.375</v>
      </c>
      <c r="Y279">
        <v>2015</v>
      </c>
      <c r="Z279">
        <f>2025-AVERAGE($Y$267:$Y$290)</f>
        <v>14.333333333333258</v>
      </c>
      <c r="AC279">
        <v>0.19400000000000001</v>
      </c>
      <c r="AD279" s="3">
        <v>0.18</v>
      </c>
      <c r="AE279">
        <v>0</v>
      </c>
      <c r="AF279" t="s">
        <v>186</v>
      </c>
      <c r="AG279">
        <v>27</v>
      </c>
      <c r="AH279">
        <v>19</v>
      </c>
      <c r="AI279">
        <f t="shared" si="110"/>
        <v>24.666666666666668</v>
      </c>
      <c r="AJ279">
        <f t="shared" si="111"/>
        <v>11.541666666666666</v>
      </c>
      <c r="AK279" t="s">
        <v>319</v>
      </c>
      <c r="AL279">
        <v>94</v>
      </c>
      <c r="AM279" t="s">
        <v>140</v>
      </c>
      <c r="AN279" t="s">
        <v>352</v>
      </c>
      <c r="AO279">
        <v>1.3</v>
      </c>
    </row>
    <row r="280" spans="1:41" ht="15.6">
      <c r="A280">
        <v>9</v>
      </c>
      <c r="B280" t="s">
        <v>326</v>
      </c>
      <c r="C280" t="s">
        <v>327</v>
      </c>
      <c r="D280" s="3">
        <f t="shared" si="101"/>
        <v>87.5</v>
      </c>
      <c r="E280" s="3">
        <f t="shared" si="102"/>
        <v>86.666666666666671</v>
      </c>
      <c r="F280">
        <v>2022</v>
      </c>
      <c r="G280">
        <f t="shared" si="112"/>
        <v>3</v>
      </c>
      <c r="H280">
        <f t="shared" si="103"/>
        <v>0.85995833333333327</v>
      </c>
      <c r="I280">
        <f t="shared" si="104"/>
        <v>0.84153858024691353</v>
      </c>
      <c r="J280">
        <f t="shared" si="105"/>
        <v>24</v>
      </c>
      <c r="K280">
        <v>2</v>
      </c>
      <c r="L280">
        <v>3</v>
      </c>
      <c r="M280" s="12">
        <f t="shared" si="106"/>
        <v>0.58113887326388913</v>
      </c>
      <c r="N280">
        <f t="shared" si="100"/>
        <v>0.15560886774001256</v>
      </c>
      <c r="O280">
        <f t="shared" si="107"/>
        <v>0.7623246508305298</v>
      </c>
      <c r="P280" t="s">
        <v>344</v>
      </c>
      <c r="Q280" t="s">
        <v>506</v>
      </c>
      <c r="R280">
        <v>14.795999999999999</v>
      </c>
      <c r="S280">
        <f t="shared" si="108"/>
        <v>13.125666666666666</v>
      </c>
      <c r="U280">
        <v>27</v>
      </c>
      <c r="W280">
        <f t="shared" si="109"/>
        <v>31.375</v>
      </c>
      <c r="Y280">
        <v>2013</v>
      </c>
      <c r="Z280">
        <f>2025-AVERAGE($Y$267:$Y$290)</f>
        <v>14.333333333333258</v>
      </c>
      <c r="AC280">
        <v>0.4</v>
      </c>
      <c r="AD280" s="3">
        <v>0.437</v>
      </c>
      <c r="AE280">
        <v>0</v>
      </c>
      <c r="AF280" t="s">
        <v>186</v>
      </c>
      <c r="AG280">
        <v>24</v>
      </c>
      <c r="AH280">
        <v>31</v>
      </c>
      <c r="AI280">
        <f t="shared" si="110"/>
        <v>24.666666666666668</v>
      </c>
      <c r="AJ280">
        <f t="shared" si="111"/>
        <v>11.541666666666666</v>
      </c>
      <c r="AK280" t="s">
        <v>319</v>
      </c>
      <c r="AL280">
        <v>94</v>
      </c>
      <c r="AM280" t="s">
        <v>140</v>
      </c>
      <c r="AN280" t="s">
        <v>352</v>
      </c>
      <c r="AO280">
        <v>1.3</v>
      </c>
    </row>
    <row r="281" spans="1:41" ht="15.6">
      <c r="A281">
        <v>9</v>
      </c>
      <c r="B281" t="s">
        <v>326</v>
      </c>
      <c r="C281" t="s">
        <v>327</v>
      </c>
      <c r="D281" s="3">
        <f t="shared" si="101"/>
        <v>87.5</v>
      </c>
      <c r="E281" s="3">
        <f t="shared" si="102"/>
        <v>86.666666666666671</v>
      </c>
      <c r="F281">
        <v>2022</v>
      </c>
      <c r="G281">
        <f t="shared" si="112"/>
        <v>3</v>
      </c>
      <c r="H281">
        <f t="shared" si="103"/>
        <v>0.85995833333333327</v>
      </c>
      <c r="I281">
        <f t="shared" si="104"/>
        <v>0.84153858024691353</v>
      </c>
      <c r="J281">
        <f t="shared" si="105"/>
        <v>24</v>
      </c>
      <c r="K281">
        <v>2</v>
      </c>
      <c r="L281">
        <v>3</v>
      </c>
      <c r="M281" s="12">
        <f t="shared" si="106"/>
        <v>0.58113887326388913</v>
      </c>
      <c r="N281">
        <f t="shared" si="100"/>
        <v>0.15560886774001256</v>
      </c>
      <c r="O281">
        <f t="shared" si="107"/>
        <v>0.7623246508305298</v>
      </c>
      <c r="P281" t="s">
        <v>351</v>
      </c>
      <c r="Q281" t="s">
        <v>506</v>
      </c>
      <c r="R281">
        <v>13.148999999999999</v>
      </c>
      <c r="S281">
        <f t="shared" si="108"/>
        <v>13.125666666666666</v>
      </c>
      <c r="U281">
        <v>29</v>
      </c>
      <c r="W281">
        <f t="shared" si="109"/>
        <v>31.375</v>
      </c>
      <c r="Y281">
        <v>2010</v>
      </c>
      <c r="Z281">
        <f>2025-AVERAGE($Y$267:$Y$290)</f>
        <v>14.333333333333258</v>
      </c>
      <c r="AC281">
        <v>0.81</v>
      </c>
      <c r="AD281" s="3">
        <v>0.48</v>
      </c>
      <c r="AE281">
        <v>0</v>
      </c>
      <c r="AF281" t="s">
        <v>186</v>
      </c>
      <c r="AG281">
        <v>11</v>
      </c>
      <c r="AH281">
        <v>28</v>
      </c>
      <c r="AI281">
        <f t="shared" si="110"/>
        <v>24.666666666666668</v>
      </c>
      <c r="AJ281">
        <f t="shared" si="111"/>
        <v>11.541666666666666</v>
      </c>
      <c r="AK281" t="s">
        <v>319</v>
      </c>
      <c r="AL281">
        <v>94</v>
      </c>
      <c r="AM281" t="s">
        <v>140</v>
      </c>
      <c r="AN281" t="s">
        <v>352</v>
      </c>
      <c r="AO281">
        <v>1.3</v>
      </c>
    </row>
    <row r="282" spans="1:41" ht="15.6">
      <c r="A282">
        <v>9</v>
      </c>
      <c r="B282" t="s">
        <v>326</v>
      </c>
      <c r="C282" t="s">
        <v>327</v>
      </c>
      <c r="D282" s="3">
        <f t="shared" si="101"/>
        <v>87.5</v>
      </c>
      <c r="E282" s="3">
        <f t="shared" si="102"/>
        <v>86.666666666666671</v>
      </c>
      <c r="F282">
        <v>2022</v>
      </c>
      <c r="G282">
        <f t="shared" si="112"/>
        <v>3</v>
      </c>
      <c r="H282">
        <f t="shared" si="103"/>
        <v>0.85995833333333327</v>
      </c>
      <c r="I282">
        <f t="shared" si="104"/>
        <v>0.84153858024691353</v>
      </c>
      <c r="J282">
        <f t="shared" si="105"/>
        <v>24</v>
      </c>
      <c r="K282">
        <v>2</v>
      </c>
      <c r="L282">
        <v>3</v>
      </c>
      <c r="M282" s="12">
        <f t="shared" si="106"/>
        <v>0.58113887326388913</v>
      </c>
      <c r="N282">
        <f t="shared" si="100"/>
        <v>0.15560886774001256</v>
      </c>
      <c r="O282">
        <f t="shared" si="107"/>
        <v>0.7623246508305298</v>
      </c>
      <c r="P282" t="s">
        <v>335</v>
      </c>
      <c r="Q282" t="s">
        <v>506</v>
      </c>
      <c r="R282">
        <v>16.591000000000001</v>
      </c>
      <c r="S282">
        <f t="shared" si="108"/>
        <v>13.125666666666666</v>
      </c>
      <c r="U282">
        <v>40</v>
      </c>
      <c r="W282">
        <f t="shared" si="109"/>
        <v>31.375</v>
      </c>
      <c r="Y282">
        <v>2015</v>
      </c>
      <c r="Z282">
        <f>2025-AVERAGE($Y$267:$Y$290)</f>
        <v>14.333333333333258</v>
      </c>
      <c r="AA282">
        <v>2.8035329616064002E-5</v>
      </c>
      <c r="AB282">
        <v>7.2942717267110197E-4</v>
      </c>
      <c r="AC282">
        <v>0.65</v>
      </c>
      <c r="AD282" s="3">
        <v>1.37</v>
      </c>
      <c r="AE282">
        <v>0</v>
      </c>
      <c r="AF282" t="s">
        <v>186</v>
      </c>
      <c r="AG282">
        <v>44</v>
      </c>
      <c r="AH282">
        <v>6</v>
      </c>
      <c r="AI282">
        <f t="shared" si="110"/>
        <v>24.666666666666668</v>
      </c>
      <c r="AJ282">
        <f t="shared" si="111"/>
        <v>11.541666666666666</v>
      </c>
      <c r="AK282" t="s">
        <v>319</v>
      </c>
      <c r="AL282">
        <v>94</v>
      </c>
      <c r="AM282" t="s">
        <v>140</v>
      </c>
      <c r="AN282" t="s">
        <v>352</v>
      </c>
      <c r="AO282">
        <v>1.3</v>
      </c>
    </row>
    <row r="283" spans="1:41" ht="15.6">
      <c r="A283">
        <v>9</v>
      </c>
      <c r="B283" t="s">
        <v>326</v>
      </c>
      <c r="C283" t="s">
        <v>327</v>
      </c>
      <c r="D283" s="3">
        <f t="shared" si="101"/>
        <v>87.5</v>
      </c>
      <c r="E283" s="3">
        <f t="shared" si="102"/>
        <v>86.666666666666671</v>
      </c>
      <c r="F283">
        <v>2022</v>
      </c>
      <c r="G283">
        <f t="shared" si="112"/>
        <v>3</v>
      </c>
      <c r="H283">
        <f t="shared" si="103"/>
        <v>0.85995833333333327</v>
      </c>
      <c r="I283">
        <f t="shared" si="104"/>
        <v>0.84153858024691353</v>
      </c>
      <c r="J283">
        <f t="shared" si="105"/>
        <v>24</v>
      </c>
      <c r="K283">
        <v>2</v>
      </c>
      <c r="L283">
        <v>3</v>
      </c>
      <c r="M283" s="12">
        <f t="shared" si="106"/>
        <v>0.58113887326388913</v>
      </c>
      <c r="N283">
        <f t="shared" si="100"/>
        <v>0.15560886774001256</v>
      </c>
      <c r="O283">
        <f t="shared" si="107"/>
        <v>0.7623246508305298</v>
      </c>
      <c r="P283" t="s">
        <v>336</v>
      </c>
      <c r="Q283" t="s">
        <v>506</v>
      </c>
      <c r="R283">
        <v>11.765000000000001</v>
      </c>
      <c r="S283">
        <f t="shared" si="108"/>
        <v>13.125666666666666</v>
      </c>
      <c r="U283">
        <v>39</v>
      </c>
      <c r="W283">
        <f t="shared" si="109"/>
        <v>31.375</v>
      </c>
      <c r="Y283">
        <v>2009</v>
      </c>
      <c r="Z283">
        <f>2025-AVERAGE($Y$267:$Y$290)</f>
        <v>14.333333333333258</v>
      </c>
      <c r="AA283">
        <v>7.2526065705633908E-3</v>
      </c>
      <c r="AB283">
        <v>2.16436324266784E-9</v>
      </c>
      <c r="AC283">
        <v>1.44</v>
      </c>
      <c r="AD283" s="3">
        <v>1.42</v>
      </c>
      <c r="AE283">
        <v>0</v>
      </c>
      <c r="AF283" t="s">
        <v>186</v>
      </c>
      <c r="AG283">
        <v>14</v>
      </c>
      <c r="AH283">
        <v>4</v>
      </c>
      <c r="AI283">
        <f t="shared" si="110"/>
        <v>24.666666666666668</v>
      </c>
      <c r="AJ283">
        <f t="shared" si="111"/>
        <v>11.541666666666666</v>
      </c>
      <c r="AK283" t="s">
        <v>319</v>
      </c>
      <c r="AL283">
        <v>94</v>
      </c>
      <c r="AM283" t="s">
        <v>140</v>
      </c>
      <c r="AN283" t="s">
        <v>352</v>
      </c>
      <c r="AO283">
        <v>1.3</v>
      </c>
    </row>
    <row r="284" spans="1:41" ht="15.6">
      <c r="A284">
        <v>9</v>
      </c>
      <c r="B284" t="s">
        <v>326</v>
      </c>
      <c r="C284" t="s">
        <v>327</v>
      </c>
      <c r="D284" s="3">
        <f t="shared" si="101"/>
        <v>87.5</v>
      </c>
      <c r="E284" s="3">
        <f t="shared" si="102"/>
        <v>86.666666666666671</v>
      </c>
      <c r="F284">
        <v>2022</v>
      </c>
      <c r="G284">
        <f t="shared" si="112"/>
        <v>3</v>
      </c>
      <c r="H284">
        <f t="shared" si="103"/>
        <v>0.85995833333333327</v>
      </c>
      <c r="I284">
        <f t="shared" si="104"/>
        <v>0.84153858024691353</v>
      </c>
      <c r="J284">
        <f t="shared" si="105"/>
        <v>24</v>
      </c>
      <c r="K284">
        <v>2</v>
      </c>
      <c r="L284">
        <v>3</v>
      </c>
      <c r="M284" s="12">
        <f t="shared" si="106"/>
        <v>0.58113887326388913</v>
      </c>
      <c r="N284">
        <f t="shared" si="100"/>
        <v>0.15560886774001256</v>
      </c>
      <c r="O284">
        <f t="shared" si="107"/>
        <v>0.7623246508305298</v>
      </c>
      <c r="P284" t="s">
        <v>337</v>
      </c>
      <c r="Q284" t="s">
        <v>506</v>
      </c>
      <c r="R284">
        <v>16.591000000000001</v>
      </c>
      <c r="S284">
        <f t="shared" si="108"/>
        <v>13.125666666666666</v>
      </c>
      <c r="U284">
        <v>29</v>
      </c>
      <c r="W284">
        <f t="shared" si="109"/>
        <v>31.375</v>
      </c>
      <c r="Y284">
        <v>2015</v>
      </c>
      <c r="Z284">
        <f>2025-AVERAGE($Y$267:$Y$290)</f>
        <v>14.333333333333258</v>
      </c>
      <c r="AA284">
        <v>1.4404060815007599E-3</v>
      </c>
      <c r="AB284">
        <v>4.1326273124695199E-12</v>
      </c>
      <c r="AC284">
        <v>6</v>
      </c>
      <c r="AD284" s="3">
        <v>4.04</v>
      </c>
      <c r="AE284">
        <v>0</v>
      </c>
      <c r="AF284" t="s">
        <v>186</v>
      </c>
      <c r="AG284">
        <v>36</v>
      </c>
      <c r="AH284">
        <v>34</v>
      </c>
      <c r="AI284">
        <f t="shared" si="110"/>
        <v>24.666666666666668</v>
      </c>
      <c r="AJ284">
        <f t="shared" si="111"/>
        <v>11.541666666666666</v>
      </c>
      <c r="AK284" t="s">
        <v>319</v>
      </c>
      <c r="AL284">
        <v>94</v>
      </c>
      <c r="AM284" t="s">
        <v>140</v>
      </c>
      <c r="AN284" t="s">
        <v>352</v>
      </c>
      <c r="AO284">
        <v>1.3</v>
      </c>
    </row>
    <row r="285" spans="1:41" ht="15.6">
      <c r="A285">
        <v>9</v>
      </c>
      <c r="B285" t="s">
        <v>326</v>
      </c>
      <c r="C285" t="s">
        <v>327</v>
      </c>
      <c r="D285" s="3">
        <f t="shared" si="101"/>
        <v>87.5</v>
      </c>
      <c r="E285" s="3">
        <f t="shared" si="102"/>
        <v>86.666666666666671</v>
      </c>
      <c r="F285">
        <v>2022</v>
      </c>
      <c r="G285">
        <f t="shared" si="112"/>
        <v>3</v>
      </c>
      <c r="H285">
        <f t="shared" si="103"/>
        <v>0.85995833333333327</v>
      </c>
      <c r="I285">
        <f t="shared" si="104"/>
        <v>0.84153858024691353</v>
      </c>
      <c r="J285">
        <f t="shared" si="105"/>
        <v>24</v>
      </c>
      <c r="K285">
        <v>2</v>
      </c>
      <c r="L285">
        <v>3</v>
      </c>
      <c r="M285" s="12">
        <f t="shared" si="106"/>
        <v>0.58113887326388913</v>
      </c>
      <c r="N285">
        <f t="shared" si="100"/>
        <v>0.15560886774001256</v>
      </c>
      <c r="O285">
        <f t="shared" si="107"/>
        <v>0.7623246508305298</v>
      </c>
      <c r="P285" t="s">
        <v>338</v>
      </c>
      <c r="Q285" t="s">
        <v>506</v>
      </c>
      <c r="R285">
        <v>11.765000000000001</v>
      </c>
      <c r="S285">
        <f t="shared" si="108"/>
        <v>13.125666666666666</v>
      </c>
      <c r="U285">
        <v>31</v>
      </c>
      <c r="W285">
        <f t="shared" si="109"/>
        <v>31.375</v>
      </c>
      <c r="Y285">
        <v>2009</v>
      </c>
      <c r="Z285">
        <f>2025-AVERAGE($Y$267:$Y$290)</f>
        <v>14.333333333333258</v>
      </c>
      <c r="AC285">
        <v>0.47</v>
      </c>
      <c r="AD285" s="3">
        <v>0.26200000000000001</v>
      </c>
      <c r="AE285">
        <v>0</v>
      </c>
      <c r="AF285" t="s">
        <v>186</v>
      </c>
      <c r="AG285">
        <v>14</v>
      </c>
      <c r="AH285">
        <v>16</v>
      </c>
      <c r="AI285">
        <f t="shared" si="110"/>
        <v>24.666666666666668</v>
      </c>
      <c r="AJ285">
        <f t="shared" si="111"/>
        <v>11.541666666666666</v>
      </c>
      <c r="AK285" t="s">
        <v>319</v>
      </c>
      <c r="AL285">
        <v>94</v>
      </c>
      <c r="AM285" t="s">
        <v>140</v>
      </c>
      <c r="AN285" t="s">
        <v>352</v>
      </c>
      <c r="AO285">
        <v>1.3</v>
      </c>
    </row>
    <row r="286" spans="1:41" ht="15.6">
      <c r="A286">
        <v>9</v>
      </c>
      <c r="B286" t="s">
        <v>326</v>
      </c>
      <c r="C286" t="s">
        <v>327</v>
      </c>
      <c r="D286" s="3">
        <f t="shared" si="101"/>
        <v>87.5</v>
      </c>
      <c r="E286" s="3">
        <f t="shared" si="102"/>
        <v>86.666666666666671</v>
      </c>
      <c r="F286">
        <v>2022</v>
      </c>
      <c r="G286">
        <f t="shared" si="112"/>
        <v>3</v>
      </c>
      <c r="H286">
        <f t="shared" si="103"/>
        <v>0.85995833333333327</v>
      </c>
      <c r="I286">
        <f t="shared" si="104"/>
        <v>0.84153858024691353</v>
      </c>
      <c r="J286">
        <f t="shared" si="105"/>
        <v>24</v>
      </c>
      <c r="K286">
        <v>2</v>
      </c>
      <c r="L286">
        <v>3</v>
      </c>
      <c r="M286" s="12">
        <f t="shared" si="106"/>
        <v>0.58113887326388913</v>
      </c>
      <c r="N286">
        <f t="shared" si="100"/>
        <v>0.15560886774001256</v>
      </c>
      <c r="O286">
        <f t="shared" si="107"/>
        <v>0.7623246508305298</v>
      </c>
      <c r="P286" t="s">
        <v>345</v>
      </c>
      <c r="Q286" t="s">
        <v>506</v>
      </c>
      <c r="R286">
        <v>14.795999999999999</v>
      </c>
      <c r="S286">
        <f t="shared" si="108"/>
        <v>13.125666666666666</v>
      </c>
      <c r="U286">
        <v>17</v>
      </c>
      <c r="W286">
        <f t="shared" si="109"/>
        <v>31.375</v>
      </c>
      <c r="Y286">
        <v>2013</v>
      </c>
      <c r="Z286">
        <f>2025-AVERAGE($Y$267:$Y$290)</f>
        <v>14.333333333333258</v>
      </c>
      <c r="AC286">
        <v>0.38</v>
      </c>
      <c r="AD286" s="3">
        <v>1.17</v>
      </c>
      <c r="AE286">
        <v>0</v>
      </c>
      <c r="AF286" t="s">
        <v>186</v>
      </c>
      <c r="AG286">
        <v>26</v>
      </c>
      <c r="AH286">
        <v>2</v>
      </c>
      <c r="AI286">
        <f t="shared" si="110"/>
        <v>24.666666666666668</v>
      </c>
      <c r="AJ286">
        <f t="shared" si="111"/>
        <v>11.541666666666666</v>
      </c>
      <c r="AK286" t="s">
        <v>319</v>
      </c>
      <c r="AL286">
        <v>94</v>
      </c>
      <c r="AM286" t="s">
        <v>140</v>
      </c>
      <c r="AN286" t="s">
        <v>352</v>
      </c>
      <c r="AO286">
        <v>1.3</v>
      </c>
    </row>
    <row r="287" spans="1:41" ht="15.6">
      <c r="A287">
        <v>9</v>
      </c>
      <c r="B287" t="s">
        <v>326</v>
      </c>
      <c r="C287" t="s">
        <v>327</v>
      </c>
      <c r="D287" s="3">
        <f t="shared" si="101"/>
        <v>87.5</v>
      </c>
      <c r="E287" s="3">
        <f t="shared" si="102"/>
        <v>86.666666666666671</v>
      </c>
      <c r="F287">
        <v>2022</v>
      </c>
      <c r="G287">
        <f t="shared" si="112"/>
        <v>3</v>
      </c>
      <c r="H287">
        <f t="shared" si="103"/>
        <v>0.85995833333333327</v>
      </c>
      <c r="I287">
        <f t="shared" si="104"/>
        <v>0.84153858024691353</v>
      </c>
      <c r="J287">
        <f t="shared" si="105"/>
        <v>24</v>
      </c>
      <c r="K287">
        <v>2</v>
      </c>
      <c r="L287">
        <v>3</v>
      </c>
      <c r="M287" s="12">
        <f t="shared" si="106"/>
        <v>0.58113887326388913</v>
      </c>
      <c r="N287">
        <f t="shared" si="100"/>
        <v>0.15560886774001256</v>
      </c>
      <c r="O287">
        <f t="shared" si="107"/>
        <v>0.7623246508305298</v>
      </c>
      <c r="P287" t="s">
        <v>339</v>
      </c>
      <c r="Q287" t="s">
        <v>506</v>
      </c>
      <c r="R287">
        <v>11.349</v>
      </c>
      <c r="S287">
        <f t="shared" si="108"/>
        <v>13.125666666666666</v>
      </c>
      <c r="U287">
        <v>32</v>
      </c>
      <c r="W287">
        <f t="shared" si="109"/>
        <v>31.375</v>
      </c>
      <c r="Y287">
        <v>2004</v>
      </c>
      <c r="Z287">
        <f>2025-AVERAGE($Y$267:$Y$290)</f>
        <v>14.333333333333258</v>
      </c>
      <c r="AA287">
        <v>8.5444990784787595E-6</v>
      </c>
      <c r="AB287">
        <v>2.6317479520692698E-12</v>
      </c>
      <c r="AC287">
        <v>0.39</v>
      </c>
      <c r="AD287" s="3">
        <v>0.66</v>
      </c>
      <c r="AE287">
        <v>0</v>
      </c>
      <c r="AF287" t="s">
        <v>186</v>
      </c>
      <c r="AG287">
        <v>12</v>
      </c>
      <c r="AH287">
        <v>8</v>
      </c>
      <c r="AI287">
        <f t="shared" si="110"/>
        <v>24.666666666666668</v>
      </c>
      <c r="AJ287">
        <f t="shared" si="111"/>
        <v>11.541666666666666</v>
      </c>
      <c r="AK287" t="s">
        <v>319</v>
      </c>
      <c r="AL287">
        <v>94</v>
      </c>
      <c r="AM287" t="s">
        <v>140</v>
      </c>
      <c r="AN287" t="s">
        <v>352</v>
      </c>
      <c r="AO287">
        <v>1.3</v>
      </c>
    </row>
    <row r="288" spans="1:41" ht="15.6">
      <c r="A288">
        <v>9</v>
      </c>
      <c r="B288" t="s">
        <v>326</v>
      </c>
      <c r="C288" t="s">
        <v>327</v>
      </c>
      <c r="D288" s="3">
        <f t="shared" si="101"/>
        <v>87.5</v>
      </c>
      <c r="E288" s="3">
        <f t="shared" si="102"/>
        <v>86.666666666666671</v>
      </c>
      <c r="F288">
        <v>2022</v>
      </c>
      <c r="G288">
        <f t="shared" si="112"/>
        <v>3</v>
      </c>
      <c r="H288">
        <f t="shared" si="103"/>
        <v>0.85995833333333327</v>
      </c>
      <c r="I288">
        <f t="shared" si="104"/>
        <v>0.84153858024691353</v>
      </c>
      <c r="J288">
        <f t="shared" si="105"/>
        <v>24</v>
      </c>
      <c r="K288">
        <v>2</v>
      </c>
      <c r="L288">
        <v>3</v>
      </c>
      <c r="M288" s="12">
        <f t="shared" si="106"/>
        <v>0.58113887326388913</v>
      </c>
      <c r="N288">
        <f t="shared" si="100"/>
        <v>0.15560886774001256</v>
      </c>
      <c r="O288">
        <f t="shared" si="107"/>
        <v>0.7623246508305298</v>
      </c>
      <c r="P288" t="s">
        <v>346</v>
      </c>
      <c r="Q288" t="s">
        <v>506</v>
      </c>
      <c r="R288">
        <v>14.795999999999999</v>
      </c>
      <c r="S288">
        <f t="shared" si="108"/>
        <v>13.125666666666666</v>
      </c>
      <c r="U288">
        <v>30</v>
      </c>
      <c r="W288">
        <f t="shared" si="109"/>
        <v>31.375</v>
      </c>
      <c r="Y288">
        <v>2013</v>
      </c>
      <c r="Z288">
        <f>2025-AVERAGE($Y$267:$Y$290)</f>
        <v>14.333333333333258</v>
      </c>
      <c r="AA288">
        <v>5.0822798849626702E-7</v>
      </c>
      <c r="AB288">
        <v>1.9033805476117501E-19</v>
      </c>
      <c r="AC288">
        <v>0.49</v>
      </c>
      <c r="AD288" s="3">
        <v>0.46</v>
      </c>
      <c r="AE288">
        <v>0</v>
      </c>
      <c r="AF288" t="s">
        <v>186</v>
      </c>
      <c r="AG288">
        <v>23</v>
      </c>
      <c r="AH288">
        <v>10</v>
      </c>
      <c r="AI288">
        <f t="shared" si="110"/>
        <v>24.666666666666668</v>
      </c>
      <c r="AJ288">
        <f t="shared" si="111"/>
        <v>11.541666666666666</v>
      </c>
      <c r="AK288" t="s">
        <v>319</v>
      </c>
      <c r="AL288">
        <v>94</v>
      </c>
      <c r="AM288" t="s">
        <v>140</v>
      </c>
      <c r="AN288" t="s">
        <v>352</v>
      </c>
      <c r="AO288">
        <v>1.3</v>
      </c>
    </row>
    <row r="289" spans="1:41" ht="15.6">
      <c r="A289">
        <v>9</v>
      </c>
      <c r="B289" t="s">
        <v>326</v>
      </c>
      <c r="C289" t="s">
        <v>327</v>
      </c>
      <c r="D289" s="3">
        <f t="shared" si="101"/>
        <v>87.5</v>
      </c>
      <c r="E289" s="3">
        <f t="shared" si="102"/>
        <v>86.666666666666671</v>
      </c>
      <c r="F289">
        <v>2022</v>
      </c>
      <c r="G289">
        <f t="shared" si="112"/>
        <v>3</v>
      </c>
      <c r="H289">
        <f t="shared" si="103"/>
        <v>0.85995833333333327</v>
      </c>
      <c r="I289">
        <f t="shared" si="104"/>
        <v>0.84153858024691353</v>
      </c>
      <c r="J289">
        <f t="shared" si="105"/>
        <v>24</v>
      </c>
      <c r="K289">
        <v>2</v>
      </c>
      <c r="L289">
        <v>3</v>
      </c>
      <c r="M289" s="12">
        <f t="shared" si="106"/>
        <v>0.58113887326388913</v>
      </c>
      <c r="N289">
        <f t="shared" si="100"/>
        <v>0.15560886774001256</v>
      </c>
      <c r="O289">
        <f t="shared" si="107"/>
        <v>0.7623246508305298</v>
      </c>
      <c r="P289" t="s">
        <v>347</v>
      </c>
      <c r="Q289" t="s">
        <v>530</v>
      </c>
      <c r="R289">
        <v>12.281000000000001</v>
      </c>
      <c r="S289">
        <f t="shared" si="108"/>
        <v>13.125666666666666</v>
      </c>
      <c r="U289">
        <v>24</v>
      </c>
      <c r="W289">
        <f t="shared" si="109"/>
        <v>31.375</v>
      </c>
      <c r="Y289">
        <v>2012</v>
      </c>
      <c r="Z289">
        <f>2025-AVERAGE($Y$267:$Y$290)</f>
        <v>14.333333333333258</v>
      </c>
      <c r="AA289">
        <v>6.2611443007791101E-7</v>
      </c>
      <c r="AB289">
        <v>2.4158985500703402E-31</v>
      </c>
      <c r="AC289">
        <v>0.37</v>
      </c>
      <c r="AD289" s="3">
        <v>0.3</v>
      </c>
      <c r="AE289">
        <v>0</v>
      </c>
      <c r="AF289" t="s">
        <v>186</v>
      </c>
      <c r="AG289">
        <v>57</v>
      </c>
      <c r="AH289">
        <v>14</v>
      </c>
      <c r="AI289">
        <f t="shared" si="110"/>
        <v>24.666666666666668</v>
      </c>
      <c r="AJ289">
        <f t="shared" si="111"/>
        <v>11.541666666666666</v>
      </c>
      <c r="AK289" t="s">
        <v>319</v>
      </c>
      <c r="AL289">
        <v>94</v>
      </c>
      <c r="AM289" t="s">
        <v>140</v>
      </c>
      <c r="AN289" t="s">
        <v>352</v>
      </c>
      <c r="AO289">
        <v>1.3</v>
      </c>
    </row>
    <row r="290" spans="1:41" ht="15.6">
      <c r="A290">
        <v>9</v>
      </c>
      <c r="B290" t="s">
        <v>326</v>
      </c>
      <c r="C290" t="s">
        <v>327</v>
      </c>
      <c r="D290" s="3">
        <f t="shared" si="101"/>
        <v>87.5</v>
      </c>
      <c r="E290" s="3">
        <f t="shared" si="102"/>
        <v>86.666666666666671</v>
      </c>
      <c r="F290">
        <v>2022</v>
      </c>
      <c r="G290">
        <f t="shared" si="112"/>
        <v>3</v>
      </c>
      <c r="H290">
        <f t="shared" si="103"/>
        <v>0.85995833333333327</v>
      </c>
      <c r="I290">
        <f t="shared" si="104"/>
        <v>0.84153858024691353</v>
      </c>
      <c r="J290">
        <f t="shared" si="105"/>
        <v>24</v>
      </c>
      <c r="K290">
        <v>2</v>
      </c>
      <c r="L290">
        <v>3</v>
      </c>
      <c r="M290" s="12">
        <f t="shared" si="106"/>
        <v>0.58113887326388913</v>
      </c>
      <c r="N290">
        <f t="shared" si="100"/>
        <v>0.15560886774001256</v>
      </c>
      <c r="O290">
        <f t="shared" si="107"/>
        <v>0.7623246508305298</v>
      </c>
      <c r="P290" t="s">
        <v>348</v>
      </c>
      <c r="Q290" t="s">
        <v>530</v>
      </c>
      <c r="R290">
        <v>3.6930000000000001</v>
      </c>
      <c r="S290">
        <f t="shared" si="108"/>
        <v>13.125666666666666</v>
      </c>
      <c r="U290">
        <v>40</v>
      </c>
      <c r="W290">
        <f t="shared" si="109"/>
        <v>31.375</v>
      </c>
      <c r="Y290">
        <v>2009</v>
      </c>
      <c r="Z290">
        <f>2025-AVERAGE($Y$267:$Y$290)</f>
        <v>14.333333333333258</v>
      </c>
      <c r="AA290">
        <v>1.47646874727937E-2</v>
      </c>
      <c r="AB290">
        <v>2.3429204733884899E-3</v>
      </c>
      <c r="AC290">
        <v>0.68</v>
      </c>
      <c r="AD290" s="3">
        <v>0.7</v>
      </c>
      <c r="AE290">
        <v>0</v>
      </c>
      <c r="AF290" t="s">
        <v>186</v>
      </c>
      <c r="AG290">
        <v>21</v>
      </c>
      <c r="AH290">
        <v>7</v>
      </c>
      <c r="AI290">
        <f t="shared" si="110"/>
        <v>24.666666666666668</v>
      </c>
      <c r="AJ290">
        <f t="shared" si="111"/>
        <v>11.541666666666666</v>
      </c>
      <c r="AK290" t="s">
        <v>319</v>
      </c>
      <c r="AL290">
        <v>94</v>
      </c>
      <c r="AM290" t="s">
        <v>140</v>
      </c>
      <c r="AN290" t="s">
        <v>352</v>
      </c>
      <c r="AO290">
        <v>1.3</v>
      </c>
    </row>
    <row r="291" spans="1:41" s="3" customFormat="1" ht="15.6">
      <c r="A291" s="3">
        <v>10</v>
      </c>
      <c r="B291" s="3" t="s">
        <v>1194</v>
      </c>
      <c r="C291" s="3" t="s">
        <v>353</v>
      </c>
      <c r="E291" s="3">
        <f>100*(16/83)</f>
        <v>19.277108433734941</v>
      </c>
      <c r="F291" s="3">
        <v>2018</v>
      </c>
      <c r="G291">
        <f t="shared" si="112"/>
        <v>7</v>
      </c>
      <c r="H291" s="3">
        <v>0.28000000000000003</v>
      </c>
      <c r="I291" s="3">
        <v>0.61</v>
      </c>
      <c r="J291" s="3">
        <v>43</v>
      </c>
      <c r="K291" s="3">
        <v>8</v>
      </c>
      <c r="L291" s="3">
        <v>4</v>
      </c>
      <c r="M291" s="12">
        <f t="shared" si="106"/>
        <v>0.58113887326388913</v>
      </c>
      <c r="N291" s="3">
        <f>$O$291/SQRT($J$291)</f>
        <v>5.6424471023063728E-2</v>
      </c>
      <c r="O291" s="3">
        <v>0.37</v>
      </c>
      <c r="AE291">
        <v>0</v>
      </c>
      <c r="AF291" s="3" t="s">
        <v>186</v>
      </c>
      <c r="AK291" s="3" t="s">
        <v>319</v>
      </c>
      <c r="AL291" s="3">
        <v>26</v>
      </c>
      <c r="AM291" s="3" t="s">
        <v>140</v>
      </c>
      <c r="AN291" s="3" t="s">
        <v>354</v>
      </c>
      <c r="AO291" s="3">
        <v>0.71099999999999997</v>
      </c>
    </row>
    <row r="292" spans="1:41">
      <c r="A292">
        <v>11</v>
      </c>
      <c r="B292" t="s">
        <v>357</v>
      </c>
      <c r="C292" t="s">
        <v>355</v>
      </c>
      <c r="D292" s="3">
        <f t="shared" ref="D292:D323" si="113">100*(COUNTIF($T$292:$T$488,"Replicable")/$J$292)</f>
        <v>5.0761421319796955</v>
      </c>
      <c r="F292">
        <v>2021</v>
      </c>
      <c r="G292">
        <f t="shared" si="112"/>
        <v>4</v>
      </c>
      <c r="J292">
        <f>COUNTA($Y$292:$Y$488)</f>
        <v>197</v>
      </c>
      <c r="K292">
        <v>5</v>
      </c>
      <c r="L292">
        <v>3</v>
      </c>
      <c r="Q292" t="s">
        <v>555</v>
      </c>
      <c r="R292">
        <f t="shared" ref="R292:R323" si="114">IF(AND(Q292="Dados", Y292=2012), 0.732,
IF(AND(Q292="Dados", Y292=2013), 0.469,
IF(AND(Q292="Dados", Y292=2014), 0.341,
IF(AND(Q292="Dados", Y292=2015), 0.518,
IF(AND(Q292="Dados", Y292=2016), 0.457,
IF(AND(Q292="Opinião Púbilca", Y292=2012), 0.358,
IF(AND(Q292="Opinião Púbilca", Y292=2013), 0.503,
IF(AND(Q292="Opinião Púbilca", Y292=2014), 0.319,
IF(AND(Q292="Opinião Púbilca", Y292=2015), 0.273,
IF(AND(Q292="Opinião Púbilca", Y292=2016), 0.369,
IF(AND(Q292="Revista Brasileira de Ciências Sociais", Y292=2012), 0.21,
IF(AND(Q292="Revista Brasileira de Ciências Sociais", Y292=2013), 0.279,
IF(AND(Q292="Revista Brasileira de Ciências Sociais", Y292=2014), 0.298,
IF(AND(Q292="Revista Brasileira de Ciências Sociais", Y292=2015), 0.153,
IF(AND(Q292="Revista Brasileira de Ciências Sociais", Y292=2016), 0.297,
"")))))))))))))))</f>
        <v>0.34100000000000003</v>
      </c>
      <c r="S292">
        <f>AVERAGE($R$292:$R$488)</f>
        <v>0.39482432432432457</v>
      </c>
      <c r="V292" t="s">
        <v>186</v>
      </c>
      <c r="Y292">
        <v>2014</v>
      </c>
      <c r="Z292">
        <f>2025-AVERAGE($Y$292:$Y$488)</f>
        <v>10.796954314720779</v>
      </c>
      <c r="AE292">
        <v>0</v>
      </c>
      <c r="AF292" t="s">
        <v>186</v>
      </c>
      <c r="AG292">
        <v>1</v>
      </c>
      <c r="AI292">
        <f>AVERAGE($AG$292:$AG$488)</f>
        <v>1.9086294416243654</v>
      </c>
      <c r="AK292" t="s">
        <v>1143</v>
      </c>
      <c r="AL292">
        <v>49</v>
      </c>
      <c r="AM292" t="s">
        <v>325</v>
      </c>
      <c r="AN292" t="s">
        <v>356</v>
      </c>
      <c r="AO292">
        <v>0.21199999999999999</v>
      </c>
    </row>
    <row r="293" spans="1:41">
      <c r="A293">
        <v>11</v>
      </c>
      <c r="B293" t="s">
        <v>357</v>
      </c>
      <c r="C293" t="s">
        <v>355</v>
      </c>
      <c r="D293" s="3">
        <f t="shared" si="113"/>
        <v>5.0761421319796955</v>
      </c>
      <c r="F293">
        <v>2021</v>
      </c>
      <c r="G293">
        <f t="shared" si="112"/>
        <v>4</v>
      </c>
      <c r="J293">
        <f t="shared" ref="J293:J356" si="115">COUNTA($Y$292:$Y$488)</f>
        <v>197</v>
      </c>
      <c r="K293">
        <v>5</v>
      </c>
      <c r="L293">
        <v>3</v>
      </c>
      <c r="Q293" t="s">
        <v>554</v>
      </c>
      <c r="R293">
        <f t="shared" si="114"/>
        <v>0.35799999999999998</v>
      </c>
      <c r="S293">
        <f t="shared" ref="S293:S356" si="116">AVERAGE($R$292:$R$488)</f>
        <v>0.39482432432432457</v>
      </c>
      <c r="V293" t="s">
        <v>186</v>
      </c>
      <c r="Y293">
        <v>2012</v>
      </c>
      <c r="Z293">
        <f>2025-AVERAGE($Y$292:$Y$488)</f>
        <v>10.796954314720779</v>
      </c>
      <c r="AE293">
        <v>0</v>
      </c>
      <c r="AF293" t="s">
        <v>186</v>
      </c>
      <c r="AG293">
        <v>4</v>
      </c>
      <c r="AI293">
        <f t="shared" ref="AI293:AI356" si="117">AVERAGE($AG$292:$AG$488)</f>
        <v>1.9086294416243654</v>
      </c>
      <c r="AK293" t="s">
        <v>1143</v>
      </c>
      <c r="AL293">
        <v>49</v>
      </c>
      <c r="AM293" t="s">
        <v>325</v>
      </c>
      <c r="AN293" t="s">
        <v>356</v>
      </c>
      <c r="AO293">
        <v>0.21199999999999999</v>
      </c>
    </row>
    <row r="294" spans="1:41">
      <c r="A294">
        <v>11</v>
      </c>
      <c r="B294" t="s">
        <v>357</v>
      </c>
      <c r="C294" t="s">
        <v>355</v>
      </c>
      <c r="D294" s="3">
        <f t="shared" si="113"/>
        <v>5.0761421319796955</v>
      </c>
      <c r="F294">
        <v>2021</v>
      </c>
      <c r="G294">
        <f t="shared" si="112"/>
        <v>4</v>
      </c>
      <c r="J294">
        <f t="shared" si="115"/>
        <v>197</v>
      </c>
      <c r="K294">
        <v>5</v>
      </c>
      <c r="L294">
        <v>3</v>
      </c>
      <c r="Q294" t="s">
        <v>554</v>
      </c>
      <c r="R294">
        <f t="shared" si="114"/>
        <v>0.503</v>
      </c>
      <c r="S294">
        <f t="shared" si="116"/>
        <v>0.39482432432432457</v>
      </c>
      <c r="V294" t="s">
        <v>186</v>
      </c>
      <c r="Y294">
        <v>2013</v>
      </c>
      <c r="Z294">
        <f>2025-AVERAGE($Y$292:$Y$488)</f>
        <v>10.796954314720779</v>
      </c>
      <c r="AE294">
        <v>0</v>
      </c>
      <c r="AF294" t="s">
        <v>186</v>
      </c>
      <c r="AG294">
        <v>1</v>
      </c>
      <c r="AI294">
        <f t="shared" si="117"/>
        <v>1.9086294416243654</v>
      </c>
      <c r="AK294" t="s">
        <v>1143</v>
      </c>
      <c r="AL294">
        <v>49</v>
      </c>
      <c r="AM294" t="s">
        <v>325</v>
      </c>
      <c r="AN294" t="s">
        <v>356</v>
      </c>
      <c r="AO294">
        <v>0.21199999999999999</v>
      </c>
    </row>
    <row r="295" spans="1:41">
      <c r="A295">
        <v>11</v>
      </c>
      <c r="B295" t="s">
        <v>357</v>
      </c>
      <c r="C295" t="s">
        <v>355</v>
      </c>
      <c r="D295" s="3">
        <f t="shared" si="113"/>
        <v>5.0761421319796955</v>
      </c>
      <c r="F295">
        <v>2021</v>
      </c>
      <c r="G295">
        <f t="shared" si="112"/>
        <v>4</v>
      </c>
      <c r="J295">
        <f t="shared" si="115"/>
        <v>197</v>
      </c>
      <c r="K295">
        <v>5</v>
      </c>
      <c r="L295">
        <v>3</v>
      </c>
      <c r="Q295" t="s">
        <v>552</v>
      </c>
      <c r="R295" t="str">
        <f t="shared" si="114"/>
        <v/>
      </c>
      <c r="S295">
        <f t="shared" si="116"/>
        <v>0.39482432432432457</v>
      </c>
      <c r="V295" t="s">
        <v>186</v>
      </c>
      <c r="Y295">
        <v>2014</v>
      </c>
      <c r="Z295">
        <f>2025-AVERAGE($Y$292:$Y$488)</f>
        <v>10.796954314720779</v>
      </c>
      <c r="AE295">
        <v>0</v>
      </c>
      <c r="AF295" t="s">
        <v>186</v>
      </c>
      <c r="AG295">
        <v>2</v>
      </c>
      <c r="AI295">
        <f t="shared" si="117"/>
        <v>1.9086294416243654</v>
      </c>
      <c r="AK295" t="s">
        <v>1143</v>
      </c>
      <c r="AL295">
        <v>49</v>
      </c>
      <c r="AM295" t="s">
        <v>325</v>
      </c>
      <c r="AN295" t="s">
        <v>356</v>
      </c>
      <c r="AO295">
        <v>0.21199999999999999</v>
      </c>
    </row>
    <row r="296" spans="1:41">
      <c r="A296">
        <v>11</v>
      </c>
      <c r="B296" t="s">
        <v>357</v>
      </c>
      <c r="C296" t="s">
        <v>355</v>
      </c>
      <c r="D296" s="3">
        <f t="shared" si="113"/>
        <v>5.0761421319796955</v>
      </c>
      <c r="F296">
        <v>2021</v>
      </c>
      <c r="G296">
        <f t="shared" si="112"/>
        <v>4</v>
      </c>
      <c r="J296">
        <f t="shared" si="115"/>
        <v>197</v>
      </c>
      <c r="K296">
        <v>5</v>
      </c>
      <c r="L296">
        <v>3</v>
      </c>
      <c r="Q296" t="s">
        <v>555</v>
      </c>
      <c r="R296">
        <f t="shared" si="114"/>
        <v>0.45700000000000002</v>
      </c>
      <c r="S296">
        <f t="shared" si="116"/>
        <v>0.39482432432432457</v>
      </c>
      <c r="V296" t="s">
        <v>186</v>
      </c>
      <c r="Y296">
        <v>2016</v>
      </c>
      <c r="Z296">
        <f>2025-AVERAGE($Y$292:$Y$488)</f>
        <v>10.796954314720779</v>
      </c>
      <c r="AE296">
        <v>0</v>
      </c>
      <c r="AF296" t="s">
        <v>186</v>
      </c>
      <c r="AG296">
        <v>3</v>
      </c>
      <c r="AI296">
        <f t="shared" si="117"/>
        <v>1.9086294416243654</v>
      </c>
      <c r="AK296" t="s">
        <v>1143</v>
      </c>
      <c r="AL296">
        <v>49</v>
      </c>
      <c r="AM296" t="s">
        <v>325</v>
      </c>
      <c r="AN296" t="s">
        <v>356</v>
      </c>
      <c r="AO296">
        <v>0.21199999999999999</v>
      </c>
    </row>
    <row r="297" spans="1:41">
      <c r="A297">
        <v>11</v>
      </c>
      <c r="B297" t="s">
        <v>357</v>
      </c>
      <c r="C297" t="s">
        <v>355</v>
      </c>
      <c r="D297" s="3">
        <f t="shared" si="113"/>
        <v>5.0761421319796955</v>
      </c>
      <c r="F297">
        <v>2021</v>
      </c>
      <c r="G297">
        <f t="shared" si="112"/>
        <v>4</v>
      </c>
      <c r="J297">
        <f t="shared" si="115"/>
        <v>197</v>
      </c>
      <c r="K297">
        <v>5</v>
      </c>
      <c r="L297">
        <v>3</v>
      </c>
      <c r="Q297" t="s">
        <v>555</v>
      </c>
      <c r="R297">
        <f t="shared" si="114"/>
        <v>0.45700000000000002</v>
      </c>
      <c r="S297">
        <f t="shared" si="116"/>
        <v>0.39482432432432457</v>
      </c>
      <c r="V297" t="s">
        <v>186</v>
      </c>
      <c r="Y297">
        <v>2016</v>
      </c>
      <c r="Z297">
        <f>2025-AVERAGE($Y$292:$Y$488)</f>
        <v>10.796954314720779</v>
      </c>
      <c r="AE297">
        <v>0</v>
      </c>
      <c r="AF297" t="s">
        <v>186</v>
      </c>
      <c r="AG297">
        <v>2</v>
      </c>
      <c r="AI297">
        <f t="shared" si="117"/>
        <v>1.9086294416243654</v>
      </c>
      <c r="AK297" t="s">
        <v>1143</v>
      </c>
      <c r="AL297">
        <v>49</v>
      </c>
      <c r="AM297" t="s">
        <v>325</v>
      </c>
      <c r="AN297" t="s">
        <v>356</v>
      </c>
      <c r="AO297">
        <v>0.21199999999999999</v>
      </c>
    </row>
    <row r="298" spans="1:41">
      <c r="A298">
        <v>11</v>
      </c>
      <c r="B298" t="s">
        <v>357</v>
      </c>
      <c r="C298" t="s">
        <v>355</v>
      </c>
      <c r="D298" s="3">
        <f t="shared" si="113"/>
        <v>5.0761421319796955</v>
      </c>
      <c r="F298">
        <v>2021</v>
      </c>
      <c r="G298">
        <f t="shared" si="112"/>
        <v>4</v>
      </c>
      <c r="J298">
        <f t="shared" si="115"/>
        <v>197</v>
      </c>
      <c r="K298">
        <v>5</v>
      </c>
      <c r="L298">
        <v>3</v>
      </c>
      <c r="Q298" t="s">
        <v>553</v>
      </c>
      <c r="R298" t="str">
        <f t="shared" si="114"/>
        <v/>
      </c>
      <c r="S298">
        <f t="shared" si="116"/>
        <v>0.39482432432432457</v>
      </c>
      <c r="V298" t="s">
        <v>186</v>
      </c>
      <c r="Y298">
        <v>2016</v>
      </c>
      <c r="Z298">
        <f>2025-AVERAGE($Y$292:$Y$488)</f>
        <v>10.796954314720779</v>
      </c>
      <c r="AE298">
        <v>0</v>
      </c>
      <c r="AF298" t="s">
        <v>186</v>
      </c>
      <c r="AG298">
        <v>3</v>
      </c>
      <c r="AI298">
        <f t="shared" si="117"/>
        <v>1.9086294416243654</v>
      </c>
      <c r="AK298" t="s">
        <v>1143</v>
      </c>
      <c r="AL298">
        <v>49</v>
      </c>
      <c r="AM298" t="s">
        <v>325</v>
      </c>
      <c r="AN298" t="s">
        <v>356</v>
      </c>
      <c r="AO298">
        <v>0.21199999999999999</v>
      </c>
    </row>
    <row r="299" spans="1:41">
      <c r="A299">
        <v>11</v>
      </c>
      <c r="B299" t="s">
        <v>357</v>
      </c>
      <c r="C299" t="s">
        <v>355</v>
      </c>
      <c r="D299" s="3">
        <f t="shared" si="113"/>
        <v>5.0761421319796955</v>
      </c>
      <c r="F299">
        <v>2021</v>
      </c>
      <c r="G299">
        <f t="shared" si="112"/>
        <v>4</v>
      </c>
      <c r="J299">
        <f t="shared" si="115"/>
        <v>197</v>
      </c>
      <c r="K299">
        <v>5</v>
      </c>
      <c r="L299">
        <v>3</v>
      </c>
      <c r="Q299" t="s">
        <v>553</v>
      </c>
      <c r="R299" t="str">
        <f t="shared" si="114"/>
        <v/>
      </c>
      <c r="S299">
        <f t="shared" si="116"/>
        <v>0.39482432432432457</v>
      </c>
      <c r="V299" t="s">
        <v>186</v>
      </c>
      <c r="Y299">
        <v>2015</v>
      </c>
      <c r="Z299">
        <f>2025-AVERAGE($Y$292:$Y$488)</f>
        <v>10.796954314720779</v>
      </c>
      <c r="AE299">
        <v>0</v>
      </c>
      <c r="AF299" t="s">
        <v>186</v>
      </c>
      <c r="AG299">
        <v>2</v>
      </c>
      <c r="AI299">
        <f t="shared" si="117"/>
        <v>1.9086294416243654</v>
      </c>
      <c r="AK299" t="s">
        <v>1143</v>
      </c>
      <c r="AL299">
        <v>49</v>
      </c>
      <c r="AM299" t="s">
        <v>325</v>
      </c>
      <c r="AN299" t="s">
        <v>356</v>
      </c>
      <c r="AO299">
        <v>0.21199999999999999</v>
      </c>
    </row>
    <row r="300" spans="1:41">
      <c r="A300">
        <v>11</v>
      </c>
      <c r="B300" t="s">
        <v>357</v>
      </c>
      <c r="C300" t="s">
        <v>355</v>
      </c>
      <c r="D300" s="3">
        <f t="shared" si="113"/>
        <v>5.0761421319796955</v>
      </c>
      <c r="F300">
        <v>2021</v>
      </c>
      <c r="G300">
        <f t="shared" si="112"/>
        <v>4</v>
      </c>
      <c r="J300">
        <f t="shared" si="115"/>
        <v>197</v>
      </c>
      <c r="K300">
        <v>5</v>
      </c>
      <c r="L300">
        <v>3</v>
      </c>
      <c r="Q300" t="s">
        <v>553</v>
      </c>
      <c r="R300" t="str">
        <f t="shared" si="114"/>
        <v/>
      </c>
      <c r="S300">
        <f t="shared" si="116"/>
        <v>0.39482432432432457</v>
      </c>
      <c r="V300" t="s">
        <v>186</v>
      </c>
      <c r="Y300">
        <v>2013</v>
      </c>
      <c r="Z300">
        <f>2025-AVERAGE($Y$292:$Y$488)</f>
        <v>10.796954314720779</v>
      </c>
      <c r="AE300">
        <v>0</v>
      </c>
      <c r="AF300" t="s">
        <v>186</v>
      </c>
      <c r="AG300">
        <v>1</v>
      </c>
      <c r="AI300">
        <f t="shared" si="117"/>
        <v>1.9086294416243654</v>
      </c>
      <c r="AK300" t="s">
        <v>1143</v>
      </c>
      <c r="AL300">
        <v>49</v>
      </c>
      <c r="AM300" t="s">
        <v>325</v>
      </c>
      <c r="AN300" t="s">
        <v>356</v>
      </c>
      <c r="AO300">
        <v>0.21199999999999999</v>
      </c>
    </row>
    <row r="301" spans="1:41">
      <c r="A301">
        <v>11</v>
      </c>
      <c r="B301" t="s">
        <v>357</v>
      </c>
      <c r="C301" t="s">
        <v>355</v>
      </c>
      <c r="D301" s="3">
        <f t="shared" si="113"/>
        <v>5.0761421319796955</v>
      </c>
      <c r="F301">
        <v>2021</v>
      </c>
      <c r="G301">
        <f t="shared" si="112"/>
        <v>4</v>
      </c>
      <c r="J301">
        <f t="shared" si="115"/>
        <v>197</v>
      </c>
      <c r="K301">
        <v>5</v>
      </c>
      <c r="L301">
        <v>3</v>
      </c>
      <c r="Q301" t="s">
        <v>554</v>
      </c>
      <c r="R301">
        <f t="shared" si="114"/>
        <v>0.503</v>
      </c>
      <c r="S301">
        <f t="shared" si="116"/>
        <v>0.39482432432432457</v>
      </c>
      <c r="T301" t="s">
        <v>557</v>
      </c>
      <c r="V301" t="s">
        <v>186</v>
      </c>
      <c r="Y301">
        <v>2013</v>
      </c>
      <c r="Z301">
        <f>2025-AVERAGE($Y$292:$Y$488)</f>
        <v>10.796954314720779</v>
      </c>
      <c r="AE301">
        <v>0</v>
      </c>
      <c r="AF301" t="s">
        <v>186</v>
      </c>
      <c r="AG301">
        <v>1</v>
      </c>
      <c r="AI301">
        <f t="shared" si="117"/>
        <v>1.9086294416243654</v>
      </c>
      <c r="AK301" t="s">
        <v>1143</v>
      </c>
      <c r="AL301">
        <v>49</v>
      </c>
      <c r="AM301" t="s">
        <v>325</v>
      </c>
      <c r="AN301" t="s">
        <v>356</v>
      </c>
      <c r="AO301">
        <v>0.21199999999999999</v>
      </c>
    </row>
    <row r="302" spans="1:41">
      <c r="A302">
        <v>11</v>
      </c>
      <c r="B302" t="s">
        <v>357</v>
      </c>
      <c r="C302" t="s">
        <v>355</v>
      </c>
      <c r="D302" s="3">
        <f t="shared" si="113"/>
        <v>5.0761421319796955</v>
      </c>
      <c r="F302">
        <v>2021</v>
      </c>
      <c r="G302">
        <f t="shared" si="112"/>
        <v>4</v>
      </c>
      <c r="J302">
        <f t="shared" si="115"/>
        <v>197</v>
      </c>
      <c r="K302">
        <v>5</v>
      </c>
      <c r="L302">
        <v>3</v>
      </c>
      <c r="Q302" t="s">
        <v>553</v>
      </c>
      <c r="R302" t="str">
        <f t="shared" si="114"/>
        <v/>
      </c>
      <c r="S302">
        <f t="shared" si="116"/>
        <v>0.39482432432432457</v>
      </c>
      <c r="T302" t="s">
        <v>557</v>
      </c>
      <c r="V302" t="s">
        <v>186</v>
      </c>
      <c r="Y302">
        <v>2014</v>
      </c>
      <c r="Z302">
        <f>2025-AVERAGE($Y$292:$Y$488)</f>
        <v>10.796954314720779</v>
      </c>
      <c r="AE302">
        <v>0</v>
      </c>
      <c r="AF302" t="s">
        <v>186</v>
      </c>
      <c r="AG302">
        <v>1</v>
      </c>
      <c r="AI302">
        <f t="shared" si="117"/>
        <v>1.9086294416243654</v>
      </c>
      <c r="AK302" t="s">
        <v>1143</v>
      </c>
      <c r="AL302">
        <v>49</v>
      </c>
      <c r="AM302" t="s">
        <v>325</v>
      </c>
      <c r="AN302" t="s">
        <v>356</v>
      </c>
      <c r="AO302">
        <v>0.21199999999999999</v>
      </c>
    </row>
    <row r="303" spans="1:41">
      <c r="A303">
        <v>11</v>
      </c>
      <c r="B303" t="s">
        <v>357</v>
      </c>
      <c r="C303" t="s">
        <v>355</v>
      </c>
      <c r="D303" s="3">
        <f t="shared" si="113"/>
        <v>5.0761421319796955</v>
      </c>
      <c r="F303">
        <v>2021</v>
      </c>
      <c r="G303">
        <f t="shared" si="112"/>
        <v>4</v>
      </c>
      <c r="J303">
        <f t="shared" si="115"/>
        <v>197</v>
      </c>
      <c r="K303">
        <v>5</v>
      </c>
      <c r="L303">
        <v>3</v>
      </c>
      <c r="Q303" t="s">
        <v>554</v>
      </c>
      <c r="R303">
        <f t="shared" si="114"/>
        <v>0.31900000000000001</v>
      </c>
      <c r="S303">
        <f t="shared" si="116"/>
        <v>0.39482432432432457</v>
      </c>
      <c r="V303" t="s">
        <v>186</v>
      </c>
      <c r="Y303">
        <v>2014</v>
      </c>
      <c r="Z303">
        <f>2025-AVERAGE($Y$292:$Y$488)</f>
        <v>10.796954314720779</v>
      </c>
      <c r="AE303">
        <v>0</v>
      </c>
      <c r="AF303" t="s">
        <v>186</v>
      </c>
      <c r="AG303">
        <v>1</v>
      </c>
      <c r="AI303">
        <f t="shared" si="117"/>
        <v>1.9086294416243654</v>
      </c>
      <c r="AK303" t="s">
        <v>1143</v>
      </c>
      <c r="AL303">
        <v>49</v>
      </c>
      <c r="AM303" t="s">
        <v>325</v>
      </c>
      <c r="AN303" t="s">
        <v>356</v>
      </c>
      <c r="AO303">
        <v>0.21199999999999999</v>
      </c>
    </row>
    <row r="304" spans="1:41">
      <c r="A304">
        <v>11</v>
      </c>
      <c r="B304" t="s">
        <v>357</v>
      </c>
      <c r="C304" t="s">
        <v>355</v>
      </c>
      <c r="D304" s="3">
        <f t="shared" si="113"/>
        <v>5.0761421319796955</v>
      </c>
      <c r="F304">
        <v>2021</v>
      </c>
      <c r="G304">
        <f t="shared" si="112"/>
        <v>4</v>
      </c>
      <c r="J304">
        <f t="shared" si="115"/>
        <v>197</v>
      </c>
      <c r="K304">
        <v>5</v>
      </c>
      <c r="L304">
        <v>3</v>
      </c>
      <c r="Q304" t="s">
        <v>554</v>
      </c>
      <c r="R304">
        <f t="shared" si="114"/>
        <v>0.36899999999999999</v>
      </c>
      <c r="S304">
        <f t="shared" si="116"/>
        <v>0.39482432432432457</v>
      </c>
      <c r="T304" t="s">
        <v>558</v>
      </c>
      <c r="V304" t="s">
        <v>186</v>
      </c>
      <c r="Y304">
        <v>2016</v>
      </c>
      <c r="Z304">
        <f>2025-AVERAGE($Y$292:$Y$488)</f>
        <v>10.796954314720779</v>
      </c>
      <c r="AE304">
        <v>0</v>
      </c>
      <c r="AF304" t="s">
        <v>186</v>
      </c>
      <c r="AG304">
        <v>1</v>
      </c>
      <c r="AI304">
        <f t="shared" si="117"/>
        <v>1.9086294416243654</v>
      </c>
      <c r="AK304" t="s">
        <v>1143</v>
      </c>
      <c r="AL304">
        <v>49</v>
      </c>
      <c r="AM304" t="s">
        <v>325</v>
      </c>
      <c r="AN304" t="s">
        <v>356</v>
      </c>
      <c r="AO304">
        <v>0.21199999999999999</v>
      </c>
    </row>
    <row r="305" spans="1:41">
      <c r="A305">
        <v>11</v>
      </c>
      <c r="B305" t="s">
        <v>357</v>
      </c>
      <c r="C305" t="s">
        <v>355</v>
      </c>
      <c r="D305" s="3">
        <f t="shared" si="113"/>
        <v>5.0761421319796955</v>
      </c>
      <c r="F305">
        <v>2021</v>
      </c>
      <c r="G305">
        <f t="shared" si="112"/>
        <v>4</v>
      </c>
      <c r="J305">
        <f t="shared" si="115"/>
        <v>197</v>
      </c>
      <c r="K305">
        <v>5</v>
      </c>
      <c r="L305">
        <v>3</v>
      </c>
      <c r="Q305" t="s">
        <v>554</v>
      </c>
      <c r="R305">
        <f t="shared" si="114"/>
        <v>0.503</v>
      </c>
      <c r="S305">
        <f t="shared" si="116"/>
        <v>0.39482432432432457</v>
      </c>
      <c r="V305" t="s">
        <v>186</v>
      </c>
      <c r="Y305">
        <v>2013</v>
      </c>
      <c r="Z305">
        <f>2025-AVERAGE($Y$292:$Y$488)</f>
        <v>10.796954314720779</v>
      </c>
      <c r="AE305">
        <v>0</v>
      </c>
      <c r="AF305" t="s">
        <v>186</v>
      </c>
      <c r="AG305">
        <v>1</v>
      </c>
      <c r="AI305">
        <f t="shared" si="117"/>
        <v>1.9086294416243654</v>
      </c>
      <c r="AK305" t="s">
        <v>1143</v>
      </c>
      <c r="AL305">
        <v>49</v>
      </c>
      <c r="AM305" t="s">
        <v>325</v>
      </c>
      <c r="AN305" t="s">
        <v>356</v>
      </c>
      <c r="AO305">
        <v>0.21199999999999999</v>
      </c>
    </row>
    <row r="306" spans="1:41">
      <c r="A306">
        <v>11</v>
      </c>
      <c r="B306" t="s">
        <v>357</v>
      </c>
      <c r="C306" t="s">
        <v>355</v>
      </c>
      <c r="D306" s="3">
        <f t="shared" si="113"/>
        <v>5.0761421319796955</v>
      </c>
      <c r="F306">
        <v>2021</v>
      </c>
      <c r="G306">
        <f t="shared" si="112"/>
        <v>4</v>
      </c>
      <c r="J306">
        <f t="shared" si="115"/>
        <v>197</v>
      </c>
      <c r="K306">
        <v>5</v>
      </c>
      <c r="L306">
        <v>3</v>
      </c>
      <c r="Q306" t="s">
        <v>554</v>
      </c>
      <c r="R306">
        <f t="shared" si="114"/>
        <v>0.27300000000000002</v>
      </c>
      <c r="S306">
        <f t="shared" si="116"/>
        <v>0.39482432432432457</v>
      </c>
      <c r="V306" t="s">
        <v>186</v>
      </c>
      <c r="Y306">
        <v>2015</v>
      </c>
      <c r="Z306">
        <f>2025-AVERAGE($Y$292:$Y$488)</f>
        <v>10.796954314720779</v>
      </c>
      <c r="AE306">
        <v>0</v>
      </c>
      <c r="AF306" t="s">
        <v>186</v>
      </c>
      <c r="AG306">
        <v>3</v>
      </c>
      <c r="AI306">
        <f t="shared" si="117"/>
        <v>1.9086294416243654</v>
      </c>
      <c r="AK306" t="s">
        <v>1143</v>
      </c>
      <c r="AL306">
        <v>49</v>
      </c>
      <c r="AM306" t="s">
        <v>325</v>
      </c>
      <c r="AN306" t="s">
        <v>356</v>
      </c>
      <c r="AO306">
        <v>0.21199999999999999</v>
      </c>
    </row>
    <row r="307" spans="1:41">
      <c r="A307">
        <v>11</v>
      </c>
      <c r="B307" t="s">
        <v>357</v>
      </c>
      <c r="C307" t="s">
        <v>355</v>
      </c>
      <c r="D307" s="3">
        <f t="shared" si="113"/>
        <v>5.0761421319796955</v>
      </c>
      <c r="F307">
        <v>2021</v>
      </c>
      <c r="G307">
        <f t="shared" si="112"/>
        <v>4</v>
      </c>
      <c r="J307">
        <f t="shared" si="115"/>
        <v>197</v>
      </c>
      <c r="K307">
        <v>5</v>
      </c>
      <c r="L307">
        <v>3</v>
      </c>
      <c r="Q307" t="s">
        <v>555</v>
      </c>
      <c r="R307">
        <f t="shared" si="114"/>
        <v>0.45700000000000002</v>
      </c>
      <c r="S307">
        <f t="shared" si="116"/>
        <v>0.39482432432432457</v>
      </c>
      <c r="V307" t="s">
        <v>186</v>
      </c>
      <c r="Y307">
        <v>2016</v>
      </c>
      <c r="Z307">
        <f>2025-AVERAGE($Y$292:$Y$488)</f>
        <v>10.796954314720779</v>
      </c>
      <c r="AE307">
        <v>0</v>
      </c>
      <c r="AF307" t="s">
        <v>186</v>
      </c>
      <c r="AG307">
        <v>2</v>
      </c>
      <c r="AI307">
        <f t="shared" si="117"/>
        <v>1.9086294416243654</v>
      </c>
      <c r="AK307" t="s">
        <v>1143</v>
      </c>
      <c r="AL307">
        <v>49</v>
      </c>
      <c r="AM307" t="s">
        <v>325</v>
      </c>
      <c r="AN307" t="s">
        <v>356</v>
      </c>
      <c r="AO307">
        <v>0.21199999999999999</v>
      </c>
    </row>
    <row r="308" spans="1:41">
      <c r="A308">
        <v>11</v>
      </c>
      <c r="B308" t="s">
        <v>357</v>
      </c>
      <c r="C308" t="s">
        <v>355</v>
      </c>
      <c r="D308" s="3">
        <f t="shared" si="113"/>
        <v>5.0761421319796955</v>
      </c>
      <c r="F308">
        <v>2021</v>
      </c>
      <c r="G308">
        <f t="shared" si="112"/>
        <v>4</v>
      </c>
      <c r="J308">
        <f t="shared" si="115"/>
        <v>197</v>
      </c>
      <c r="K308">
        <v>5</v>
      </c>
      <c r="L308">
        <v>3</v>
      </c>
      <c r="Q308" t="s">
        <v>554</v>
      </c>
      <c r="R308">
        <f t="shared" si="114"/>
        <v>0.36899999999999999</v>
      </c>
      <c r="S308">
        <f t="shared" si="116"/>
        <v>0.39482432432432457</v>
      </c>
      <c r="V308" t="s">
        <v>186</v>
      </c>
      <c r="Y308">
        <v>2016</v>
      </c>
      <c r="Z308">
        <f>2025-AVERAGE($Y$292:$Y$488)</f>
        <v>10.796954314720779</v>
      </c>
      <c r="AE308">
        <v>0</v>
      </c>
      <c r="AF308" t="s">
        <v>186</v>
      </c>
      <c r="AG308">
        <v>3</v>
      </c>
      <c r="AI308">
        <f t="shared" si="117"/>
        <v>1.9086294416243654</v>
      </c>
      <c r="AK308" t="s">
        <v>1143</v>
      </c>
      <c r="AL308">
        <v>49</v>
      </c>
      <c r="AM308" t="s">
        <v>325</v>
      </c>
      <c r="AN308" t="s">
        <v>356</v>
      </c>
      <c r="AO308">
        <v>0.21199999999999999</v>
      </c>
    </row>
    <row r="309" spans="1:41">
      <c r="A309">
        <v>11</v>
      </c>
      <c r="B309" t="s">
        <v>357</v>
      </c>
      <c r="C309" t="s">
        <v>355</v>
      </c>
      <c r="D309" s="3">
        <f t="shared" si="113"/>
        <v>5.0761421319796955</v>
      </c>
      <c r="F309">
        <v>2021</v>
      </c>
      <c r="G309">
        <f t="shared" si="112"/>
        <v>4</v>
      </c>
      <c r="J309">
        <f t="shared" si="115"/>
        <v>197</v>
      </c>
      <c r="K309">
        <v>5</v>
      </c>
      <c r="L309">
        <v>3</v>
      </c>
      <c r="Q309" t="s">
        <v>555</v>
      </c>
      <c r="R309">
        <f t="shared" si="114"/>
        <v>0.73199999999999998</v>
      </c>
      <c r="S309">
        <f t="shared" si="116"/>
        <v>0.39482432432432457</v>
      </c>
      <c r="V309" t="s">
        <v>186</v>
      </c>
      <c r="Y309">
        <v>2012</v>
      </c>
      <c r="Z309">
        <f>2025-AVERAGE($Y$292:$Y$488)</f>
        <v>10.796954314720779</v>
      </c>
      <c r="AE309">
        <v>0</v>
      </c>
      <c r="AF309" t="s">
        <v>186</v>
      </c>
      <c r="AG309">
        <v>1</v>
      </c>
      <c r="AI309">
        <f t="shared" si="117"/>
        <v>1.9086294416243654</v>
      </c>
      <c r="AK309" t="s">
        <v>1143</v>
      </c>
      <c r="AL309">
        <v>49</v>
      </c>
      <c r="AM309" t="s">
        <v>325</v>
      </c>
      <c r="AN309" t="s">
        <v>356</v>
      </c>
      <c r="AO309">
        <v>0.21199999999999999</v>
      </c>
    </row>
    <row r="310" spans="1:41">
      <c r="A310">
        <v>11</v>
      </c>
      <c r="B310" t="s">
        <v>357</v>
      </c>
      <c r="C310" t="s">
        <v>355</v>
      </c>
      <c r="D310" s="3">
        <f t="shared" si="113"/>
        <v>5.0761421319796955</v>
      </c>
      <c r="F310">
        <v>2021</v>
      </c>
      <c r="G310">
        <f t="shared" si="112"/>
        <v>4</v>
      </c>
      <c r="J310">
        <f t="shared" si="115"/>
        <v>197</v>
      </c>
      <c r="K310">
        <v>5</v>
      </c>
      <c r="L310">
        <v>3</v>
      </c>
      <c r="Q310" t="s">
        <v>552</v>
      </c>
      <c r="R310" t="str">
        <f t="shared" si="114"/>
        <v/>
      </c>
      <c r="S310">
        <f t="shared" si="116"/>
        <v>0.39482432432432457</v>
      </c>
      <c r="V310" t="s">
        <v>186</v>
      </c>
      <c r="Y310">
        <v>2014</v>
      </c>
      <c r="Z310">
        <f>2025-AVERAGE($Y$292:$Y$488)</f>
        <v>10.796954314720779</v>
      </c>
      <c r="AE310">
        <v>0</v>
      </c>
      <c r="AF310" t="s">
        <v>186</v>
      </c>
      <c r="AG310">
        <v>2</v>
      </c>
      <c r="AI310">
        <f t="shared" si="117"/>
        <v>1.9086294416243654</v>
      </c>
      <c r="AK310" t="s">
        <v>1143</v>
      </c>
      <c r="AL310">
        <v>49</v>
      </c>
      <c r="AM310" t="s">
        <v>325</v>
      </c>
      <c r="AN310" t="s">
        <v>356</v>
      </c>
      <c r="AO310">
        <v>0.21199999999999999</v>
      </c>
    </row>
    <row r="311" spans="1:41">
      <c r="A311">
        <v>11</v>
      </c>
      <c r="B311" t="s">
        <v>357</v>
      </c>
      <c r="C311" t="s">
        <v>355</v>
      </c>
      <c r="D311" s="3">
        <f t="shared" si="113"/>
        <v>5.0761421319796955</v>
      </c>
      <c r="F311">
        <v>2021</v>
      </c>
      <c r="G311">
        <f t="shared" si="112"/>
        <v>4</v>
      </c>
      <c r="J311">
        <f t="shared" si="115"/>
        <v>197</v>
      </c>
      <c r="K311">
        <v>5</v>
      </c>
      <c r="L311">
        <v>3</v>
      </c>
      <c r="Q311" t="s">
        <v>553</v>
      </c>
      <c r="R311" t="str">
        <f t="shared" si="114"/>
        <v/>
      </c>
      <c r="S311">
        <f t="shared" si="116"/>
        <v>0.39482432432432457</v>
      </c>
      <c r="V311" t="s">
        <v>186</v>
      </c>
      <c r="Y311">
        <v>2013</v>
      </c>
      <c r="Z311">
        <f>2025-AVERAGE($Y$292:$Y$488)</f>
        <v>10.796954314720779</v>
      </c>
      <c r="AE311">
        <v>0</v>
      </c>
      <c r="AF311" t="s">
        <v>186</v>
      </c>
      <c r="AG311">
        <v>3</v>
      </c>
      <c r="AI311">
        <f t="shared" si="117"/>
        <v>1.9086294416243654</v>
      </c>
      <c r="AK311" t="s">
        <v>1143</v>
      </c>
      <c r="AL311">
        <v>49</v>
      </c>
      <c r="AM311" t="s">
        <v>325</v>
      </c>
      <c r="AN311" t="s">
        <v>356</v>
      </c>
      <c r="AO311">
        <v>0.21199999999999999</v>
      </c>
    </row>
    <row r="312" spans="1:41">
      <c r="A312">
        <v>11</v>
      </c>
      <c r="B312" t="s">
        <v>357</v>
      </c>
      <c r="C312" t="s">
        <v>355</v>
      </c>
      <c r="D312" s="3">
        <f t="shared" si="113"/>
        <v>5.0761421319796955</v>
      </c>
      <c r="F312">
        <v>2021</v>
      </c>
      <c r="G312">
        <f t="shared" si="112"/>
        <v>4</v>
      </c>
      <c r="J312">
        <f t="shared" si="115"/>
        <v>197</v>
      </c>
      <c r="K312">
        <v>5</v>
      </c>
      <c r="L312">
        <v>3</v>
      </c>
      <c r="Q312" t="s">
        <v>554</v>
      </c>
      <c r="R312">
        <f t="shared" si="114"/>
        <v>0.27300000000000002</v>
      </c>
      <c r="S312">
        <f t="shared" si="116"/>
        <v>0.39482432432432457</v>
      </c>
      <c r="V312" t="s">
        <v>186</v>
      </c>
      <c r="Y312">
        <v>2015</v>
      </c>
      <c r="Z312">
        <f>2025-AVERAGE($Y$292:$Y$488)</f>
        <v>10.796954314720779</v>
      </c>
      <c r="AE312">
        <v>0</v>
      </c>
      <c r="AF312" t="s">
        <v>186</v>
      </c>
      <c r="AG312">
        <v>1</v>
      </c>
      <c r="AI312">
        <f t="shared" si="117"/>
        <v>1.9086294416243654</v>
      </c>
      <c r="AK312" t="s">
        <v>1143</v>
      </c>
      <c r="AL312">
        <v>49</v>
      </c>
      <c r="AM312" t="s">
        <v>325</v>
      </c>
      <c r="AN312" t="s">
        <v>356</v>
      </c>
      <c r="AO312">
        <v>0.21199999999999999</v>
      </c>
    </row>
    <row r="313" spans="1:41">
      <c r="A313">
        <v>11</v>
      </c>
      <c r="B313" t="s">
        <v>357</v>
      </c>
      <c r="C313" t="s">
        <v>355</v>
      </c>
      <c r="D313" s="3">
        <f t="shared" si="113"/>
        <v>5.0761421319796955</v>
      </c>
      <c r="F313">
        <v>2021</v>
      </c>
      <c r="G313">
        <f t="shared" si="112"/>
        <v>4</v>
      </c>
      <c r="J313">
        <f t="shared" si="115"/>
        <v>197</v>
      </c>
      <c r="K313">
        <v>5</v>
      </c>
      <c r="L313">
        <v>3</v>
      </c>
      <c r="Q313" t="s">
        <v>554</v>
      </c>
      <c r="R313">
        <f t="shared" si="114"/>
        <v>0.35799999999999998</v>
      </c>
      <c r="S313">
        <f t="shared" si="116"/>
        <v>0.39482432432432457</v>
      </c>
      <c r="V313" t="s">
        <v>186</v>
      </c>
      <c r="Y313">
        <v>2012</v>
      </c>
      <c r="Z313">
        <f>2025-AVERAGE($Y$292:$Y$488)</f>
        <v>10.796954314720779</v>
      </c>
      <c r="AE313">
        <v>0</v>
      </c>
      <c r="AF313" t="s">
        <v>186</v>
      </c>
      <c r="AG313">
        <v>1</v>
      </c>
      <c r="AI313">
        <f t="shared" si="117"/>
        <v>1.9086294416243654</v>
      </c>
      <c r="AK313" t="s">
        <v>1143</v>
      </c>
      <c r="AL313">
        <v>49</v>
      </c>
      <c r="AM313" t="s">
        <v>325</v>
      </c>
      <c r="AN313" t="s">
        <v>356</v>
      </c>
      <c r="AO313">
        <v>0.21199999999999999</v>
      </c>
    </row>
    <row r="314" spans="1:41">
      <c r="A314">
        <v>11</v>
      </c>
      <c r="B314" t="s">
        <v>357</v>
      </c>
      <c r="C314" t="s">
        <v>355</v>
      </c>
      <c r="D314" s="3">
        <f t="shared" si="113"/>
        <v>5.0761421319796955</v>
      </c>
      <c r="F314">
        <v>2021</v>
      </c>
      <c r="G314">
        <f t="shared" si="112"/>
        <v>4</v>
      </c>
      <c r="J314">
        <f t="shared" si="115"/>
        <v>197</v>
      </c>
      <c r="K314">
        <v>5</v>
      </c>
      <c r="L314">
        <v>3</v>
      </c>
      <c r="Q314" t="s">
        <v>555</v>
      </c>
      <c r="R314">
        <f t="shared" si="114"/>
        <v>0.73199999999999998</v>
      </c>
      <c r="S314">
        <f t="shared" si="116"/>
        <v>0.39482432432432457</v>
      </c>
      <c r="V314" t="s">
        <v>186</v>
      </c>
      <c r="Y314">
        <v>2012</v>
      </c>
      <c r="Z314">
        <f>2025-AVERAGE($Y$292:$Y$488)</f>
        <v>10.796954314720779</v>
      </c>
      <c r="AE314">
        <v>0</v>
      </c>
      <c r="AF314" t="s">
        <v>186</v>
      </c>
      <c r="AG314">
        <v>3</v>
      </c>
      <c r="AI314">
        <f t="shared" si="117"/>
        <v>1.9086294416243654</v>
      </c>
      <c r="AK314" t="s">
        <v>1143</v>
      </c>
      <c r="AL314">
        <v>49</v>
      </c>
      <c r="AM314" t="s">
        <v>325</v>
      </c>
      <c r="AN314" t="s">
        <v>356</v>
      </c>
      <c r="AO314">
        <v>0.21199999999999999</v>
      </c>
    </row>
    <row r="315" spans="1:41">
      <c r="A315">
        <v>11</v>
      </c>
      <c r="B315" t="s">
        <v>357</v>
      </c>
      <c r="C315" t="s">
        <v>355</v>
      </c>
      <c r="D315" s="3">
        <f t="shared" si="113"/>
        <v>5.0761421319796955</v>
      </c>
      <c r="F315">
        <v>2021</v>
      </c>
      <c r="G315">
        <f t="shared" si="112"/>
        <v>4</v>
      </c>
      <c r="J315">
        <f t="shared" si="115"/>
        <v>197</v>
      </c>
      <c r="K315">
        <v>5</v>
      </c>
      <c r="L315">
        <v>3</v>
      </c>
      <c r="Q315" t="s">
        <v>553</v>
      </c>
      <c r="R315" t="str">
        <f t="shared" si="114"/>
        <v/>
      </c>
      <c r="S315">
        <f t="shared" si="116"/>
        <v>0.39482432432432457</v>
      </c>
      <c r="V315" t="s">
        <v>186</v>
      </c>
      <c r="Y315">
        <v>2012</v>
      </c>
      <c r="Z315">
        <f>2025-AVERAGE($Y$292:$Y$488)</f>
        <v>10.796954314720779</v>
      </c>
      <c r="AE315">
        <v>0</v>
      </c>
      <c r="AF315" t="s">
        <v>186</v>
      </c>
      <c r="AG315">
        <v>1</v>
      </c>
      <c r="AI315">
        <f t="shared" si="117"/>
        <v>1.9086294416243654</v>
      </c>
      <c r="AK315" t="s">
        <v>1143</v>
      </c>
      <c r="AL315">
        <v>49</v>
      </c>
      <c r="AM315" t="s">
        <v>325</v>
      </c>
      <c r="AN315" t="s">
        <v>356</v>
      </c>
      <c r="AO315">
        <v>0.21199999999999999</v>
      </c>
    </row>
    <row r="316" spans="1:41">
      <c r="A316">
        <v>11</v>
      </c>
      <c r="B316" t="s">
        <v>357</v>
      </c>
      <c r="C316" t="s">
        <v>355</v>
      </c>
      <c r="D316" s="3">
        <f t="shared" si="113"/>
        <v>5.0761421319796955</v>
      </c>
      <c r="F316">
        <v>2021</v>
      </c>
      <c r="G316">
        <f t="shared" si="112"/>
        <v>4</v>
      </c>
      <c r="J316">
        <f t="shared" si="115"/>
        <v>197</v>
      </c>
      <c r="K316">
        <v>5</v>
      </c>
      <c r="L316">
        <v>3</v>
      </c>
      <c r="Q316" t="s">
        <v>555</v>
      </c>
      <c r="R316">
        <f t="shared" si="114"/>
        <v>0.45700000000000002</v>
      </c>
      <c r="S316">
        <f t="shared" si="116"/>
        <v>0.39482432432432457</v>
      </c>
      <c r="V316" t="s">
        <v>186</v>
      </c>
      <c r="Y316">
        <v>2016</v>
      </c>
      <c r="Z316">
        <f>2025-AVERAGE($Y$292:$Y$488)</f>
        <v>10.796954314720779</v>
      </c>
      <c r="AE316">
        <v>0</v>
      </c>
      <c r="AF316" t="s">
        <v>186</v>
      </c>
      <c r="AG316">
        <v>2</v>
      </c>
      <c r="AI316">
        <f t="shared" si="117"/>
        <v>1.9086294416243654</v>
      </c>
      <c r="AK316" t="s">
        <v>1143</v>
      </c>
      <c r="AL316">
        <v>49</v>
      </c>
      <c r="AM316" t="s">
        <v>325</v>
      </c>
      <c r="AN316" t="s">
        <v>356</v>
      </c>
      <c r="AO316">
        <v>0.21199999999999999</v>
      </c>
    </row>
    <row r="317" spans="1:41">
      <c r="A317">
        <v>11</v>
      </c>
      <c r="B317" t="s">
        <v>357</v>
      </c>
      <c r="C317" t="s">
        <v>355</v>
      </c>
      <c r="D317" s="3">
        <f t="shared" si="113"/>
        <v>5.0761421319796955</v>
      </c>
      <c r="F317">
        <v>2021</v>
      </c>
      <c r="G317">
        <f t="shared" si="112"/>
        <v>4</v>
      </c>
      <c r="J317">
        <f t="shared" si="115"/>
        <v>197</v>
      </c>
      <c r="K317">
        <v>5</v>
      </c>
      <c r="L317">
        <v>3</v>
      </c>
      <c r="Q317" t="s">
        <v>556</v>
      </c>
      <c r="R317">
        <f t="shared" si="114"/>
        <v>0.27900000000000003</v>
      </c>
      <c r="S317">
        <f t="shared" si="116"/>
        <v>0.39482432432432457</v>
      </c>
      <c r="V317" t="s">
        <v>186</v>
      </c>
      <c r="Y317">
        <v>2013</v>
      </c>
      <c r="Z317">
        <f>2025-AVERAGE($Y$292:$Y$488)</f>
        <v>10.796954314720779</v>
      </c>
      <c r="AE317">
        <v>0</v>
      </c>
      <c r="AF317" t="s">
        <v>186</v>
      </c>
      <c r="AG317">
        <v>1</v>
      </c>
      <c r="AI317">
        <f t="shared" si="117"/>
        <v>1.9086294416243654</v>
      </c>
      <c r="AK317" t="s">
        <v>1143</v>
      </c>
      <c r="AL317">
        <v>49</v>
      </c>
      <c r="AM317" t="s">
        <v>325</v>
      </c>
      <c r="AN317" t="s">
        <v>356</v>
      </c>
      <c r="AO317">
        <v>0.21199999999999999</v>
      </c>
    </row>
    <row r="318" spans="1:41">
      <c r="A318">
        <v>11</v>
      </c>
      <c r="B318" t="s">
        <v>357</v>
      </c>
      <c r="C318" t="s">
        <v>355</v>
      </c>
      <c r="D318" s="3">
        <f t="shared" si="113"/>
        <v>5.0761421319796955</v>
      </c>
      <c r="F318">
        <v>2021</v>
      </c>
      <c r="G318">
        <f t="shared" si="112"/>
        <v>4</v>
      </c>
      <c r="J318">
        <f t="shared" si="115"/>
        <v>197</v>
      </c>
      <c r="K318">
        <v>5</v>
      </c>
      <c r="L318">
        <v>3</v>
      </c>
      <c r="Q318" t="s">
        <v>554</v>
      </c>
      <c r="R318">
        <f t="shared" si="114"/>
        <v>0.35799999999999998</v>
      </c>
      <c r="S318">
        <f t="shared" si="116"/>
        <v>0.39482432432432457</v>
      </c>
      <c r="V318" t="s">
        <v>186</v>
      </c>
      <c r="Y318">
        <v>2012</v>
      </c>
      <c r="Z318">
        <f>2025-AVERAGE($Y$292:$Y$488)</f>
        <v>10.796954314720779</v>
      </c>
      <c r="AE318">
        <v>0</v>
      </c>
      <c r="AF318" t="s">
        <v>186</v>
      </c>
      <c r="AG318">
        <v>1</v>
      </c>
      <c r="AI318">
        <f t="shared" si="117"/>
        <v>1.9086294416243654</v>
      </c>
      <c r="AK318" t="s">
        <v>1143</v>
      </c>
      <c r="AL318">
        <v>49</v>
      </c>
      <c r="AM318" t="s">
        <v>325</v>
      </c>
      <c r="AN318" t="s">
        <v>356</v>
      </c>
      <c r="AO318">
        <v>0.21199999999999999</v>
      </c>
    </row>
    <row r="319" spans="1:41">
      <c r="A319">
        <v>11</v>
      </c>
      <c r="B319" t="s">
        <v>357</v>
      </c>
      <c r="C319" t="s">
        <v>355</v>
      </c>
      <c r="D319" s="3">
        <f t="shared" si="113"/>
        <v>5.0761421319796955</v>
      </c>
      <c r="F319">
        <v>2021</v>
      </c>
      <c r="G319">
        <f t="shared" si="112"/>
        <v>4</v>
      </c>
      <c r="J319">
        <f t="shared" si="115"/>
        <v>197</v>
      </c>
      <c r="K319">
        <v>5</v>
      </c>
      <c r="L319">
        <v>3</v>
      </c>
      <c r="Q319" t="s">
        <v>555</v>
      </c>
      <c r="R319">
        <f t="shared" si="114"/>
        <v>0.46899999999999997</v>
      </c>
      <c r="S319">
        <f t="shared" si="116"/>
        <v>0.39482432432432457</v>
      </c>
      <c r="V319" t="s">
        <v>186</v>
      </c>
      <c r="Y319">
        <v>2013</v>
      </c>
      <c r="Z319">
        <f>2025-AVERAGE($Y$292:$Y$488)</f>
        <v>10.796954314720779</v>
      </c>
      <c r="AE319">
        <v>0</v>
      </c>
      <c r="AF319" t="s">
        <v>186</v>
      </c>
      <c r="AG319">
        <v>2</v>
      </c>
      <c r="AI319">
        <f t="shared" si="117"/>
        <v>1.9086294416243654</v>
      </c>
      <c r="AK319" t="s">
        <v>1143</v>
      </c>
      <c r="AL319">
        <v>49</v>
      </c>
      <c r="AM319" t="s">
        <v>325</v>
      </c>
      <c r="AN319" t="s">
        <v>356</v>
      </c>
      <c r="AO319">
        <v>0.21199999999999999</v>
      </c>
    </row>
    <row r="320" spans="1:41">
      <c r="A320">
        <v>11</v>
      </c>
      <c r="B320" t="s">
        <v>357</v>
      </c>
      <c r="C320" t="s">
        <v>355</v>
      </c>
      <c r="D320" s="3">
        <f t="shared" si="113"/>
        <v>5.0761421319796955</v>
      </c>
      <c r="F320">
        <v>2021</v>
      </c>
      <c r="G320">
        <f t="shared" si="112"/>
        <v>4</v>
      </c>
      <c r="J320">
        <f t="shared" si="115"/>
        <v>197</v>
      </c>
      <c r="K320">
        <v>5</v>
      </c>
      <c r="L320">
        <v>3</v>
      </c>
      <c r="Q320" t="s">
        <v>554</v>
      </c>
      <c r="R320">
        <f t="shared" si="114"/>
        <v>0.27300000000000002</v>
      </c>
      <c r="S320">
        <f t="shared" si="116"/>
        <v>0.39482432432432457</v>
      </c>
      <c r="V320" t="s">
        <v>186</v>
      </c>
      <c r="Y320">
        <v>2015</v>
      </c>
      <c r="Z320">
        <f>2025-AVERAGE($Y$292:$Y$488)</f>
        <v>10.796954314720779</v>
      </c>
      <c r="AE320">
        <v>0</v>
      </c>
      <c r="AF320" t="s">
        <v>186</v>
      </c>
      <c r="AG320">
        <v>1</v>
      </c>
      <c r="AI320">
        <f t="shared" si="117"/>
        <v>1.9086294416243654</v>
      </c>
      <c r="AK320" t="s">
        <v>1143</v>
      </c>
      <c r="AL320">
        <v>49</v>
      </c>
      <c r="AM320" t="s">
        <v>325</v>
      </c>
      <c r="AN320" t="s">
        <v>356</v>
      </c>
      <c r="AO320">
        <v>0.21199999999999999</v>
      </c>
    </row>
    <row r="321" spans="1:41">
      <c r="A321">
        <v>11</v>
      </c>
      <c r="B321" t="s">
        <v>357</v>
      </c>
      <c r="C321" t="s">
        <v>355</v>
      </c>
      <c r="D321" s="3">
        <f t="shared" si="113"/>
        <v>5.0761421319796955</v>
      </c>
      <c r="F321">
        <v>2021</v>
      </c>
      <c r="G321">
        <f t="shared" si="112"/>
        <v>4</v>
      </c>
      <c r="J321">
        <f t="shared" si="115"/>
        <v>197</v>
      </c>
      <c r="K321">
        <v>5</v>
      </c>
      <c r="L321">
        <v>3</v>
      </c>
      <c r="Q321" t="s">
        <v>552</v>
      </c>
      <c r="R321" t="str">
        <f t="shared" si="114"/>
        <v/>
      </c>
      <c r="S321">
        <f t="shared" si="116"/>
        <v>0.39482432432432457</v>
      </c>
      <c r="T321" t="s">
        <v>557</v>
      </c>
      <c r="V321" t="s">
        <v>186</v>
      </c>
      <c r="Y321">
        <v>2014</v>
      </c>
      <c r="Z321">
        <f>2025-AVERAGE($Y$292:$Y$488)</f>
        <v>10.796954314720779</v>
      </c>
      <c r="AE321">
        <v>0</v>
      </c>
      <c r="AF321" t="s">
        <v>186</v>
      </c>
      <c r="AG321">
        <v>1</v>
      </c>
      <c r="AI321">
        <f t="shared" si="117"/>
        <v>1.9086294416243654</v>
      </c>
      <c r="AK321" t="s">
        <v>1143</v>
      </c>
      <c r="AL321">
        <v>49</v>
      </c>
      <c r="AM321" t="s">
        <v>325</v>
      </c>
      <c r="AN321" t="s">
        <v>356</v>
      </c>
      <c r="AO321">
        <v>0.21199999999999999</v>
      </c>
    </row>
    <row r="322" spans="1:41">
      <c r="A322">
        <v>11</v>
      </c>
      <c r="B322" t="s">
        <v>357</v>
      </c>
      <c r="C322" t="s">
        <v>355</v>
      </c>
      <c r="D322" s="3">
        <f t="shared" si="113"/>
        <v>5.0761421319796955</v>
      </c>
      <c r="F322">
        <v>2021</v>
      </c>
      <c r="G322">
        <f t="shared" si="112"/>
        <v>4</v>
      </c>
      <c r="J322">
        <f t="shared" si="115"/>
        <v>197</v>
      </c>
      <c r="K322">
        <v>5</v>
      </c>
      <c r="L322">
        <v>3</v>
      </c>
      <c r="Q322" t="s">
        <v>554</v>
      </c>
      <c r="R322">
        <f t="shared" si="114"/>
        <v>0.31900000000000001</v>
      </c>
      <c r="S322">
        <f t="shared" si="116"/>
        <v>0.39482432432432457</v>
      </c>
      <c r="V322" t="s">
        <v>186</v>
      </c>
      <c r="Y322">
        <v>2014</v>
      </c>
      <c r="Z322">
        <f>2025-AVERAGE($Y$292:$Y$488)</f>
        <v>10.796954314720779</v>
      </c>
      <c r="AE322">
        <v>0</v>
      </c>
      <c r="AF322" t="s">
        <v>186</v>
      </c>
      <c r="AG322">
        <v>1</v>
      </c>
      <c r="AI322">
        <f t="shared" si="117"/>
        <v>1.9086294416243654</v>
      </c>
      <c r="AK322" t="s">
        <v>1143</v>
      </c>
      <c r="AL322">
        <v>49</v>
      </c>
      <c r="AM322" t="s">
        <v>325</v>
      </c>
      <c r="AN322" t="s">
        <v>356</v>
      </c>
      <c r="AO322">
        <v>0.21199999999999999</v>
      </c>
    </row>
    <row r="323" spans="1:41">
      <c r="A323">
        <v>11</v>
      </c>
      <c r="B323" t="s">
        <v>357</v>
      </c>
      <c r="C323" t="s">
        <v>355</v>
      </c>
      <c r="D323" s="3">
        <f t="shared" si="113"/>
        <v>5.0761421319796955</v>
      </c>
      <c r="F323">
        <v>2021</v>
      </c>
      <c r="G323">
        <f t="shared" si="112"/>
        <v>4</v>
      </c>
      <c r="J323">
        <f t="shared" si="115"/>
        <v>197</v>
      </c>
      <c r="K323">
        <v>5</v>
      </c>
      <c r="L323">
        <v>3</v>
      </c>
      <c r="Q323" t="s">
        <v>554</v>
      </c>
      <c r="R323">
        <f t="shared" si="114"/>
        <v>0.36899999999999999</v>
      </c>
      <c r="S323">
        <f t="shared" si="116"/>
        <v>0.39482432432432457</v>
      </c>
      <c r="V323" t="s">
        <v>186</v>
      </c>
      <c r="Y323">
        <v>2016</v>
      </c>
      <c r="Z323">
        <f>2025-AVERAGE($Y$292:$Y$488)</f>
        <v>10.796954314720779</v>
      </c>
      <c r="AE323">
        <v>0</v>
      </c>
      <c r="AF323" t="s">
        <v>186</v>
      </c>
      <c r="AG323">
        <v>3</v>
      </c>
      <c r="AI323">
        <f t="shared" si="117"/>
        <v>1.9086294416243654</v>
      </c>
      <c r="AK323" t="s">
        <v>1143</v>
      </c>
      <c r="AL323">
        <v>49</v>
      </c>
      <c r="AM323" t="s">
        <v>325</v>
      </c>
      <c r="AN323" t="s">
        <v>356</v>
      </c>
      <c r="AO323">
        <v>0.21199999999999999</v>
      </c>
    </row>
    <row r="324" spans="1:41">
      <c r="A324">
        <v>11</v>
      </c>
      <c r="B324" t="s">
        <v>357</v>
      </c>
      <c r="C324" t="s">
        <v>355</v>
      </c>
      <c r="D324" s="3">
        <f t="shared" ref="D324:D355" si="118">100*(COUNTIF($T$292:$T$488,"Replicable")/$J$292)</f>
        <v>5.0761421319796955</v>
      </c>
      <c r="F324">
        <v>2021</v>
      </c>
      <c r="G324">
        <f t="shared" si="112"/>
        <v>4</v>
      </c>
      <c r="J324">
        <f t="shared" si="115"/>
        <v>197</v>
      </c>
      <c r="K324">
        <v>5</v>
      </c>
      <c r="L324">
        <v>3</v>
      </c>
      <c r="Q324" t="s">
        <v>552</v>
      </c>
      <c r="R324" t="str">
        <f t="shared" ref="R324:R355" si="119">IF(AND(Q324="Dados", Y324=2012), 0.732,
IF(AND(Q324="Dados", Y324=2013), 0.469,
IF(AND(Q324="Dados", Y324=2014), 0.341,
IF(AND(Q324="Dados", Y324=2015), 0.518,
IF(AND(Q324="Dados", Y324=2016), 0.457,
IF(AND(Q324="Opinião Púbilca", Y324=2012), 0.358,
IF(AND(Q324="Opinião Púbilca", Y324=2013), 0.503,
IF(AND(Q324="Opinião Púbilca", Y324=2014), 0.319,
IF(AND(Q324="Opinião Púbilca", Y324=2015), 0.273,
IF(AND(Q324="Opinião Púbilca", Y324=2016), 0.369,
IF(AND(Q324="Revista Brasileira de Ciências Sociais", Y324=2012), 0.21,
IF(AND(Q324="Revista Brasileira de Ciências Sociais", Y324=2013), 0.279,
IF(AND(Q324="Revista Brasileira de Ciências Sociais", Y324=2014), 0.298,
IF(AND(Q324="Revista Brasileira de Ciências Sociais", Y324=2015), 0.153,
IF(AND(Q324="Revista Brasileira de Ciências Sociais", Y324=2016), 0.297,
"")))))))))))))))</f>
        <v/>
      </c>
      <c r="S324">
        <f t="shared" si="116"/>
        <v>0.39482432432432457</v>
      </c>
      <c r="T324" t="s">
        <v>557</v>
      </c>
      <c r="V324" t="s">
        <v>186</v>
      </c>
      <c r="Y324">
        <v>2015</v>
      </c>
      <c r="Z324">
        <f>2025-AVERAGE($Y$292:$Y$488)</f>
        <v>10.796954314720779</v>
      </c>
      <c r="AE324">
        <v>0</v>
      </c>
      <c r="AF324" t="s">
        <v>186</v>
      </c>
      <c r="AG324">
        <v>2</v>
      </c>
      <c r="AI324">
        <f t="shared" si="117"/>
        <v>1.9086294416243654</v>
      </c>
      <c r="AK324" t="s">
        <v>1143</v>
      </c>
      <c r="AL324">
        <v>49</v>
      </c>
      <c r="AM324" t="s">
        <v>325</v>
      </c>
      <c r="AN324" t="s">
        <v>356</v>
      </c>
      <c r="AO324">
        <v>0.21199999999999999</v>
      </c>
    </row>
    <row r="325" spans="1:41">
      <c r="A325">
        <v>11</v>
      </c>
      <c r="B325" t="s">
        <v>357</v>
      </c>
      <c r="C325" t="s">
        <v>355</v>
      </c>
      <c r="D325" s="3">
        <f t="shared" si="118"/>
        <v>5.0761421319796955</v>
      </c>
      <c r="F325">
        <v>2021</v>
      </c>
      <c r="G325">
        <f t="shared" si="112"/>
        <v>4</v>
      </c>
      <c r="J325">
        <f t="shared" si="115"/>
        <v>197</v>
      </c>
      <c r="K325">
        <v>5</v>
      </c>
      <c r="L325">
        <v>3</v>
      </c>
      <c r="Q325" t="s">
        <v>554</v>
      </c>
      <c r="R325">
        <f t="shared" si="119"/>
        <v>0.31900000000000001</v>
      </c>
      <c r="S325">
        <f t="shared" si="116"/>
        <v>0.39482432432432457</v>
      </c>
      <c r="V325" t="s">
        <v>186</v>
      </c>
      <c r="Y325">
        <v>2014</v>
      </c>
      <c r="Z325">
        <f>2025-AVERAGE($Y$292:$Y$488)</f>
        <v>10.796954314720779</v>
      </c>
      <c r="AE325">
        <v>0</v>
      </c>
      <c r="AF325" t="s">
        <v>186</v>
      </c>
      <c r="AG325">
        <v>2</v>
      </c>
      <c r="AI325">
        <f t="shared" si="117"/>
        <v>1.9086294416243654</v>
      </c>
      <c r="AK325" t="s">
        <v>1143</v>
      </c>
      <c r="AL325">
        <v>49</v>
      </c>
      <c r="AM325" t="s">
        <v>325</v>
      </c>
      <c r="AN325" t="s">
        <v>356</v>
      </c>
      <c r="AO325">
        <v>0.21199999999999999</v>
      </c>
    </row>
    <row r="326" spans="1:41">
      <c r="A326">
        <v>11</v>
      </c>
      <c r="B326" t="s">
        <v>357</v>
      </c>
      <c r="C326" t="s">
        <v>355</v>
      </c>
      <c r="D326" s="3">
        <f t="shared" si="118"/>
        <v>5.0761421319796955</v>
      </c>
      <c r="F326">
        <v>2021</v>
      </c>
      <c r="G326">
        <f t="shared" si="112"/>
        <v>4</v>
      </c>
      <c r="J326">
        <f t="shared" si="115"/>
        <v>197</v>
      </c>
      <c r="K326">
        <v>5</v>
      </c>
      <c r="L326">
        <v>3</v>
      </c>
      <c r="Q326" t="s">
        <v>555</v>
      </c>
      <c r="R326">
        <f t="shared" si="119"/>
        <v>0.51800000000000002</v>
      </c>
      <c r="S326">
        <f t="shared" si="116"/>
        <v>0.39482432432432457</v>
      </c>
      <c r="V326" t="s">
        <v>186</v>
      </c>
      <c r="Y326">
        <v>2015</v>
      </c>
      <c r="Z326">
        <f>2025-AVERAGE($Y$292:$Y$488)</f>
        <v>10.796954314720779</v>
      </c>
      <c r="AE326">
        <v>0</v>
      </c>
      <c r="AF326" t="s">
        <v>186</v>
      </c>
      <c r="AG326">
        <v>3</v>
      </c>
      <c r="AI326">
        <f t="shared" si="117"/>
        <v>1.9086294416243654</v>
      </c>
      <c r="AK326" t="s">
        <v>1143</v>
      </c>
      <c r="AL326">
        <v>49</v>
      </c>
      <c r="AM326" t="s">
        <v>325</v>
      </c>
      <c r="AN326" t="s">
        <v>356</v>
      </c>
      <c r="AO326">
        <v>0.21199999999999999</v>
      </c>
    </row>
    <row r="327" spans="1:41">
      <c r="A327">
        <v>11</v>
      </c>
      <c r="B327" t="s">
        <v>357</v>
      </c>
      <c r="C327" t="s">
        <v>355</v>
      </c>
      <c r="D327" s="3">
        <f t="shared" si="118"/>
        <v>5.0761421319796955</v>
      </c>
      <c r="F327">
        <v>2021</v>
      </c>
      <c r="G327">
        <f t="shared" si="112"/>
        <v>4</v>
      </c>
      <c r="J327">
        <f t="shared" si="115"/>
        <v>197</v>
      </c>
      <c r="K327">
        <v>5</v>
      </c>
      <c r="L327">
        <v>3</v>
      </c>
      <c r="Q327" t="s">
        <v>554</v>
      </c>
      <c r="R327">
        <f t="shared" si="119"/>
        <v>0.35799999999999998</v>
      </c>
      <c r="S327">
        <f t="shared" si="116"/>
        <v>0.39482432432432457</v>
      </c>
      <c r="V327" t="s">
        <v>186</v>
      </c>
      <c r="Y327">
        <v>2012</v>
      </c>
      <c r="Z327">
        <f>2025-AVERAGE($Y$292:$Y$488)</f>
        <v>10.796954314720779</v>
      </c>
      <c r="AE327">
        <v>0</v>
      </c>
      <c r="AF327" t="s">
        <v>186</v>
      </c>
      <c r="AG327">
        <v>1</v>
      </c>
      <c r="AI327">
        <f t="shared" si="117"/>
        <v>1.9086294416243654</v>
      </c>
      <c r="AK327" t="s">
        <v>1143</v>
      </c>
      <c r="AL327">
        <v>49</v>
      </c>
      <c r="AM327" t="s">
        <v>325</v>
      </c>
      <c r="AN327" t="s">
        <v>356</v>
      </c>
      <c r="AO327">
        <v>0.21199999999999999</v>
      </c>
    </row>
    <row r="328" spans="1:41">
      <c r="A328">
        <v>11</v>
      </c>
      <c r="B328" t="s">
        <v>357</v>
      </c>
      <c r="C328" t="s">
        <v>355</v>
      </c>
      <c r="D328" s="3">
        <f t="shared" si="118"/>
        <v>5.0761421319796955</v>
      </c>
      <c r="F328">
        <v>2021</v>
      </c>
      <c r="G328">
        <f t="shared" si="112"/>
        <v>4</v>
      </c>
      <c r="J328">
        <f t="shared" si="115"/>
        <v>197</v>
      </c>
      <c r="K328">
        <v>5</v>
      </c>
      <c r="L328">
        <v>3</v>
      </c>
      <c r="Q328" t="s">
        <v>555</v>
      </c>
      <c r="R328">
        <f t="shared" si="119"/>
        <v>0.51800000000000002</v>
      </c>
      <c r="S328">
        <f t="shared" si="116"/>
        <v>0.39482432432432457</v>
      </c>
      <c r="V328" t="s">
        <v>186</v>
      </c>
      <c r="Y328">
        <v>2015</v>
      </c>
      <c r="Z328">
        <f>2025-AVERAGE($Y$292:$Y$488)</f>
        <v>10.796954314720779</v>
      </c>
      <c r="AE328">
        <v>0</v>
      </c>
      <c r="AF328" t="s">
        <v>186</v>
      </c>
      <c r="AG328">
        <v>1</v>
      </c>
      <c r="AI328">
        <f t="shared" si="117"/>
        <v>1.9086294416243654</v>
      </c>
      <c r="AK328" t="s">
        <v>1143</v>
      </c>
      <c r="AL328">
        <v>49</v>
      </c>
      <c r="AM328" t="s">
        <v>325</v>
      </c>
      <c r="AN328" t="s">
        <v>356</v>
      </c>
      <c r="AO328">
        <v>0.21199999999999999</v>
      </c>
    </row>
    <row r="329" spans="1:41">
      <c r="A329">
        <v>11</v>
      </c>
      <c r="B329" t="s">
        <v>357</v>
      </c>
      <c r="C329" t="s">
        <v>355</v>
      </c>
      <c r="D329" s="3">
        <f t="shared" si="118"/>
        <v>5.0761421319796955</v>
      </c>
      <c r="F329">
        <v>2021</v>
      </c>
      <c r="G329">
        <f t="shared" si="112"/>
        <v>4</v>
      </c>
      <c r="J329">
        <f t="shared" si="115"/>
        <v>197</v>
      </c>
      <c r="K329">
        <v>5</v>
      </c>
      <c r="L329">
        <v>3</v>
      </c>
      <c r="Q329" t="s">
        <v>554</v>
      </c>
      <c r="R329">
        <f t="shared" si="119"/>
        <v>0.31900000000000001</v>
      </c>
      <c r="S329">
        <f t="shared" si="116"/>
        <v>0.39482432432432457</v>
      </c>
      <c r="V329" t="s">
        <v>186</v>
      </c>
      <c r="Y329">
        <v>2014</v>
      </c>
      <c r="Z329">
        <f>2025-AVERAGE($Y$292:$Y$488)</f>
        <v>10.796954314720779</v>
      </c>
      <c r="AE329">
        <v>0</v>
      </c>
      <c r="AF329" t="s">
        <v>186</v>
      </c>
      <c r="AG329">
        <v>3</v>
      </c>
      <c r="AI329">
        <f t="shared" si="117"/>
        <v>1.9086294416243654</v>
      </c>
      <c r="AK329" t="s">
        <v>1143</v>
      </c>
      <c r="AL329">
        <v>49</v>
      </c>
      <c r="AM329" t="s">
        <v>325</v>
      </c>
      <c r="AN329" t="s">
        <v>356</v>
      </c>
      <c r="AO329">
        <v>0.21199999999999999</v>
      </c>
    </row>
    <row r="330" spans="1:41">
      <c r="A330">
        <v>11</v>
      </c>
      <c r="B330" t="s">
        <v>357</v>
      </c>
      <c r="C330" t="s">
        <v>355</v>
      </c>
      <c r="D330" s="3">
        <f t="shared" si="118"/>
        <v>5.0761421319796955</v>
      </c>
      <c r="F330">
        <v>2021</v>
      </c>
      <c r="G330">
        <f t="shared" si="112"/>
        <v>4</v>
      </c>
      <c r="J330">
        <f t="shared" si="115"/>
        <v>197</v>
      </c>
      <c r="K330">
        <v>5</v>
      </c>
      <c r="L330">
        <v>3</v>
      </c>
      <c r="Q330" t="s">
        <v>554</v>
      </c>
      <c r="R330">
        <f t="shared" si="119"/>
        <v>0.35799999999999998</v>
      </c>
      <c r="S330">
        <f t="shared" si="116"/>
        <v>0.39482432432432457</v>
      </c>
      <c r="V330" t="s">
        <v>186</v>
      </c>
      <c r="Y330">
        <v>2012</v>
      </c>
      <c r="Z330">
        <f>2025-AVERAGE($Y$292:$Y$488)</f>
        <v>10.796954314720779</v>
      </c>
      <c r="AE330">
        <v>0</v>
      </c>
      <c r="AF330" t="s">
        <v>186</v>
      </c>
      <c r="AG330">
        <v>3</v>
      </c>
      <c r="AI330">
        <f t="shared" si="117"/>
        <v>1.9086294416243654</v>
      </c>
      <c r="AK330" t="s">
        <v>1143</v>
      </c>
      <c r="AL330">
        <v>49</v>
      </c>
      <c r="AM330" t="s">
        <v>325</v>
      </c>
      <c r="AN330" t="s">
        <v>356</v>
      </c>
      <c r="AO330">
        <v>0.21199999999999999</v>
      </c>
    </row>
    <row r="331" spans="1:41">
      <c r="A331">
        <v>11</v>
      </c>
      <c r="B331" t="s">
        <v>357</v>
      </c>
      <c r="C331" t="s">
        <v>355</v>
      </c>
      <c r="D331" s="3">
        <f t="shared" si="118"/>
        <v>5.0761421319796955</v>
      </c>
      <c r="F331">
        <v>2021</v>
      </c>
      <c r="G331">
        <f t="shared" si="112"/>
        <v>4</v>
      </c>
      <c r="J331">
        <f t="shared" si="115"/>
        <v>197</v>
      </c>
      <c r="K331">
        <v>5</v>
      </c>
      <c r="L331">
        <v>3</v>
      </c>
      <c r="Q331" t="s">
        <v>556</v>
      </c>
      <c r="R331">
        <f t="shared" si="119"/>
        <v>0.29799999999999999</v>
      </c>
      <c r="S331">
        <f t="shared" si="116"/>
        <v>0.39482432432432457</v>
      </c>
      <c r="V331" t="s">
        <v>186</v>
      </c>
      <c r="Y331">
        <v>2014</v>
      </c>
      <c r="Z331">
        <f>2025-AVERAGE($Y$292:$Y$488)</f>
        <v>10.796954314720779</v>
      </c>
      <c r="AE331">
        <v>0</v>
      </c>
      <c r="AF331" t="s">
        <v>186</v>
      </c>
      <c r="AG331">
        <v>1</v>
      </c>
      <c r="AI331">
        <f t="shared" si="117"/>
        <v>1.9086294416243654</v>
      </c>
      <c r="AK331" t="s">
        <v>1143</v>
      </c>
      <c r="AL331">
        <v>49</v>
      </c>
      <c r="AM331" t="s">
        <v>325</v>
      </c>
      <c r="AN331" t="s">
        <v>356</v>
      </c>
      <c r="AO331">
        <v>0.21199999999999999</v>
      </c>
    </row>
    <row r="332" spans="1:41">
      <c r="A332">
        <v>11</v>
      </c>
      <c r="B332" t="s">
        <v>357</v>
      </c>
      <c r="C332" t="s">
        <v>355</v>
      </c>
      <c r="D332" s="3">
        <f t="shared" si="118"/>
        <v>5.0761421319796955</v>
      </c>
      <c r="F332">
        <v>2021</v>
      </c>
      <c r="G332">
        <f t="shared" si="112"/>
        <v>4</v>
      </c>
      <c r="J332">
        <f t="shared" si="115"/>
        <v>197</v>
      </c>
      <c r="K332">
        <v>5</v>
      </c>
      <c r="L332">
        <v>3</v>
      </c>
      <c r="Q332" t="s">
        <v>555</v>
      </c>
      <c r="R332">
        <f t="shared" si="119"/>
        <v>0.45700000000000002</v>
      </c>
      <c r="S332">
        <f t="shared" si="116"/>
        <v>0.39482432432432457</v>
      </c>
      <c r="V332" t="s">
        <v>186</v>
      </c>
      <c r="Y332">
        <v>2016</v>
      </c>
      <c r="Z332">
        <f>2025-AVERAGE($Y$292:$Y$488)</f>
        <v>10.796954314720779</v>
      </c>
      <c r="AE332">
        <v>0</v>
      </c>
      <c r="AF332" t="s">
        <v>186</v>
      </c>
      <c r="AG332">
        <v>2</v>
      </c>
      <c r="AI332">
        <f t="shared" si="117"/>
        <v>1.9086294416243654</v>
      </c>
      <c r="AK332" t="s">
        <v>1143</v>
      </c>
      <c r="AL332">
        <v>49</v>
      </c>
      <c r="AM332" t="s">
        <v>325</v>
      </c>
      <c r="AN332" t="s">
        <v>356</v>
      </c>
      <c r="AO332">
        <v>0.21199999999999999</v>
      </c>
    </row>
    <row r="333" spans="1:41">
      <c r="A333">
        <v>11</v>
      </c>
      <c r="B333" t="s">
        <v>357</v>
      </c>
      <c r="C333" t="s">
        <v>355</v>
      </c>
      <c r="D333" s="3">
        <f t="shared" si="118"/>
        <v>5.0761421319796955</v>
      </c>
      <c r="F333">
        <v>2021</v>
      </c>
      <c r="G333">
        <f t="shared" si="112"/>
        <v>4</v>
      </c>
      <c r="J333">
        <f t="shared" si="115"/>
        <v>197</v>
      </c>
      <c r="K333">
        <v>5</v>
      </c>
      <c r="L333">
        <v>3</v>
      </c>
      <c r="Q333" t="s">
        <v>554</v>
      </c>
      <c r="R333">
        <f t="shared" si="119"/>
        <v>0.36899999999999999</v>
      </c>
      <c r="S333">
        <f t="shared" si="116"/>
        <v>0.39482432432432457</v>
      </c>
      <c r="V333" t="s">
        <v>186</v>
      </c>
      <c r="Y333">
        <v>2016</v>
      </c>
      <c r="Z333">
        <f>2025-AVERAGE($Y$292:$Y$488)</f>
        <v>10.796954314720779</v>
      </c>
      <c r="AE333">
        <v>0</v>
      </c>
      <c r="AF333" t="s">
        <v>186</v>
      </c>
      <c r="AG333">
        <v>2</v>
      </c>
      <c r="AI333">
        <f t="shared" si="117"/>
        <v>1.9086294416243654</v>
      </c>
      <c r="AK333" t="s">
        <v>1143</v>
      </c>
      <c r="AL333">
        <v>49</v>
      </c>
      <c r="AM333" t="s">
        <v>325</v>
      </c>
      <c r="AN333" t="s">
        <v>356</v>
      </c>
      <c r="AO333">
        <v>0.21199999999999999</v>
      </c>
    </row>
    <row r="334" spans="1:41">
      <c r="A334">
        <v>11</v>
      </c>
      <c r="B334" t="s">
        <v>357</v>
      </c>
      <c r="C334" t="s">
        <v>355</v>
      </c>
      <c r="D334" s="3">
        <f t="shared" si="118"/>
        <v>5.0761421319796955</v>
      </c>
      <c r="F334">
        <v>2021</v>
      </c>
      <c r="G334">
        <f t="shared" si="112"/>
        <v>4</v>
      </c>
      <c r="J334">
        <f t="shared" si="115"/>
        <v>197</v>
      </c>
      <c r="K334">
        <v>5</v>
      </c>
      <c r="L334">
        <v>3</v>
      </c>
      <c r="Q334" t="s">
        <v>554</v>
      </c>
      <c r="R334">
        <f t="shared" si="119"/>
        <v>0.27300000000000002</v>
      </c>
      <c r="S334">
        <f t="shared" si="116"/>
        <v>0.39482432432432457</v>
      </c>
      <c r="T334" t="s">
        <v>559</v>
      </c>
      <c r="V334" t="s">
        <v>186</v>
      </c>
      <c r="Y334">
        <v>2015</v>
      </c>
      <c r="Z334">
        <f>2025-AVERAGE($Y$292:$Y$488)</f>
        <v>10.796954314720779</v>
      </c>
      <c r="AE334">
        <v>0</v>
      </c>
      <c r="AF334" t="s">
        <v>186</v>
      </c>
      <c r="AG334">
        <v>2</v>
      </c>
      <c r="AI334">
        <f t="shared" si="117"/>
        <v>1.9086294416243654</v>
      </c>
      <c r="AK334" t="s">
        <v>1143</v>
      </c>
      <c r="AL334">
        <v>49</v>
      </c>
      <c r="AM334" t="s">
        <v>325</v>
      </c>
      <c r="AN334" t="s">
        <v>356</v>
      </c>
      <c r="AO334">
        <v>0.21199999999999999</v>
      </c>
    </row>
    <row r="335" spans="1:41">
      <c r="A335">
        <v>11</v>
      </c>
      <c r="B335" t="s">
        <v>357</v>
      </c>
      <c r="C335" t="s">
        <v>355</v>
      </c>
      <c r="D335" s="3">
        <f t="shared" si="118"/>
        <v>5.0761421319796955</v>
      </c>
      <c r="F335">
        <v>2021</v>
      </c>
      <c r="G335">
        <f t="shared" si="112"/>
        <v>4</v>
      </c>
      <c r="J335">
        <f t="shared" si="115"/>
        <v>197</v>
      </c>
      <c r="K335">
        <v>5</v>
      </c>
      <c r="L335">
        <v>3</v>
      </c>
      <c r="Q335" t="s">
        <v>554</v>
      </c>
      <c r="R335">
        <f t="shared" si="119"/>
        <v>0.31900000000000001</v>
      </c>
      <c r="S335">
        <f t="shared" si="116"/>
        <v>0.39482432432432457</v>
      </c>
      <c r="T335" t="s">
        <v>557</v>
      </c>
      <c r="V335" t="s">
        <v>186</v>
      </c>
      <c r="Y335">
        <v>2014</v>
      </c>
      <c r="Z335">
        <f>2025-AVERAGE($Y$292:$Y$488)</f>
        <v>10.796954314720779</v>
      </c>
      <c r="AE335">
        <v>0</v>
      </c>
      <c r="AF335" t="s">
        <v>186</v>
      </c>
      <c r="AG335">
        <v>1</v>
      </c>
      <c r="AI335">
        <f t="shared" si="117"/>
        <v>1.9086294416243654</v>
      </c>
      <c r="AK335" t="s">
        <v>1143</v>
      </c>
      <c r="AL335">
        <v>49</v>
      </c>
      <c r="AM335" t="s">
        <v>325</v>
      </c>
      <c r="AN335" t="s">
        <v>356</v>
      </c>
      <c r="AO335">
        <v>0.21199999999999999</v>
      </c>
    </row>
    <row r="336" spans="1:41">
      <c r="A336">
        <v>11</v>
      </c>
      <c r="B336" t="s">
        <v>357</v>
      </c>
      <c r="C336" t="s">
        <v>355</v>
      </c>
      <c r="D336" s="3">
        <f t="shared" si="118"/>
        <v>5.0761421319796955</v>
      </c>
      <c r="F336">
        <v>2021</v>
      </c>
      <c r="G336">
        <f t="shared" si="112"/>
        <v>4</v>
      </c>
      <c r="J336">
        <f t="shared" si="115"/>
        <v>197</v>
      </c>
      <c r="K336">
        <v>5</v>
      </c>
      <c r="L336">
        <v>3</v>
      </c>
      <c r="Q336" t="s">
        <v>554</v>
      </c>
      <c r="R336">
        <f t="shared" si="119"/>
        <v>0.503</v>
      </c>
      <c r="S336">
        <f t="shared" si="116"/>
        <v>0.39482432432432457</v>
      </c>
      <c r="V336" t="s">
        <v>186</v>
      </c>
      <c r="Y336">
        <v>2013</v>
      </c>
      <c r="Z336">
        <f>2025-AVERAGE($Y$292:$Y$488)</f>
        <v>10.796954314720779</v>
      </c>
      <c r="AE336">
        <v>0</v>
      </c>
      <c r="AF336" t="s">
        <v>186</v>
      </c>
      <c r="AG336">
        <v>2</v>
      </c>
      <c r="AI336">
        <f t="shared" si="117"/>
        <v>1.9086294416243654</v>
      </c>
      <c r="AK336" t="s">
        <v>1143</v>
      </c>
      <c r="AL336">
        <v>49</v>
      </c>
      <c r="AM336" t="s">
        <v>325</v>
      </c>
      <c r="AN336" t="s">
        <v>356</v>
      </c>
      <c r="AO336">
        <v>0.21199999999999999</v>
      </c>
    </row>
    <row r="337" spans="1:41">
      <c r="A337">
        <v>11</v>
      </c>
      <c r="B337" t="s">
        <v>357</v>
      </c>
      <c r="C337" t="s">
        <v>355</v>
      </c>
      <c r="D337" s="3">
        <f t="shared" si="118"/>
        <v>5.0761421319796955</v>
      </c>
      <c r="F337">
        <v>2021</v>
      </c>
      <c r="G337">
        <f t="shared" si="112"/>
        <v>4</v>
      </c>
      <c r="J337">
        <f t="shared" si="115"/>
        <v>197</v>
      </c>
      <c r="K337">
        <v>5</v>
      </c>
      <c r="L337">
        <v>3</v>
      </c>
      <c r="Q337" t="s">
        <v>554</v>
      </c>
      <c r="R337">
        <f t="shared" si="119"/>
        <v>0.27300000000000002</v>
      </c>
      <c r="S337">
        <f t="shared" si="116"/>
        <v>0.39482432432432457</v>
      </c>
      <c r="V337" t="s">
        <v>186</v>
      </c>
      <c r="Y337">
        <v>2015</v>
      </c>
      <c r="Z337">
        <f>2025-AVERAGE($Y$292:$Y$488)</f>
        <v>10.796954314720779</v>
      </c>
      <c r="AE337">
        <v>0</v>
      </c>
      <c r="AF337" t="s">
        <v>186</v>
      </c>
      <c r="AG337">
        <v>3</v>
      </c>
      <c r="AI337">
        <f t="shared" si="117"/>
        <v>1.9086294416243654</v>
      </c>
      <c r="AK337" t="s">
        <v>1143</v>
      </c>
      <c r="AL337">
        <v>49</v>
      </c>
      <c r="AM337" t="s">
        <v>325</v>
      </c>
      <c r="AN337" t="s">
        <v>356</v>
      </c>
      <c r="AO337">
        <v>0.21199999999999999</v>
      </c>
    </row>
    <row r="338" spans="1:41">
      <c r="A338">
        <v>11</v>
      </c>
      <c r="B338" t="s">
        <v>357</v>
      </c>
      <c r="C338" t="s">
        <v>355</v>
      </c>
      <c r="D338" s="3">
        <f t="shared" si="118"/>
        <v>5.0761421319796955</v>
      </c>
      <c r="F338">
        <v>2021</v>
      </c>
      <c r="G338">
        <f t="shared" ref="G338:G401" si="120">2025-F338</f>
        <v>4</v>
      </c>
      <c r="J338">
        <f t="shared" si="115"/>
        <v>197</v>
      </c>
      <c r="K338">
        <v>5</v>
      </c>
      <c r="L338">
        <v>3</v>
      </c>
      <c r="Q338" t="s">
        <v>555</v>
      </c>
      <c r="R338">
        <f t="shared" si="119"/>
        <v>0.46899999999999997</v>
      </c>
      <c r="S338">
        <f t="shared" si="116"/>
        <v>0.39482432432432457</v>
      </c>
      <c r="V338" t="s">
        <v>186</v>
      </c>
      <c r="Y338">
        <v>2013</v>
      </c>
      <c r="Z338">
        <f>2025-AVERAGE($Y$292:$Y$488)</f>
        <v>10.796954314720779</v>
      </c>
      <c r="AE338">
        <v>0</v>
      </c>
      <c r="AF338" t="s">
        <v>186</v>
      </c>
      <c r="AG338">
        <v>2</v>
      </c>
      <c r="AI338">
        <f t="shared" si="117"/>
        <v>1.9086294416243654</v>
      </c>
      <c r="AK338" t="s">
        <v>1143</v>
      </c>
      <c r="AL338">
        <v>49</v>
      </c>
      <c r="AM338" t="s">
        <v>325</v>
      </c>
      <c r="AN338" t="s">
        <v>356</v>
      </c>
      <c r="AO338">
        <v>0.21199999999999999</v>
      </c>
    </row>
    <row r="339" spans="1:41">
      <c r="A339">
        <v>11</v>
      </c>
      <c r="B339" t="s">
        <v>357</v>
      </c>
      <c r="C339" t="s">
        <v>355</v>
      </c>
      <c r="D339" s="3">
        <f t="shared" si="118"/>
        <v>5.0761421319796955</v>
      </c>
      <c r="F339">
        <v>2021</v>
      </c>
      <c r="G339">
        <f t="shared" si="120"/>
        <v>4</v>
      </c>
      <c r="J339">
        <f t="shared" si="115"/>
        <v>197</v>
      </c>
      <c r="K339">
        <v>5</v>
      </c>
      <c r="L339">
        <v>3</v>
      </c>
      <c r="Q339" t="s">
        <v>555</v>
      </c>
      <c r="R339">
        <f t="shared" si="119"/>
        <v>0.73199999999999998</v>
      </c>
      <c r="S339">
        <f t="shared" si="116"/>
        <v>0.39482432432432457</v>
      </c>
      <c r="V339" t="s">
        <v>186</v>
      </c>
      <c r="Y339">
        <v>2012</v>
      </c>
      <c r="Z339">
        <f>2025-AVERAGE($Y$292:$Y$488)</f>
        <v>10.796954314720779</v>
      </c>
      <c r="AE339">
        <v>0</v>
      </c>
      <c r="AF339" t="s">
        <v>186</v>
      </c>
      <c r="AG339">
        <v>2</v>
      </c>
      <c r="AI339">
        <f t="shared" si="117"/>
        <v>1.9086294416243654</v>
      </c>
      <c r="AK339" t="s">
        <v>1143</v>
      </c>
      <c r="AL339">
        <v>49</v>
      </c>
      <c r="AM339" t="s">
        <v>325</v>
      </c>
      <c r="AN339" t="s">
        <v>356</v>
      </c>
      <c r="AO339">
        <v>0.21199999999999999</v>
      </c>
    </row>
    <row r="340" spans="1:41">
      <c r="A340">
        <v>11</v>
      </c>
      <c r="B340" t="s">
        <v>357</v>
      </c>
      <c r="C340" t="s">
        <v>355</v>
      </c>
      <c r="D340" s="3">
        <f t="shared" si="118"/>
        <v>5.0761421319796955</v>
      </c>
      <c r="F340">
        <v>2021</v>
      </c>
      <c r="G340">
        <f t="shared" si="120"/>
        <v>4</v>
      </c>
      <c r="J340">
        <f t="shared" si="115"/>
        <v>197</v>
      </c>
      <c r="K340">
        <v>5</v>
      </c>
      <c r="L340">
        <v>3</v>
      </c>
      <c r="Q340" t="s">
        <v>555</v>
      </c>
      <c r="R340">
        <f t="shared" si="119"/>
        <v>0.45700000000000002</v>
      </c>
      <c r="S340">
        <f t="shared" si="116"/>
        <v>0.39482432432432457</v>
      </c>
      <c r="V340" t="s">
        <v>186</v>
      </c>
      <c r="Y340">
        <v>2016</v>
      </c>
      <c r="Z340">
        <f>2025-AVERAGE($Y$292:$Y$488)</f>
        <v>10.796954314720779</v>
      </c>
      <c r="AE340">
        <v>0</v>
      </c>
      <c r="AF340" t="s">
        <v>186</v>
      </c>
      <c r="AG340">
        <v>2</v>
      </c>
      <c r="AI340">
        <f t="shared" si="117"/>
        <v>1.9086294416243654</v>
      </c>
      <c r="AK340" t="s">
        <v>1143</v>
      </c>
      <c r="AL340">
        <v>49</v>
      </c>
      <c r="AM340" t="s">
        <v>325</v>
      </c>
      <c r="AN340" t="s">
        <v>356</v>
      </c>
      <c r="AO340">
        <v>0.21199999999999999</v>
      </c>
    </row>
    <row r="341" spans="1:41">
      <c r="A341">
        <v>11</v>
      </c>
      <c r="B341" t="s">
        <v>357</v>
      </c>
      <c r="C341" t="s">
        <v>355</v>
      </c>
      <c r="D341" s="3">
        <f t="shared" si="118"/>
        <v>5.0761421319796955</v>
      </c>
      <c r="F341">
        <v>2021</v>
      </c>
      <c r="G341">
        <f t="shared" si="120"/>
        <v>4</v>
      </c>
      <c r="J341">
        <f t="shared" si="115"/>
        <v>197</v>
      </c>
      <c r="K341">
        <v>5</v>
      </c>
      <c r="L341">
        <v>3</v>
      </c>
      <c r="Q341" t="s">
        <v>555</v>
      </c>
      <c r="R341">
        <f t="shared" si="119"/>
        <v>0.73199999999999998</v>
      </c>
      <c r="S341">
        <f t="shared" si="116"/>
        <v>0.39482432432432457</v>
      </c>
      <c r="V341" t="s">
        <v>186</v>
      </c>
      <c r="Y341">
        <v>2012</v>
      </c>
      <c r="Z341">
        <f>2025-AVERAGE($Y$292:$Y$488)</f>
        <v>10.796954314720779</v>
      </c>
      <c r="AE341">
        <v>0</v>
      </c>
      <c r="AF341" t="s">
        <v>186</v>
      </c>
      <c r="AG341">
        <v>1</v>
      </c>
      <c r="AI341">
        <f t="shared" si="117"/>
        <v>1.9086294416243654</v>
      </c>
      <c r="AK341" t="s">
        <v>1143</v>
      </c>
      <c r="AL341">
        <v>49</v>
      </c>
      <c r="AM341" t="s">
        <v>325</v>
      </c>
      <c r="AN341" t="s">
        <v>356</v>
      </c>
      <c r="AO341">
        <v>0.21199999999999999</v>
      </c>
    </row>
    <row r="342" spans="1:41">
      <c r="A342">
        <v>11</v>
      </c>
      <c r="B342" t="s">
        <v>357</v>
      </c>
      <c r="C342" t="s">
        <v>355</v>
      </c>
      <c r="D342" s="3">
        <f t="shared" si="118"/>
        <v>5.0761421319796955</v>
      </c>
      <c r="F342">
        <v>2021</v>
      </c>
      <c r="G342">
        <f t="shared" si="120"/>
        <v>4</v>
      </c>
      <c r="J342">
        <f t="shared" si="115"/>
        <v>197</v>
      </c>
      <c r="K342">
        <v>5</v>
      </c>
      <c r="L342">
        <v>3</v>
      </c>
      <c r="Q342" t="s">
        <v>552</v>
      </c>
      <c r="R342" t="str">
        <f t="shared" si="119"/>
        <v/>
      </c>
      <c r="S342">
        <f t="shared" si="116"/>
        <v>0.39482432432432457</v>
      </c>
      <c r="V342" t="s">
        <v>186</v>
      </c>
      <c r="Y342">
        <v>2014</v>
      </c>
      <c r="Z342">
        <f>2025-AVERAGE($Y$292:$Y$488)</f>
        <v>10.796954314720779</v>
      </c>
      <c r="AE342">
        <v>0</v>
      </c>
      <c r="AF342" t="s">
        <v>186</v>
      </c>
      <c r="AG342">
        <v>2</v>
      </c>
      <c r="AI342">
        <f t="shared" si="117"/>
        <v>1.9086294416243654</v>
      </c>
      <c r="AK342" t="s">
        <v>1143</v>
      </c>
      <c r="AL342">
        <v>49</v>
      </c>
      <c r="AM342" t="s">
        <v>325</v>
      </c>
      <c r="AN342" t="s">
        <v>356</v>
      </c>
      <c r="AO342">
        <v>0.21199999999999999</v>
      </c>
    </row>
    <row r="343" spans="1:41">
      <c r="A343">
        <v>11</v>
      </c>
      <c r="B343" t="s">
        <v>357</v>
      </c>
      <c r="C343" t="s">
        <v>355</v>
      </c>
      <c r="D343" s="3">
        <f t="shared" si="118"/>
        <v>5.0761421319796955</v>
      </c>
      <c r="F343">
        <v>2021</v>
      </c>
      <c r="G343">
        <f t="shared" si="120"/>
        <v>4</v>
      </c>
      <c r="J343">
        <f t="shared" si="115"/>
        <v>197</v>
      </c>
      <c r="K343">
        <v>5</v>
      </c>
      <c r="L343">
        <v>3</v>
      </c>
      <c r="Q343" t="s">
        <v>552</v>
      </c>
      <c r="R343" t="str">
        <f t="shared" si="119"/>
        <v/>
      </c>
      <c r="S343">
        <f t="shared" si="116"/>
        <v>0.39482432432432457</v>
      </c>
      <c r="V343" t="s">
        <v>186</v>
      </c>
      <c r="Y343">
        <v>2016</v>
      </c>
      <c r="Z343">
        <f>2025-AVERAGE($Y$292:$Y$488)</f>
        <v>10.796954314720779</v>
      </c>
      <c r="AE343">
        <v>0</v>
      </c>
      <c r="AF343" t="s">
        <v>186</v>
      </c>
      <c r="AG343">
        <v>4</v>
      </c>
      <c r="AI343">
        <f t="shared" si="117"/>
        <v>1.9086294416243654</v>
      </c>
      <c r="AK343" t="s">
        <v>1143</v>
      </c>
      <c r="AL343">
        <v>49</v>
      </c>
      <c r="AM343" t="s">
        <v>325</v>
      </c>
      <c r="AN343" t="s">
        <v>356</v>
      </c>
      <c r="AO343">
        <v>0.21199999999999999</v>
      </c>
    </row>
    <row r="344" spans="1:41">
      <c r="A344">
        <v>11</v>
      </c>
      <c r="B344" t="s">
        <v>357</v>
      </c>
      <c r="C344" t="s">
        <v>355</v>
      </c>
      <c r="D344" s="3">
        <f t="shared" si="118"/>
        <v>5.0761421319796955</v>
      </c>
      <c r="F344">
        <v>2021</v>
      </c>
      <c r="G344">
        <f t="shared" si="120"/>
        <v>4</v>
      </c>
      <c r="J344">
        <f t="shared" si="115"/>
        <v>197</v>
      </c>
      <c r="K344">
        <v>5</v>
      </c>
      <c r="L344">
        <v>3</v>
      </c>
      <c r="Q344" t="s">
        <v>553</v>
      </c>
      <c r="R344" t="str">
        <f t="shared" si="119"/>
        <v/>
      </c>
      <c r="S344">
        <f t="shared" si="116"/>
        <v>0.39482432432432457</v>
      </c>
      <c r="V344" t="s">
        <v>186</v>
      </c>
      <c r="Y344">
        <v>2016</v>
      </c>
      <c r="Z344">
        <f>2025-AVERAGE($Y$292:$Y$488)</f>
        <v>10.796954314720779</v>
      </c>
      <c r="AE344">
        <v>0</v>
      </c>
      <c r="AF344" t="s">
        <v>186</v>
      </c>
      <c r="AG344">
        <v>2</v>
      </c>
      <c r="AI344">
        <f t="shared" si="117"/>
        <v>1.9086294416243654</v>
      </c>
      <c r="AK344" t="s">
        <v>1143</v>
      </c>
      <c r="AL344">
        <v>49</v>
      </c>
      <c r="AM344" t="s">
        <v>325</v>
      </c>
      <c r="AN344" t="s">
        <v>356</v>
      </c>
      <c r="AO344">
        <v>0.21199999999999999</v>
      </c>
    </row>
    <row r="345" spans="1:41">
      <c r="A345">
        <v>11</v>
      </c>
      <c r="B345" t="s">
        <v>357</v>
      </c>
      <c r="C345" t="s">
        <v>355</v>
      </c>
      <c r="D345" s="3">
        <f t="shared" si="118"/>
        <v>5.0761421319796955</v>
      </c>
      <c r="F345">
        <v>2021</v>
      </c>
      <c r="G345">
        <f t="shared" si="120"/>
        <v>4</v>
      </c>
      <c r="J345">
        <f t="shared" si="115"/>
        <v>197</v>
      </c>
      <c r="K345">
        <v>5</v>
      </c>
      <c r="L345">
        <v>3</v>
      </c>
      <c r="Q345" t="s">
        <v>552</v>
      </c>
      <c r="R345" t="str">
        <f t="shared" si="119"/>
        <v/>
      </c>
      <c r="S345">
        <f t="shared" si="116"/>
        <v>0.39482432432432457</v>
      </c>
      <c r="V345" t="s">
        <v>186</v>
      </c>
      <c r="Y345">
        <v>2015</v>
      </c>
      <c r="Z345">
        <f>2025-AVERAGE($Y$292:$Y$488)</f>
        <v>10.796954314720779</v>
      </c>
      <c r="AE345">
        <v>0</v>
      </c>
      <c r="AF345" t="s">
        <v>186</v>
      </c>
      <c r="AG345">
        <v>2</v>
      </c>
      <c r="AI345">
        <f t="shared" si="117"/>
        <v>1.9086294416243654</v>
      </c>
      <c r="AK345" t="s">
        <v>1143</v>
      </c>
      <c r="AL345">
        <v>49</v>
      </c>
      <c r="AM345" t="s">
        <v>325</v>
      </c>
      <c r="AN345" t="s">
        <v>356</v>
      </c>
      <c r="AO345">
        <v>0.21199999999999999</v>
      </c>
    </row>
    <row r="346" spans="1:41">
      <c r="A346">
        <v>11</v>
      </c>
      <c r="B346" t="s">
        <v>357</v>
      </c>
      <c r="C346" t="s">
        <v>355</v>
      </c>
      <c r="D346" s="3">
        <f t="shared" si="118"/>
        <v>5.0761421319796955</v>
      </c>
      <c r="F346">
        <v>2021</v>
      </c>
      <c r="G346">
        <f t="shared" si="120"/>
        <v>4</v>
      </c>
      <c r="J346">
        <f t="shared" si="115"/>
        <v>197</v>
      </c>
      <c r="K346">
        <v>5</v>
      </c>
      <c r="L346">
        <v>3</v>
      </c>
      <c r="Q346" t="s">
        <v>554</v>
      </c>
      <c r="R346">
        <f t="shared" si="119"/>
        <v>0.36899999999999999</v>
      </c>
      <c r="S346">
        <f t="shared" si="116"/>
        <v>0.39482432432432457</v>
      </c>
      <c r="V346" t="s">
        <v>186</v>
      </c>
      <c r="Y346">
        <v>2016</v>
      </c>
      <c r="Z346">
        <f>2025-AVERAGE($Y$292:$Y$488)</f>
        <v>10.796954314720779</v>
      </c>
      <c r="AE346">
        <v>0</v>
      </c>
      <c r="AF346" t="s">
        <v>186</v>
      </c>
      <c r="AG346">
        <v>2</v>
      </c>
      <c r="AI346">
        <f t="shared" si="117"/>
        <v>1.9086294416243654</v>
      </c>
      <c r="AK346" t="s">
        <v>1143</v>
      </c>
      <c r="AL346">
        <v>49</v>
      </c>
      <c r="AM346" t="s">
        <v>325</v>
      </c>
      <c r="AN346" t="s">
        <v>356</v>
      </c>
      <c r="AO346">
        <v>0.21199999999999999</v>
      </c>
    </row>
    <row r="347" spans="1:41">
      <c r="A347">
        <v>11</v>
      </c>
      <c r="B347" t="s">
        <v>357</v>
      </c>
      <c r="C347" t="s">
        <v>355</v>
      </c>
      <c r="D347" s="3">
        <f t="shared" si="118"/>
        <v>5.0761421319796955</v>
      </c>
      <c r="F347">
        <v>2021</v>
      </c>
      <c r="G347">
        <f t="shared" si="120"/>
        <v>4</v>
      </c>
      <c r="J347">
        <f t="shared" si="115"/>
        <v>197</v>
      </c>
      <c r="K347">
        <v>5</v>
      </c>
      <c r="L347">
        <v>3</v>
      </c>
      <c r="Q347" t="s">
        <v>553</v>
      </c>
      <c r="R347" t="str">
        <f t="shared" si="119"/>
        <v/>
      </c>
      <c r="S347">
        <f t="shared" si="116"/>
        <v>0.39482432432432457</v>
      </c>
      <c r="V347" t="s">
        <v>186</v>
      </c>
      <c r="Y347">
        <v>2016</v>
      </c>
      <c r="Z347">
        <f>2025-AVERAGE($Y$292:$Y$488)</f>
        <v>10.796954314720779</v>
      </c>
      <c r="AE347">
        <v>0</v>
      </c>
      <c r="AF347" t="s">
        <v>186</v>
      </c>
      <c r="AG347">
        <v>3</v>
      </c>
      <c r="AI347">
        <f t="shared" si="117"/>
        <v>1.9086294416243654</v>
      </c>
      <c r="AK347" t="s">
        <v>1143</v>
      </c>
      <c r="AL347">
        <v>49</v>
      </c>
      <c r="AM347" t="s">
        <v>325</v>
      </c>
      <c r="AN347" t="s">
        <v>356</v>
      </c>
      <c r="AO347">
        <v>0.21199999999999999</v>
      </c>
    </row>
    <row r="348" spans="1:41">
      <c r="A348">
        <v>11</v>
      </c>
      <c r="B348" t="s">
        <v>357</v>
      </c>
      <c r="C348" t="s">
        <v>355</v>
      </c>
      <c r="D348" s="3">
        <f t="shared" si="118"/>
        <v>5.0761421319796955</v>
      </c>
      <c r="F348">
        <v>2021</v>
      </c>
      <c r="G348">
        <f t="shared" si="120"/>
        <v>4</v>
      </c>
      <c r="J348">
        <f t="shared" si="115"/>
        <v>197</v>
      </c>
      <c r="K348">
        <v>5</v>
      </c>
      <c r="L348">
        <v>3</v>
      </c>
      <c r="Q348" t="s">
        <v>552</v>
      </c>
      <c r="R348" t="str">
        <f t="shared" si="119"/>
        <v/>
      </c>
      <c r="S348">
        <f t="shared" si="116"/>
        <v>0.39482432432432457</v>
      </c>
      <c r="V348" t="s">
        <v>186</v>
      </c>
      <c r="Y348">
        <v>2012</v>
      </c>
      <c r="Z348">
        <f>2025-AVERAGE($Y$292:$Y$488)</f>
        <v>10.796954314720779</v>
      </c>
      <c r="AE348">
        <v>0</v>
      </c>
      <c r="AF348" t="s">
        <v>186</v>
      </c>
      <c r="AG348">
        <v>1</v>
      </c>
      <c r="AI348">
        <f t="shared" si="117"/>
        <v>1.9086294416243654</v>
      </c>
      <c r="AK348" t="s">
        <v>1143</v>
      </c>
      <c r="AL348">
        <v>49</v>
      </c>
      <c r="AM348" t="s">
        <v>325</v>
      </c>
      <c r="AN348" t="s">
        <v>356</v>
      </c>
      <c r="AO348">
        <v>0.21199999999999999</v>
      </c>
    </row>
    <row r="349" spans="1:41">
      <c r="A349">
        <v>11</v>
      </c>
      <c r="B349" t="s">
        <v>357</v>
      </c>
      <c r="C349" t="s">
        <v>355</v>
      </c>
      <c r="D349" s="3">
        <f t="shared" si="118"/>
        <v>5.0761421319796955</v>
      </c>
      <c r="F349">
        <v>2021</v>
      </c>
      <c r="G349">
        <f t="shared" si="120"/>
        <v>4</v>
      </c>
      <c r="J349">
        <f t="shared" si="115"/>
        <v>197</v>
      </c>
      <c r="K349">
        <v>5</v>
      </c>
      <c r="L349">
        <v>3</v>
      </c>
      <c r="Q349" t="s">
        <v>553</v>
      </c>
      <c r="R349" t="str">
        <f t="shared" si="119"/>
        <v/>
      </c>
      <c r="S349">
        <f t="shared" si="116"/>
        <v>0.39482432432432457</v>
      </c>
      <c r="V349" t="s">
        <v>186</v>
      </c>
      <c r="Y349">
        <v>2014</v>
      </c>
      <c r="Z349">
        <f>2025-AVERAGE($Y$292:$Y$488)</f>
        <v>10.796954314720779</v>
      </c>
      <c r="AE349">
        <v>0</v>
      </c>
      <c r="AF349" t="s">
        <v>186</v>
      </c>
      <c r="AG349">
        <v>3</v>
      </c>
      <c r="AI349">
        <f t="shared" si="117"/>
        <v>1.9086294416243654</v>
      </c>
      <c r="AK349" t="s">
        <v>1143</v>
      </c>
      <c r="AL349">
        <v>49</v>
      </c>
      <c r="AM349" t="s">
        <v>325</v>
      </c>
      <c r="AN349" t="s">
        <v>356</v>
      </c>
      <c r="AO349">
        <v>0.21199999999999999</v>
      </c>
    </row>
    <row r="350" spans="1:41">
      <c r="A350">
        <v>11</v>
      </c>
      <c r="B350" t="s">
        <v>357</v>
      </c>
      <c r="C350" t="s">
        <v>355</v>
      </c>
      <c r="D350" s="3">
        <f t="shared" si="118"/>
        <v>5.0761421319796955</v>
      </c>
      <c r="F350">
        <v>2021</v>
      </c>
      <c r="G350">
        <f t="shared" si="120"/>
        <v>4</v>
      </c>
      <c r="J350">
        <f t="shared" si="115"/>
        <v>197</v>
      </c>
      <c r="K350">
        <v>5</v>
      </c>
      <c r="L350">
        <v>3</v>
      </c>
      <c r="Q350" t="s">
        <v>554</v>
      </c>
      <c r="R350">
        <f t="shared" si="119"/>
        <v>0.31900000000000001</v>
      </c>
      <c r="S350">
        <f t="shared" si="116"/>
        <v>0.39482432432432457</v>
      </c>
      <c r="V350" t="s">
        <v>186</v>
      </c>
      <c r="Y350">
        <v>2014</v>
      </c>
      <c r="Z350">
        <f>2025-AVERAGE($Y$292:$Y$488)</f>
        <v>10.796954314720779</v>
      </c>
      <c r="AE350">
        <v>0</v>
      </c>
      <c r="AF350" t="s">
        <v>186</v>
      </c>
      <c r="AG350">
        <v>1</v>
      </c>
      <c r="AI350">
        <f t="shared" si="117"/>
        <v>1.9086294416243654</v>
      </c>
      <c r="AK350" t="s">
        <v>1143</v>
      </c>
      <c r="AL350">
        <v>49</v>
      </c>
      <c r="AM350" t="s">
        <v>325</v>
      </c>
      <c r="AN350" t="s">
        <v>356</v>
      </c>
      <c r="AO350">
        <v>0.21199999999999999</v>
      </c>
    </row>
    <row r="351" spans="1:41">
      <c r="A351">
        <v>11</v>
      </c>
      <c r="B351" t="s">
        <v>357</v>
      </c>
      <c r="C351" t="s">
        <v>355</v>
      </c>
      <c r="D351" s="3">
        <f t="shared" si="118"/>
        <v>5.0761421319796955</v>
      </c>
      <c r="F351">
        <v>2021</v>
      </c>
      <c r="G351">
        <f t="shared" si="120"/>
        <v>4</v>
      </c>
      <c r="J351">
        <f t="shared" si="115"/>
        <v>197</v>
      </c>
      <c r="K351">
        <v>5</v>
      </c>
      <c r="L351">
        <v>3</v>
      </c>
      <c r="Q351" t="s">
        <v>555</v>
      </c>
      <c r="R351">
        <f t="shared" si="119"/>
        <v>0.45700000000000002</v>
      </c>
      <c r="S351">
        <f t="shared" si="116"/>
        <v>0.39482432432432457</v>
      </c>
      <c r="T351" t="s">
        <v>559</v>
      </c>
      <c r="V351" t="s">
        <v>186</v>
      </c>
      <c r="Y351">
        <v>2016</v>
      </c>
      <c r="Z351">
        <f>2025-AVERAGE($Y$292:$Y$488)</f>
        <v>10.796954314720779</v>
      </c>
      <c r="AE351">
        <v>0</v>
      </c>
      <c r="AF351" t="s">
        <v>186</v>
      </c>
      <c r="AG351">
        <v>1</v>
      </c>
      <c r="AI351">
        <f t="shared" si="117"/>
        <v>1.9086294416243654</v>
      </c>
      <c r="AK351" t="s">
        <v>1143</v>
      </c>
      <c r="AL351">
        <v>49</v>
      </c>
      <c r="AM351" t="s">
        <v>325</v>
      </c>
      <c r="AN351" t="s">
        <v>356</v>
      </c>
      <c r="AO351">
        <v>0.21199999999999999</v>
      </c>
    </row>
    <row r="352" spans="1:41">
      <c r="A352">
        <v>11</v>
      </c>
      <c r="B352" t="s">
        <v>357</v>
      </c>
      <c r="C352" t="s">
        <v>355</v>
      </c>
      <c r="D352" s="3">
        <f t="shared" si="118"/>
        <v>5.0761421319796955</v>
      </c>
      <c r="F352">
        <v>2021</v>
      </c>
      <c r="G352">
        <f t="shared" si="120"/>
        <v>4</v>
      </c>
      <c r="J352">
        <f t="shared" si="115"/>
        <v>197</v>
      </c>
      <c r="K352">
        <v>5</v>
      </c>
      <c r="L352">
        <v>3</v>
      </c>
      <c r="Q352" t="s">
        <v>555</v>
      </c>
      <c r="R352">
        <f t="shared" si="119"/>
        <v>0.51800000000000002</v>
      </c>
      <c r="S352">
        <f t="shared" si="116"/>
        <v>0.39482432432432457</v>
      </c>
      <c r="V352" t="s">
        <v>186</v>
      </c>
      <c r="Y352">
        <v>2015</v>
      </c>
      <c r="Z352">
        <f>2025-AVERAGE($Y$292:$Y$488)</f>
        <v>10.796954314720779</v>
      </c>
      <c r="AE352">
        <v>0</v>
      </c>
      <c r="AF352" t="s">
        <v>186</v>
      </c>
      <c r="AG352">
        <v>2</v>
      </c>
      <c r="AI352">
        <f t="shared" si="117"/>
        <v>1.9086294416243654</v>
      </c>
      <c r="AK352" t="s">
        <v>1143</v>
      </c>
      <c r="AL352">
        <v>49</v>
      </c>
      <c r="AM352" t="s">
        <v>325</v>
      </c>
      <c r="AN352" t="s">
        <v>356</v>
      </c>
      <c r="AO352">
        <v>0.21199999999999999</v>
      </c>
    </row>
    <row r="353" spans="1:41">
      <c r="A353">
        <v>11</v>
      </c>
      <c r="B353" t="s">
        <v>357</v>
      </c>
      <c r="C353" t="s">
        <v>355</v>
      </c>
      <c r="D353" s="3">
        <f t="shared" si="118"/>
        <v>5.0761421319796955</v>
      </c>
      <c r="F353">
        <v>2021</v>
      </c>
      <c r="G353">
        <f t="shared" si="120"/>
        <v>4</v>
      </c>
      <c r="J353">
        <f t="shared" si="115"/>
        <v>197</v>
      </c>
      <c r="K353">
        <v>5</v>
      </c>
      <c r="L353">
        <v>3</v>
      </c>
      <c r="Q353" t="s">
        <v>555</v>
      </c>
      <c r="R353">
        <f t="shared" si="119"/>
        <v>0.46899999999999997</v>
      </c>
      <c r="S353">
        <f t="shared" si="116"/>
        <v>0.39482432432432457</v>
      </c>
      <c r="V353" t="s">
        <v>186</v>
      </c>
      <c r="Y353">
        <v>2013</v>
      </c>
      <c r="Z353">
        <f>2025-AVERAGE($Y$292:$Y$488)</f>
        <v>10.796954314720779</v>
      </c>
      <c r="AE353">
        <v>0</v>
      </c>
      <c r="AF353" t="s">
        <v>186</v>
      </c>
      <c r="AG353">
        <v>2</v>
      </c>
      <c r="AI353">
        <f t="shared" si="117"/>
        <v>1.9086294416243654</v>
      </c>
      <c r="AK353" t="s">
        <v>1143</v>
      </c>
      <c r="AL353">
        <v>49</v>
      </c>
      <c r="AM353" t="s">
        <v>325</v>
      </c>
      <c r="AN353" t="s">
        <v>356</v>
      </c>
      <c r="AO353">
        <v>0.21199999999999999</v>
      </c>
    </row>
    <row r="354" spans="1:41">
      <c r="A354">
        <v>11</v>
      </c>
      <c r="B354" t="s">
        <v>357</v>
      </c>
      <c r="C354" t="s">
        <v>355</v>
      </c>
      <c r="D354" s="3">
        <f t="shared" si="118"/>
        <v>5.0761421319796955</v>
      </c>
      <c r="F354">
        <v>2021</v>
      </c>
      <c r="G354">
        <f t="shared" si="120"/>
        <v>4</v>
      </c>
      <c r="J354">
        <f t="shared" si="115"/>
        <v>197</v>
      </c>
      <c r="K354">
        <v>5</v>
      </c>
      <c r="L354">
        <v>3</v>
      </c>
      <c r="Q354" t="s">
        <v>554</v>
      </c>
      <c r="R354">
        <f t="shared" si="119"/>
        <v>0.31900000000000001</v>
      </c>
      <c r="S354">
        <f t="shared" si="116"/>
        <v>0.39482432432432457</v>
      </c>
      <c r="T354" t="s">
        <v>558</v>
      </c>
      <c r="V354" t="s">
        <v>186</v>
      </c>
      <c r="Y354">
        <v>2014</v>
      </c>
      <c r="Z354">
        <f>2025-AVERAGE($Y$292:$Y$488)</f>
        <v>10.796954314720779</v>
      </c>
      <c r="AE354">
        <v>0</v>
      </c>
      <c r="AF354" t="s">
        <v>186</v>
      </c>
      <c r="AG354">
        <v>1</v>
      </c>
      <c r="AI354">
        <f t="shared" si="117"/>
        <v>1.9086294416243654</v>
      </c>
      <c r="AK354" t="s">
        <v>1143</v>
      </c>
      <c r="AL354">
        <v>49</v>
      </c>
      <c r="AM354" t="s">
        <v>325</v>
      </c>
      <c r="AN354" t="s">
        <v>356</v>
      </c>
      <c r="AO354">
        <v>0.21199999999999999</v>
      </c>
    </row>
    <row r="355" spans="1:41">
      <c r="A355">
        <v>11</v>
      </c>
      <c r="B355" t="s">
        <v>357</v>
      </c>
      <c r="C355" t="s">
        <v>355</v>
      </c>
      <c r="D355" s="3">
        <f t="shared" si="118"/>
        <v>5.0761421319796955</v>
      </c>
      <c r="F355">
        <v>2021</v>
      </c>
      <c r="G355">
        <f t="shared" si="120"/>
        <v>4</v>
      </c>
      <c r="J355">
        <f t="shared" si="115"/>
        <v>197</v>
      </c>
      <c r="K355">
        <v>5</v>
      </c>
      <c r="L355">
        <v>3</v>
      </c>
      <c r="Q355" t="s">
        <v>554</v>
      </c>
      <c r="R355">
        <f t="shared" si="119"/>
        <v>0.503</v>
      </c>
      <c r="S355">
        <f t="shared" si="116"/>
        <v>0.39482432432432457</v>
      </c>
      <c r="V355" t="s">
        <v>186</v>
      </c>
      <c r="Y355">
        <v>2013</v>
      </c>
      <c r="Z355">
        <f>2025-AVERAGE($Y$292:$Y$488)</f>
        <v>10.796954314720779</v>
      </c>
      <c r="AE355">
        <v>0</v>
      </c>
      <c r="AF355" t="s">
        <v>186</v>
      </c>
      <c r="AG355">
        <v>4</v>
      </c>
      <c r="AI355">
        <f t="shared" si="117"/>
        <v>1.9086294416243654</v>
      </c>
      <c r="AK355" t="s">
        <v>1143</v>
      </c>
      <c r="AL355">
        <v>49</v>
      </c>
      <c r="AM355" t="s">
        <v>325</v>
      </c>
      <c r="AN355" t="s">
        <v>356</v>
      </c>
      <c r="AO355">
        <v>0.21199999999999999</v>
      </c>
    </row>
    <row r="356" spans="1:41">
      <c r="A356">
        <v>11</v>
      </c>
      <c r="B356" t="s">
        <v>357</v>
      </c>
      <c r="C356" t="s">
        <v>355</v>
      </c>
      <c r="D356" s="3">
        <f t="shared" ref="D356:D387" si="121">100*(COUNTIF($T$292:$T$488,"Replicable")/$J$292)</f>
        <v>5.0761421319796955</v>
      </c>
      <c r="F356">
        <v>2021</v>
      </c>
      <c r="G356">
        <f t="shared" si="120"/>
        <v>4</v>
      </c>
      <c r="J356">
        <f t="shared" si="115"/>
        <v>197</v>
      </c>
      <c r="K356">
        <v>5</v>
      </c>
      <c r="L356">
        <v>3</v>
      </c>
      <c r="Q356" t="s">
        <v>556</v>
      </c>
      <c r="R356">
        <f t="shared" ref="R356:R387" si="122">IF(AND(Q356="Dados", Y356=2012), 0.732,
IF(AND(Q356="Dados", Y356=2013), 0.469,
IF(AND(Q356="Dados", Y356=2014), 0.341,
IF(AND(Q356="Dados", Y356=2015), 0.518,
IF(AND(Q356="Dados", Y356=2016), 0.457,
IF(AND(Q356="Opinião Púbilca", Y356=2012), 0.358,
IF(AND(Q356="Opinião Púbilca", Y356=2013), 0.503,
IF(AND(Q356="Opinião Púbilca", Y356=2014), 0.319,
IF(AND(Q356="Opinião Púbilca", Y356=2015), 0.273,
IF(AND(Q356="Opinião Púbilca", Y356=2016), 0.369,
IF(AND(Q356="Revista Brasileira de Ciências Sociais", Y356=2012), 0.21,
IF(AND(Q356="Revista Brasileira de Ciências Sociais", Y356=2013), 0.279,
IF(AND(Q356="Revista Brasileira de Ciências Sociais", Y356=2014), 0.298,
IF(AND(Q356="Revista Brasileira de Ciências Sociais", Y356=2015), 0.153,
IF(AND(Q356="Revista Brasileira de Ciências Sociais", Y356=2016), 0.297,
"")))))))))))))))</f>
        <v>0.153</v>
      </c>
      <c r="S356">
        <f t="shared" si="116"/>
        <v>0.39482432432432457</v>
      </c>
      <c r="V356" t="s">
        <v>186</v>
      </c>
      <c r="Y356">
        <v>2015</v>
      </c>
      <c r="Z356">
        <f>2025-AVERAGE($Y$292:$Y$488)</f>
        <v>10.796954314720779</v>
      </c>
      <c r="AE356">
        <v>0</v>
      </c>
      <c r="AF356" t="s">
        <v>186</v>
      </c>
      <c r="AG356">
        <v>1</v>
      </c>
      <c r="AI356">
        <f t="shared" si="117"/>
        <v>1.9086294416243654</v>
      </c>
      <c r="AK356" t="s">
        <v>1143</v>
      </c>
      <c r="AL356">
        <v>49</v>
      </c>
      <c r="AM356" t="s">
        <v>325</v>
      </c>
      <c r="AN356" t="s">
        <v>356</v>
      </c>
      <c r="AO356">
        <v>0.21199999999999999</v>
      </c>
    </row>
    <row r="357" spans="1:41">
      <c r="A357">
        <v>11</v>
      </c>
      <c r="B357" t="s">
        <v>357</v>
      </c>
      <c r="C357" t="s">
        <v>355</v>
      </c>
      <c r="D357" s="3">
        <f t="shared" si="121"/>
        <v>5.0761421319796955</v>
      </c>
      <c r="F357">
        <v>2021</v>
      </c>
      <c r="G357">
        <f t="shared" si="120"/>
        <v>4</v>
      </c>
      <c r="J357">
        <f t="shared" ref="J357:J420" si="123">COUNTA($Y$292:$Y$488)</f>
        <v>197</v>
      </c>
      <c r="K357">
        <v>5</v>
      </c>
      <c r="L357">
        <v>3</v>
      </c>
      <c r="Q357" t="s">
        <v>555</v>
      </c>
      <c r="R357">
        <f t="shared" si="122"/>
        <v>0.45700000000000002</v>
      </c>
      <c r="S357">
        <f t="shared" ref="S357:S420" si="124">AVERAGE($R$292:$R$488)</f>
        <v>0.39482432432432457</v>
      </c>
      <c r="V357" t="s">
        <v>186</v>
      </c>
      <c r="Y357">
        <v>2016</v>
      </c>
      <c r="Z357">
        <f>2025-AVERAGE($Y$292:$Y$488)</f>
        <v>10.796954314720779</v>
      </c>
      <c r="AE357">
        <v>0</v>
      </c>
      <c r="AF357" t="s">
        <v>186</v>
      </c>
      <c r="AG357">
        <v>2</v>
      </c>
      <c r="AI357">
        <f t="shared" ref="AI357:AI420" si="125">AVERAGE($AG$292:$AG$488)</f>
        <v>1.9086294416243654</v>
      </c>
      <c r="AK357" t="s">
        <v>1143</v>
      </c>
      <c r="AL357">
        <v>49</v>
      </c>
      <c r="AM357" t="s">
        <v>325</v>
      </c>
      <c r="AN357" t="s">
        <v>356</v>
      </c>
      <c r="AO357">
        <v>0.21199999999999999</v>
      </c>
    </row>
    <row r="358" spans="1:41">
      <c r="A358">
        <v>11</v>
      </c>
      <c r="B358" t="s">
        <v>357</v>
      </c>
      <c r="C358" t="s">
        <v>355</v>
      </c>
      <c r="D358" s="3">
        <f t="shared" si="121"/>
        <v>5.0761421319796955</v>
      </c>
      <c r="F358">
        <v>2021</v>
      </c>
      <c r="G358">
        <f t="shared" si="120"/>
        <v>4</v>
      </c>
      <c r="J358">
        <f t="shared" si="123"/>
        <v>197</v>
      </c>
      <c r="K358">
        <v>5</v>
      </c>
      <c r="L358">
        <v>3</v>
      </c>
      <c r="Q358" t="s">
        <v>552</v>
      </c>
      <c r="R358" t="str">
        <f t="shared" si="122"/>
        <v/>
      </c>
      <c r="S358">
        <f t="shared" si="124"/>
        <v>0.39482432432432457</v>
      </c>
      <c r="V358" t="s">
        <v>186</v>
      </c>
      <c r="Y358">
        <v>2016</v>
      </c>
      <c r="Z358">
        <f>2025-AVERAGE($Y$292:$Y$488)</f>
        <v>10.796954314720779</v>
      </c>
      <c r="AE358">
        <v>0</v>
      </c>
      <c r="AF358" t="s">
        <v>186</v>
      </c>
      <c r="AG358">
        <v>4</v>
      </c>
      <c r="AI358">
        <f t="shared" si="125"/>
        <v>1.9086294416243654</v>
      </c>
      <c r="AK358" t="s">
        <v>1143</v>
      </c>
      <c r="AL358">
        <v>49</v>
      </c>
      <c r="AM358" t="s">
        <v>325</v>
      </c>
      <c r="AN358" t="s">
        <v>356</v>
      </c>
      <c r="AO358">
        <v>0.21199999999999999</v>
      </c>
    </row>
    <row r="359" spans="1:41">
      <c r="A359">
        <v>11</v>
      </c>
      <c r="B359" t="s">
        <v>357</v>
      </c>
      <c r="C359" t="s">
        <v>355</v>
      </c>
      <c r="D359" s="3">
        <f t="shared" si="121"/>
        <v>5.0761421319796955</v>
      </c>
      <c r="F359">
        <v>2021</v>
      </c>
      <c r="G359">
        <f t="shared" si="120"/>
        <v>4</v>
      </c>
      <c r="J359">
        <f t="shared" si="123"/>
        <v>197</v>
      </c>
      <c r="K359">
        <v>5</v>
      </c>
      <c r="L359">
        <v>3</v>
      </c>
      <c r="Q359" t="s">
        <v>552</v>
      </c>
      <c r="R359" t="str">
        <f t="shared" si="122"/>
        <v/>
      </c>
      <c r="S359">
        <f t="shared" si="124"/>
        <v>0.39482432432432457</v>
      </c>
      <c r="V359" t="s">
        <v>186</v>
      </c>
      <c r="Y359">
        <v>2015</v>
      </c>
      <c r="Z359">
        <f>2025-AVERAGE($Y$292:$Y$488)</f>
        <v>10.796954314720779</v>
      </c>
      <c r="AE359">
        <v>0</v>
      </c>
      <c r="AF359" t="s">
        <v>186</v>
      </c>
      <c r="AG359">
        <v>1</v>
      </c>
      <c r="AI359">
        <f t="shared" si="125"/>
        <v>1.9086294416243654</v>
      </c>
      <c r="AK359" t="s">
        <v>1143</v>
      </c>
      <c r="AL359">
        <v>49</v>
      </c>
      <c r="AM359" t="s">
        <v>325</v>
      </c>
      <c r="AN359" t="s">
        <v>356</v>
      </c>
      <c r="AO359">
        <v>0.21199999999999999</v>
      </c>
    </row>
    <row r="360" spans="1:41">
      <c r="A360">
        <v>11</v>
      </c>
      <c r="B360" t="s">
        <v>357</v>
      </c>
      <c r="C360" t="s">
        <v>355</v>
      </c>
      <c r="D360" s="3">
        <f t="shared" si="121"/>
        <v>5.0761421319796955</v>
      </c>
      <c r="F360">
        <v>2021</v>
      </c>
      <c r="G360">
        <f t="shared" si="120"/>
        <v>4</v>
      </c>
      <c r="J360">
        <f t="shared" si="123"/>
        <v>197</v>
      </c>
      <c r="K360">
        <v>5</v>
      </c>
      <c r="L360">
        <v>3</v>
      </c>
      <c r="Q360" t="s">
        <v>555</v>
      </c>
      <c r="R360">
        <f t="shared" si="122"/>
        <v>0.51800000000000002</v>
      </c>
      <c r="S360">
        <f t="shared" si="124"/>
        <v>0.39482432432432457</v>
      </c>
      <c r="V360" t="s">
        <v>186</v>
      </c>
      <c r="Y360">
        <v>2015</v>
      </c>
      <c r="Z360">
        <f>2025-AVERAGE($Y$292:$Y$488)</f>
        <v>10.796954314720779</v>
      </c>
      <c r="AE360">
        <v>0</v>
      </c>
      <c r="AF360" t="s">
        <v>186</v>
      </c>
      <c r="AG360">
        <v>1</v>
      </c>
      <c r="AI360">
        <f t="shared" si="125"/>
        <v>1.9086294416243654</v>
      </c>
      <c r="AK360" t="s">
        <v>1143</v>
      </c>
      <c r="AL360">
        <v>49</v>
      </c>
      <c r="AM360" t="s">
        <v>325</v>
      </c>
      <c r="AN360" t="s">
        <v>356</v>
      </c>
      <c r="AO360">
        <v>0.21199999999999999</v>
      </c>
    </row>
    <row r="361" spans="1:41">
      <c r="A361">
        <v>11</v>
      </c>
      <c r="B361" t="s">
        <v>357</v>
      </c>
      <c r="C361" t="s">
        <v>355</v>
      </c>
      <c r="D361" s="3">
        <f t="shared" si="121"/>
        <v>5.0761421319796955</v>
      </c>
      <c r="F361">
        <v>2021</v>
      </c>
      <c r="G361">
        <f t="shared" si="120"/>
        <v>4</v>
      </c>
      <c r="J361">
        <f t="shared" si="123"/>
        <v>197</v>
      </c>
      <c r="K361">
        <v>5</v>
      </c>
      <c r="L361">
        <v>3</v>
      </c>
      <c r="Q361" t="s">
        <v>555</v>
      </c>
      <c r="R361">
        <f t="shared" si="122"/>
        <v>0.45700000000000002</v>
      </c>
      <c r="S361">
        <f t="shared" si="124"/>
        <v>0.39482432432432457</v>
      </c>
      <c r="V361" t="s">
        <v>186</v>
      </c>
      <c r="Y361">
        <v>2016</v>
      </c>
      <c r="Z361">
        <f>2025-AVERAGE($Y$292:$Y$488)</f>
        <v>10.796954314720779</v>
      </c>
      <c r="AE361">
        <v>0</v>
      </c>
      <c r="AF361" t="s">
        <v>186</v>
      </c>
      <c r="AG361">
        <v>2</v>
      </c>
      <c r="AI361">
        <f t="shared" si="125"/>
        <v>1.9086294416243654</v>
      </c>
      <c r="AK361" t="s">
        <v>1143</v>
      </c>
      <c r="AL361">
        <v>49</v>
      </c>
      <c r="AM361" t="s">
        <v>325</v>
      </c>
      <c r="AN361" t="s">
        <v>356</v>
      </c>
      <c r="AO361">
        <v>0.21199999999999999</v>
      </c>
    </row>
    <row r="362" spans="1:41">
      <c r="A362">
        <v>11</v>
      </c>
      <c r="B362" t="s">
        <v>357</v>
      </c>
      <c r="C362" t="s">
        <v>355</v>
      </c>
      <c r="D362" s="3">
        <f t="shared" si="121"/>
        <v>5.0761421319796955</v>
      </c>
      <c r="F362">
        <v>2021</v>
      </c>
      <c r="G362">
        <f t="shared" si="120"/>
        <v>4</v>
      </c>
      <c r="J362">
        <f t="shared" si="123"/>
        <v>197</v>
      </c>
      <c r="K362">
        <v>5</v>
      </c>
      <c r="L362">
        <v>3</v>
      </c>
      <c r="Q362" t="s">
        <v>554</v>
      </c>
      <c r="R362">
        <f t="shared" si="122"/>
        <v>0.35799999999999998</v>
      </c>
      <c r="S362">
        <f t="shared" si="124"/>
        <v>0.39482432432432457</v>
      </c>
      <c r="V362" t="s">
        <v>186</v>
      </c>
      <c r="Y362">
        <v>2012</v>
      </c>
      <c r="Z362">
        <f>2025-AVERAGE($Y$292:$Y$488)</f>
        <v>10.796954314720779</v>
      </c>
      <c r="AE362">
        <v>0</v>
      </c>
      <c r="AF362" t="s">
        <v>186</v>
      </c>
      <c r="AG362">
        <v>2</v>
      </c>
      <c r="AI362">
        <f t="shared" si="125"/>
        <v>1.9086294416243654</v>
      </c>
      <c r="AK362" t="s">
        <v>1143</v>
      </c>
      <c r="AL362">
        <v>49</v>
      </c>
      <c r="AM362" t="s">
        <v>325</v>
      </c>
      <c r="AN362" t="s">
        <v>356</v>
      </c>
      <c r="AO362">
        <v>0.21199999999999999</v>
      </c>
    </row>
    <row r="363" spans="1:41">
      <c r="A363">
        <v>11</v>
      </c>
      <c r="B363" t="s">
        <v>357</v>
      </c>
      <c r="C363" t="s">
        <v>355</v>
      </c>
      <c r="D363" s="3">
        <f t="shared" si="121"/>
        <v>5.0761421319796955</v>
      </c>
      <c r="F363">
        <v>2021</v>
      </c>
      <c r="G363">
        <f t="shared" si="120"/>
        <v>4</v>
      </c>
      <c r="J363">
        <f t="shared" si="123"/>
        <v>197</v>
      </c>
      <c r="K363">
        <v>5</v>
      </c>
      <c r="L363">
        <v>3</v>
      </c>
      <c r="Q363" t="s">
        <v>554</v>
      </c>
      <c r="R363">
        <f t="shared" si="122"/>
        <v>0.27300000000000002</v>
      </c>
      <c r="S363">
        <f t="shared" si="124"/>
        <v>0.39482432432432457</v>
      </c>
      <c r="V363" t="s">
        <v>186</v>
      </c>
      <c r="Y363">
        <v>2015</v>
      </c>
      <c r="Z363">
        <f>2025-AVERAGE($Y$292:$Y$488)</f>
        <v>10.796954314720779</v>
      </c>
      <c r="AE363">
        <v>0</v>
      </c>
      <c r="AF363" t="s">
        <v>186</v>
      </c>
      <c r="AG363">
        <v>3</v>
      </c>
      <c r="AI363">
        <f t="shared" si="125"/>
        <v>1.9086294416243654</v>
      </c>
      <c r="AK363" t="s">
        <v>1143</v>
      </c>
      <c r="AL363">
        <v>49</v>
      </c>
      <c r="AM363" t="s">
        <v>325</v>
      </c>
      <c r="AN363" t="s">
        <v>356</v>
      </c>
      <c r="AO363">
        <v>0.21199999999999999</v>
      </c>
    </row>
    <row r="364" spans="1:41">
      <c r="A364">
        <v>11</v>
      </c>
      <c r="B364" t="s">
        <v>357</v>
      </c>
      <c r="C364" t="s">
        <v>355</v>
      </c>
      <c r="D364" s="3">
        <f t="shared" si="121"/>
        <v>5.0761421319796955</v>
      </c>
      <c r="F364">
        <v>2021</v>
      </c>
      <c r="G364">
        <f t="shared" si="120"/>
        <v>4</v>
      </c>
      <c r="J364">
        <f t="shared" si="123"/>
        <v>197</v>
      </c>
      <c r="K364">
        <v>5</v>
      </c>
      <c r="L364">
        <v>3</v>
      </c>
      <c r="Q364" t="s">
        <v>556</v>
      </c>
      <c r="R364">
        <f t="shared" si="122"/>
        <v>0.27900000000000003</v>
      </c>
      <c r="S364">
        <f t="shared" si="124"/>
        <v>0.39482432432432457</v>
      </c>
      <c r="V364" t="s">
        <v>186</v>
      </c>
      <c r="Y364">
        <v>2013</v>
      </c>
      <c r="Z364">
        <f>2025-AVERAGE($Y$292:$Y$488)</f>
        <v>10.796954314720779</v>
      </c>
      <c r="AE364">
        <v>0</v>
      </c>
      <c r="AF364" t="s">
        <v>186</v>
      </c>
      <c r="AG364">
        <v>1</v>
      </c>
      <c r="AI364">
        <f t="shared" si="125"/>
        <v>1.9086294416243654</v>
      </c>
      <c r="AK364" t="s">
        <v>1143</v>
      </c>
      <c r="AL364">
        <v>49</v>
      </c>
      <c r="AM364" t="s">
        <v>325</v>
      </c>
      <c r="AN364" t="s">
        <v>356</v>
      </c>
      <c r="AO364">
        <v>0.21199999999999999</v>
      </c>
    </row>
    <row r="365" spans="1:41">
      <c r="A365">
        <v>11</v>
      </c>
      <c r="B365" t="s">
        <v>357</v>
      </c>
      <c r="C365" t="s">
        <v>355</v>
      </c>
      <c r="D365" s="3">
        <f t="shared" si="121"/>
        <v>5.0761421319796955</v>
      </c>
      <c r="F365">
        <v>2021</v>
      </c>
      <c r="G365">
        <f t="shared" si="120"/>
        <v>4</v>
      </c>
      <c r="J365">
        <f t="shared" si="123"/>
        <v>197</v>
      </c>
      <c r="K365">
        <v>5</v>
      </c>
      <c r="L365">
        <v>3</v>
      </c>
      <c r="Q365" t="s">
        <v>552</v>
      </c>
      <c r="R365" t="str">
        <f t="shared" si="122"/>
        <v/>
      </c>
      <c r="S365">
        <f t="shared" si="124"/>
        <v>0.39482432432432457</v>
      </c>
      <c r="V365" t="s">
        <v>186</v>
      </c>
      <c r="Y365">
        <v>2012</v>
      </c>
      <c r="Z365">
        <f>2025-AVERAGE($Y$292:$Y$488)</f>
        <v>10.796954314720779</v>
      </c>
      <c r="AE365">
        <v>0</v>
      </c>
      <c r="AF365" t="s">
        <v>186</v>
      </c>
      <c r="AG365">
        <v>1</v>
      </c>
      <c r="AI365">
        <f t="shared" si="125"/>
        <v>1.9086294416243654</v>
      </c>
      <c r="AK365" t="s">
        <v>1143</v>
      </c>
      <c r="AL365">
        <v>49</v>
      </c>
      <c r="AM365" t="s">
        <v>325</v>
      </c>
      <c r="AN365" t="s">
        <v>356</v>
      </c>
      <c r="AO365">
        <v>0.21199999999999999</v>
      </c>
    </row>
    <row r="366" spans="1:41">
      <c r="A366">
        <v>11</v>
      </c>
      <c r="B366" t="s">
        <v>357</v>
      </c>
      <c r="C366" t="s">
        <v>355</v>
      </c>
      <c r="D366" s="3">
        <f t="shared" si="121"/>
        <v>5.0761421319796955</v>
      </c>
      <c r="F366">
        <v>2021</v>
      </c>
      <c r="G366">
        <f t="shared" si="120"/>
        <v>4</v>
      </c>
      <c r="J366">
        <f t="shared" si="123"/>
        <v>197</v>
      </c>
      <c r="K366">
        <v>5</v>
      </c>
      <c r="L366">
        <v>3</v>
      </c>
      <c r="Q366" t="s">
        <v>554</v>
      </c>
      <c r="R366">
        <f t="shared" si="122"/>
        <v>0.31900000000000001</v>
      </c>
      <c r="S366">
        <f t="shared" si="124"/>
        <v>0.39482432432432457</v>
      </c>
      <c r="T366" t="s">
        <v>558</v>
      </c>
      <c r="V366" t="s">
        <v>186</v>
      </c>
      <c r="Y366">
        <v>2014</v>
      </c>
      <c r="Z366">
        <f>2025-AVERAGE($Y$292:$Y$488)</f>
        <v>10.796954314720779</v>
      </c>
      <c r="AE366">
        <v>0</v>
      </c>
      <c r="AF366" t="s">
        <v>186</v>
      </c>
      <c r="AG366">
        <v>1</v>
      </c>
      <c r="AI366">
        <f t="shared" si="125"/>
        <v>1.9086294416243654</v>
      </c>
      <c r="AK366" t="s">
        <v>1143</v>
      </c>
      <c r="AL366">
        <v>49</v>
      </c>
      <c r="AM366" t="s">
        <v>325</v>
      </c>
      <c r="AN366" t="s">
        <v>356</v>
      </c>
      <c r="AO366">
        <v>0.21199999999999999</v>
      </c>
    </row>
    <row r="367" spans="1:41">
      <c r="A367">
        <v>11</v>
      </c>
      <c r="B367" t="s">
        <v>357</v>
      </c>
      <c r="C367" t="s">
        <v>355</v>
      </c>
      <c r="D367" s="3">
        <f t="shared" si="121"/>
        <v>5.0761421319796955</v>
      </c>
      <c r="F367">
        <v>2021</v>
      </c>
      <c r="G367">
        <f t="shared" si="120"/>
        <v>4</v>
      </c>
      <c r="J367">
        <f t="shared" si="123"/>
        <v>197</v>
      </c>
      <c r="K367">
        <v>5</v>
      </c>
      <c r="L367">
        <v>3</v>
      </c>
      <c r="Q367" t="s">
        <v>552</v>
      </c>
      <c r="R367" t="str">
        <f t="shared" si="122"/>
        <v/>
      </c>
      <c r="S367">
        <f t="shared" si="124"/>
        <v>0.39482432432432457</v>
      </c>
      <c r="T367" t="s">
        <v>558</v>
      </c>
      <c r="V367" t="s">
        <v>186</v>
      </c>
      <c r="Y367">
        <v>2015</v>
      </c>
      <c r="Z367">
        <f>2025-AVERAGE($Y$292:$Y$488)</f>
        <v>10.796954314720779</v>
      </c>
      <c r="AE367">
        <v>0</v>
      </c>
      <c r="AF367" t="s">
        <v>186</v>
      </c>
      <c r="AG367">
        <v>2</v>
      </c>
      <c r="AI367">
        <f t="shared" si="125"/>
        <v>1.9086294416243654</v>
      </c>
      <c r="AK367" t="s">
        <v>1143</v>
      </c>
      <c r="AL367">
        <v>49</v>
      </c>
      <c r="AM367" t="s">
        <v>325</v>
      </c>
      <c r="AN367" t="s">
        <v>356</v>
      </c>
      <c r="AO367">
        <v>0.21199999999999999</v>
      </c>
    </row>
    <row r="368" spans="1:41">
      <c r="A368">
        <v>11</v>
      </c>
      <c r="B368" t="s">
        <v>357</v>
      </c>
      <c r="C368" t="s">
        <v>355</v>
      </c>
      <c r="D368" s="3">
        <f t="shared" si="121"/>
        <v>5.0761421319796955</v>
      </c>
      <c r="F368">
        <v>2021</v>
      </c>
      <c r="G368">
        <f t="shared" si="120"/>
        <v>4</v>
      </c>
      <c r="J368">
        <f t="shared" si="123"/>
        <v>197</v>
      </c>
      <c r="K368">
        <v>5</v>
      </c>
      <c r="L368">
        <v>3</v>
      </c>
      <c r="Q368" t="s">
        <v>554</v>
      </c>
      <c r="R368">
        <f t="shared" si="122"/>
        <v>0.35799999999999998</v>
      </c>
      <c r="S368">
        <f t="shared" si="124"/>
        <v>0.39482432432432457</v>
      </c>
      <c r="V368" t="s">
        <v>186</v>
      </c>
      <c r="Y368">
        <v>2012</v>
      </c>
      <c r="Z368">
        <f>2025-AVERAGE($Y$292:$Y$488)</f>
        <v>10.796954314720779</v>
      </c>
      <c r="AE368">
        <v>0</v>
      </c>
      <c r="AF368" t="s">
        <v>186</v>
      </c>
      <c r="AG368">
        <v>6</v>
      </c>
      <c r="AI368">
        <f t="shared" si="125"/>
        <v>1.9086294416243654</v>
      </c>
      <c r="AK368" t="s">
        <v>1143</v>
      </c>
      <c r="AL368">
        <v>49</v>
      </c>
      <c r="AM368" t="s">
        <v>325</v>
      </c>
      <c r="AN368" t="s">
        <v>356</v>
      </c>
      <c r="AO368">
        <v>0.21199999999999999</v>
      </c>
    </row>
    <row r="369" spans="1:41">
      <c r="A369">
        <v>11</v>
      </c>
      <c r="B369" t="s">
        <v>357</v>
      </c>
      <c r="C369" t="s">
        <v>355</v>
      </c>
      <c r="D369" s="3">
        <f t="shared" si="121"/>
        <v>5.0761421319796955</v>
      </c>
      <c r="F369">
        <v>2021</v>
      </c>
      <c r="G369">
        <f t="shared" si="120"/>
        <v>4</v>
      </c>
      <c r="J369">
        <f t="shared" si="123"/>
        <v>197</v>
      </c>
      <c r="K369">
        <v>5</v>
      </c>
      <c r="L369">
        <v>3</v>
      </c>
      <c r="Q369" t="s">
        <v>553</v>
      </c>
      <c r="R369" t="str">
        <f t="shared" si="122"/>
        <v/>
      </c>
      <c r="S369">
        <f t="shared" si="124"/>
        <v>0.39482432432432457</v>
      </c>
      <c r="V369" t="s">
        <v>186</v>
      </c>
      <c r="Y369">
        <v>2012</v>
      </c>
      <c r="Z369">
        <f>2025-AVERAGE($Y$292:$Y$488)</f>
        <v>10.796954314720779</v>
      </c>
      <c r="AE369">
        <v>0</v>
      </c>
      <c r="AF369" t="s">
        <v>186</v>
      </c>
      <c r="AG369">
        <v>2</v>
      </c>
      <c r="AI369">
        <f t="shared" si="125"/>
        <v>1.9086294416243654</v>
      </c>
      <c r="AK369" t="s">
        <v>1143</v>
      </c>
      <c r="AL369">
        <v>49</v>
      </c>
      <c r="AM369" t="s">
        <v>325</v>
      </c>
      <c r="AN369" t="s">
        <v>356</v>
      </c>
      <c r="AO369">
        <v>0.21199999999999999</v>
      </c>
    </row>
    <row r="370" spans="1:41">
      <c r="A370">
        <v>11</v>
      </c>
      <c r="B370" t="s">
        <v>357</v>
      </c>
      <c r="C370" t="s">
        <v>355</v>
      </c>
      <c r="D370" s="3">
        <f t="shared" si="121"/>
        <v>5.0761421319796955</v>
      </c>
      <c r="F370">
        <v>2021</v>
      </c>
      <c r="G370">
        <f t="shared" si="120"/>
        <v>4</v>
      </c>
      <c r="J370">
        <f t="shared" si="123"/>
        <v>197</v>
      </c>
      <c r="K370">
        <v>5</v>
      </c>
      <c r="L370">
        <v>3</v>
      </c>
      <c r="Q370" t="s">
        <v>556</v>
      </c>
      <c r="R370">
        <f t="shared" si="122"/>
        <v>0.153</v>
      </c>
      <c r="S370">
        <f t="shared" si="124"/>
        <v>0.39482432432432457</v>
      </c>
      <c r="V370" t="s">
        <v>186</v>
      </c>
      <c r="Y370">
        <v>2015</v>
      </c>
      <c r="Z370">
        <f>2025-AVERAGE($Y$292:$Y$488)</f>
        <v>10.796954314720779</v>
      </c>
      <c r="AE370">
        <v>0</v>
      </c>
      <c r="AF370" t="s">
        <v>186</v>
      </c>
      <c r="AG370">
        <v>1</v>
      </c>
      <c r="AI370">
        <f t="shared" si="125"/>
        <v>1.9086294416243654</v>
      </c>
      <c r="AK370" t="s">
        <v>1143</v>
      </c>
      <c r="AL370">
        <v>49</v>
      </c>
      <c r="AM370" t="s">
        <v>325</v>
      </c>
      <c r="AN370" t="s">
        <v>356</v>
      </c>
      <c r="AO370">
        <v>0.21199999999999999</v>
      </c>
    </row>
    <row r="371" spans="1:41">
      <c r="A371">
        <v>11</v>
      </c>
      <c r="B371" t="s">
        <v>357</v>
      </c>
      <c r="C371" t="s">
        <v>355</v>
      </c>
      <c r="D371" s="3">
        <f t="shared" si="121"/>
        <v>5.0761421319796955</v>
      </c>
      <c r="F371">
        <v>2021</v>
      </c>
      <c r="G371">
        <f t="shared" si="120"/>
        <v>4</v>
      </c>
      <c r="J371">
        <f t="shared" si="123"/>
        <v>197</v>
      </c>
      <c r="K371">
        <v>5</v>
      </c>
      <c r="L371">
        <v>3</v>
      </c>
      <c r="Q371" t="s">
        <v>553</v>
      </c>
      <c r="R371" t="str">
        <f t="shared" si="122"/>
        <v/>
      </c>
      <c r="S371">
        <f t="shared" si="124"/>
        <v>0.39482432432432457</v>
      </c>
      <c r="V371" t="s">
        <v>186</v>
      </c>
      <c r="Y371">
        <v>2015</v>
      </c>
      <c r="Z371">
        <f>2025-AVERAGE($Y$292:$Y$488)</f>
        <v>10.796954314720779</v>
      </c>
      <c r="AE371">
        <v>0</v>
      </c>
      <c r="AF371" t="s">
        <v>186</v>
      </c>
      <c r="AG371">
        <v>2</v>
      </c>
      <c r="AI371">
        <f t="shared" si="125"/>
        <v>1.9086294416243654</v>
      </c>
      <c r="AK371" t="s">
        <v>1143</v>
      </c>
      <c r="AL371">
        <v>49</v>
      </c>
      <c r="AM371" t="s">
        <v>325</v>
      </c>
      <c r="AN371" t="s">
        <v>356</v>
      </c>
      <c r="AO371">
        <v>0.21199999999999999</v>
      </c>
    </row>
    <row r="372" spans="1:41">
      <c r="A372">
        <v>11</v>
      </c>
      <c r="B372" t="s">
        <v>357</v>
      </c>
      <c r="C372" t="s">
        <v>355</v>
      </c>
      <c r="D372" s="3">
        <f t="shared" si="121"/>
        <v>5.0761421319796955</v>
      </c>
      <c r="F372">
        <v>2021</v>
      </c>
      <c r="G372">
        <f t="shared" si="120"/>
        <v>4</v>
      </c>
      <c r="J372">
        <f t="shared" si="123"/>
        <v>197</v>
      </c>
      <c r="K372">
        <v>5</v>
      </c>
      <c r="L372">
        <v>3</v>
      </c>
      <c r="Q372" t="s">
        <v>555</v>
      </c>
      <c r="R372">
        <f t="shared" si="122"/>
        <v>0.51800000000000002</v>
      </c>
      <c r="S372">
        <f t="shared" si="124"/>
        <v>0.39482432432432457</v>
      </c>
      <c r="T372" t="s">
        <v>559</v>
      </c>
      <c r="V372" t="s">
        <v>186</v>
      </c>
      <c r="Y372">
        <v>2015</v>
      </c>
      <c r="Z372">
        <f>2025-AVERAGE($Y$292:$Y$488)</f>
        <v>10.796954314720779</v>
      </c>
      <c r="AE372">
        <v>0</v>
      </c>
      <c r="AF372" t="s">
        <v>186</v>
      </c>
      <c r="AG372">
        <v>2</v>
      </c>
      <c r="AI372">
        <f t="shared" si="125"/>
        <v>1.9086294416243654</v>
      </c>
      <c r="AK372" t="s">
        <v>1143</v>
      </c>
      <c r="AL372">
        <v>49</v>
      </c>
      <c r="AM372" t="s">
        <v>325</v>
      </c>
      <c r="AN372" t="s">
        <v>356</v>
      </c>
      <c r="AO372">
        <v>0.21199999999999999</v>
      </c>
    </row>
    <row r="373" spans="1:41">
      <c r="A373">
        <v>11</v>
      </c>
      <c r="B373" t="s">
        <v>357</v>
      </c>
      <c r="C373" t="s">
        <v>355</v>
      </c>
      <c r="D373" s="3">
        <f t="shared" si="121"/>
        <v>5.0761421319796955</v>
      </c>
      <c r="F373">
        <v>2021</v>
      </c>
      <c r="G373">
        <f t="shared" si="120"/>
        <v>4</v>
      </c>
      <c r="J373">
        <f t="shared" si="123"/>
        <v>197</v>
      </c>
      <c r="K373">
        <v>5</v>
      </c>
      <c r="L373">
        <v>3</v>
      </c>
      <c r="Q373" t="s">
        <v>555</v>
      </c>
      <c r="R373">
        <f t="shared" si="122"/>
        <v>0.73199999999999998</v>
      </c>
      <c r="S373">
        <f t="shared" si="124"/>
        <v>0.39482432432432457</v>
      </c>
      <c r="V373" t="s">
        <v>186</v>
      </c>
      <c r="Y373">
        <v>2012</v>
      </c>
      <c r="Z373">
        <f>2025-AVERAGE($Y$292:$Y$488)</f>
        <v>10.796954314720779</v>
      </c>
      <c r="AE373">
        <v>0</v>
      </c>
      <c r="AF373" t="s">
        <v>186</v>
      </c>
      <c r="AG373">
        <v>1</v>
      </c>
      <c r="AI373">
        <f t="shared" si="125"/>
        <v>1.9086294416243654</v>
      </c>
      <c r="AK373" t="s">
        <v>1143</v>
      </c>
      <c r="AL373">
        <v>49</v>
      </c>
      <c r="AM373" t="s">
        <v>325</v>
      </c>
      <c r="AN373" t="s">
        <v>356</v>
      </c>
      <c r="AO373">
        <v>0.21199999999999999</v>
      </c>
    </row>
    <row r="374" spans="1:41">
      <c r="A374">
        <v>11</v>
      </c>
      <c r="B374" t="s">
        <v>357</v>
      </c>
      <c r="C374" t="s">
        <v>355</v>
      </c>
      <c r="D374" s="3">
        <f t="shared" si="121"/>
        <v>5.0761421319796955</v>
      </c>
      <c r="F374">
        <v>2021</v>
      </c>
      <c r="G374">
        <f t="shared" si="120"/>
        <v>4</v>
      </c>
      <c r="J374">
        <f t="shared" si="123"/>
        <v>197</v>
      </c>
      <c r="K374">
        <v>5</v>
      </c>
      <c r="L374">
        <v>3</v>
      </c>
      <c r="Q374" t="s">
        <v>556</v>
      </c>
      <c r="R374">
        <f t="shared" si="122"/>
        <v>0.27900000000000003</v>
      </c>
      <c r="S374">
        <f t="shared" si="124"/>
        <v>0.39482432432432457</v>
      </c>
      <c r="V374" t="s">
        <v>186</v>
      </c>
      <c r="Y374">
        <v>2013</v>
      </c>
      <c r="Z374">
        <f>2025-AVERAGE($Y$292:$Y$488)</f>
        <v>10.796954314720779</v>
      </c>
      <c r="AE374">
        <v>0</v>
      </c>
      <c r="AF374" t="s">
        <v>186</v>
      </c>
      <c r="AG374">
        <v>2</v>
      </c>
      <c r="AI374">
        <f t="shared" si="125"/>
        <v>1.9086294416243654</v>
      </c>
      <c r="AK374" t="s">
        <v>1143</v>
      </c>
      <c r="AL374">
        <v>49</v>
      </c>
      <c r="AM374" t="s">
        <v>325</v>
      </c>
      <c r="AN374" t="s">
        <v>356</v>
      </c>
      <c r="AO374">
        <v>0.21199999999999999</v>
      </c>
    </row>
    <row r="375" spans="1:41">
      <c r="A375">
        <v>11</v>
      </c>
      <c r="B375" t="s">
        <v>357</v>
      </c>
      <c r="C375" t="s">
        <v>355</v>
      </c>
      <c r="D375" s="3">
        <f t="shared" si="121"/>
        <v>5.0761421319796955</v>
      </c>
      <c r="F375">
        <v>2021</v>
      </c>
      <c r="G375">
        <f t="shared" si="120"/>
        <v>4</v>
      </c>
      <c r="J375">
        <f t="shared" si="123"/>
        <v>197</v>
      </c>
      <c r="K375">
        <v>5</v>
      </c>
      <c r="L375">
        <v>3</v>
      </c>
      <c r="Q375" t="s">
        <v>555</v>
      </c>
      <c r="R375">
        <f t="shared" si="122"/>
        <v>0.73199999999999998</v>
      </c>
      <c r="S375">
        <f t="shared" si="124"/>
        <v>0.39482432432432457</v>
      </c>
      <c r="V375" t="s">
        <v>186</v>
      </c>
      <c r="Y375">
        <v>2012</v>
      </c>
      <c r="Z375">
        <f>2025-AVERAGE($Y$292:$Y$488)</f>
        <v>10.796954314720779</v>
      </c>
      <c r="AE375">
        <v>0</v>
      </c>
      <c r="AF375" t="s">
        <v>186</v>
      </c>
      <c r="AG375">
        <v>2</v>
      </c>
      <c r="AI375">
        <f t="shared" si="125"/>
        <v>1.9086294416243654</v>
      </c>
      <c r="AK375" t="s">
        <v>1143</v>
      </c>
      <c r="AL375">
        <v>49</v>
      </c>
      <c r="AM375" t="s">
        <v>325</v>
      </c>
      <c r="AN375" t="s">
        <v>356</v>
      </c>
      <c r="AO375">
        <v>0.21199999999999999</v>
      </c>
    </row>
    <row r="376" spans="1:41">
      <c r="A376">
        <v>11</v>
      </c>
      <c r="B376" t="s">
        <v>357</v>
      </c>
      <c r="C376" t="s">
        <v>355</v>
      </c>
      <c r="D376" s="3">
        <f t="shared" si="121"/>
        <v>5.0761421319796955</v>
      </c>
      <c r="F376">
        <v>2021</v>
      </c>
      <c r="G376">
        <f t="shared" si="120"/>
        <v>4</v>
      </c>
      <c r="J376">
        <f t="shared" si="123"/>
        <v>197</v>
      </c>
      <c r="K376">
        <v>5</v>
      </c>
      <c r="L376">
        <v>3</v>
      </c>
      <c r="Q376" t="s">
        <v>555</v>
      </c>
      <c r="R376">
        <f t="shared" si="122"/>
        <v>0.34100000000000003</v>
      </c>
      <c r="S376">
        <f t="shared" si="124"/>
        <v>0.39482432432432457</v>
      </c>
      <c r="V376" t="s">
        <v>186</v>
      </c>
      <c r="Y376">
        <v>2014</v>
      </c>
      <c r="Z376">
        <f>2025-AVERAGE($Y$292:$Y$488)</f>
        <v>10.796954314720779</v>
      </c>
      <c r="AE376">
        <v>0</v>
      </c>
      <c r="AF376" t="s">
        <v>186</v>
      </c>
      <c r="AG376">
        <v>2</v>
      </c>
      <c r="AI376">
        <f t="shared" si="125"/>
        <v>1.9086294416243654</v>
      </c>
      <c r="AK376" t="s">
        <v>1143</v>
      </c>
      <c r="AL376">
        <v>49</v>
      </c>
      <c r="AM376" t="s">
        <v>325</v>
      </c>
      <c r="AN376" t="s">
        <v>356</v>
      </c>
      <c r="AO376">
        <v>0.21199999999999999</v>
      </c>
    </row>
    <row r="377" spans="1:41">
      <c r="A377">
        <v>11</v>
      </c>
      <c r="B377" t="s">
        <v>357</v>
      </c>
      <c r="C377" t="s">
        <v>355</v>
      </c>
      <c r="D377" s="3">
        <f t="shared" si="121"/>
        <v>5.0761421319796955</v>
      </c>
      <c r="F377">
        <v>2021</v>
      </c>
      <c r="G377">
        <f t="shared" si="120"/>
        <v>4</v>
      </c>
      <c r="J377">
        <f t="shared" si="123"/>
        <v>197</v>
      </c>
      <c r="K377">
        <v>5</v>
      </c>
      <c r="L377">
        <v>3</v>
      </c>
      <c r="Q377" t="s">
        <v>555</v>
      </c>
      <c r="R377">
        <f t="shared" si="122"/>
        <v>0.34100000000000003</v>
      </c>
      <c r="S377">
        <f t="shared" si="124"/>
        <v>0.39482432432432457</v>
      </c>
      <c r="V377" t="s">
        <v>186</v>
      </c>
      <c r="Y377">
        <v>2014</v>
      </c>
      <c r="Z377">
        <f>2025-AVERAGE($Y$292:$Y$488)</f>
        <v>10.796954314720779</v>
      </c>
      <c r="AE377">
        <v>0</v>
      </c>
      <c r="AF377" t="s">
        <v>186</v>
      </c>
      <c r="AG377">
        <v>1</v>
      </c>
      <c r="AI377">
        <f t="shared" si="125"/>
        <v>1.9086294416243654</v>
      </c>
      <c r="AK377" t="s">
        <v>1143</v>
      </c>
      <c r="AL377">
        <v>49</v>
      </c>
      <c r="AM377" t="s">
        <v>325</v>
      </c>
      <c r="AN377" t="s">
        <v>356</v>
      </c>
      <c r="AO377">
        <v>0.21199999999999999</v>
      </c>
    </row>
    <row r="378" spans="1:41">
      <c r="A378">
        <v>11</v>
      </c>
      <c r="B378" t="s">
        <v>357</v>
      </c>
      <c r="C378" t="s">
        <v>355</v>
      </c>
      <c r="D378" s="3">
        <f t="shared" si="121"/>
        <v>5.0761421319796955</v>
      </c>
      <c r="F378">
        <v>2021</v>
      </c>
      <c r="G378">
        <f t="shared" si="120"/>
        <v>4</v>
      </c>
      <c r="J378">
        <f t="shared" si="123"/>
        <v>197</v>
      </c>
      <c r="K378">
        <v>5</v>
      </c>
      <c r="L378">
        <v>3</v>
      </c>
      <c r="Q378" t="s">
        <v>554</v>
      </c>
      <c r="R378">
        <f t="shared" si="122"/>
        <v>0.36899999999999999</v>
      </c>
      <c r="S378">
        <f t="shared" si="124"/>
        <v>0.39482432432432457</v>
      </c>
      <c r="V378" t="s">
        <v>186</v>
      </c>
      <c r="Y378">
        <v>2016</v>
      </c>
      <c r="Z378">
        <f>2025-AVERAGE($Y$292:$Y$488)</f>
        <v>10.796954314720779</v>
      </c>
      <c r="AE378">
        <v>0</v>
      </c>
      <c r="AF378" t="s">
        <v>186</v>
      </c>
      <c r="AG378">
        <v>5</v>
      </c>
      <c r="AI378">
        <f t="shared" si="125"/>
        <v>1.9086294416243654</v>
      </c>
      <c r="AK378" t="s">
        <v>1143</v>
      </c>
      <c r="AL378">
        <v>49</v>
      </c>
      <c r="AM378" t="s">
        <v>325</v>
      </c>
      <c r="AN378" t="s">
        <v>356</v>
      </c>
      <c r="AO378">
        <v>0.21199999999999999</v>
      </c>
    </row>
    <row r="379" spans="1:41">
      <c r="A379">
        <v>11</v>
      </c>
      <c r="B379" t="s">
        <v>357</v>
      </c>
      <c r="C379" t="s">
        <v>355</v>
      </c>
      <c r="D379" s="3">
        <f t="shared" si="121"/>
        <v>5.0761421319796955</v>
      </c>
      <c r="F379">
        <v>2021</v>
      </c>
      <c r="G379">
        <f t="shared" si="120"/>
        <v>4</v>
      </c>
      <c r="J379">
        <f t="shared" si="123"/>
        <v>197</v>
      </c>
      <c r="K379">
        <v>5</v>
      </c>
      <c r="L379">
        <v>3</v>
      </c>
      <c r="Q379" t="s">
        <v>554</v>
      </c>
      <c r="R379">
        <f t="shared" si="122"/>
        <v>0.31900000000000001</v>
      </c>
      <c r="S379">
        <f t="shared" si="124"/>
        <v>0.39482432432432457</v>
      </c>
      <c r="V379" t="s">
        <v>186</v>
      </c>
      <c r="Y379">
        <v>2014</v>
      </c>
      <c r="Z379">
        <f>2025-AVERAGE($Y$292:$Y$488)</f>
        <v>10.796954314720779</v>
      </c>
      <c r="AE379">
        <v>0</v>
      </c>
      <c r="AF379" t="s">
        <v>186</v>
      </c>
      <c r="AG379">
        <v>1</v>
      </c>
      <c r="AI379">
        <f t="shared" si="125"/>
        <v>1.9086294416243654</v>
      </c>
      <c r="AK379" t="s">
        <v>1143</v>
      </c>
      <c r="AL379">
        <v>49</v>
      </c>
      <c r="AM379" t="s">
        <v>325</v>
      </c>
      <c r="AN379" t="s">
        <v>356</v>
      </c>
      <c r="AO379">
        <v>0.21199999999999999</v>
      </c>
    </row>
    <row r="380" spans="1:41">
      <c r="A380">
        <v>11</v>
      </c>
      <c r="B380" t="s">
        <v>357</v>
      </c>
      <c r="C380" t="s">
        <v>355</v>
      </c>
      <c r="D380" s="3">
        <f t="shared" si="121"/>
        <v>5.0761421319796955</v>
      </c>
      <c r="F380">
        <v>2021</v>
      </c>
      <c r="G380">
        <f t="shared" si="120"/>
        <v>4</v>
      </c>
      <c r="J380">
        <f t="shared" si="123"/>
        <v>197</v>
      </c>
      <c r="K380">
        <v>5</v>
      </c>
      <c r="L380">
        <v>3</v>
      </c>
      <c r="Q380" t="s">
        <v>555</v>
      </c>
      <c r="R380">
        <f t="shared" si="122"/>
        <v>0.51800000000000002</v>
      </c>
      <c r="S380">
        <f t="shared" si="124"/>
        <v>0.39482432432432457</v>
      </c>
      <c r="V380" t="s">
        <v>186</v>
      </c>
      <c r="Y380">
        <v>2015</v>
      </c>
      <c r="Z380">
        <f>2025-AVERAGE($Y$292:$Y$488)</f>
        <v>10.796954314720779</v>
      </c>
      <c r="AE380">
        <v>0</v>
      </c>
      <c r="AF380" t="s">
        <v>186</v>
      </c>
      <c r="AG380">
        <v>1</v>
      </c>
      <c r="AI380">
        <f t="shared" si="125"/>
        <v>1.9086294416243654</v>
      </c>
      <c r="AK380" t="s">
        <v>1143</v>
      </c>
      <c r="AL380">
        <v>49</v>
      </c>
      <c r="AM380" t="s">
        <v>325</v>
      </c>
      <c r="AN380" t="s">
        <v>356</v>
      </c>
      <c r="AO380">
        <v>0.21199999999999999</v>
      </c>
    </row>
    <row r="381" spans="1:41">
      <c r="A381">
        <v>11</v>
      </c>
      <c r="B381" t="s">
        <v>357</v>
      </c>
      <c r="C381" t="s">
        <v>355</v>
      </c>
      <c r="D381" s="3">
        <f t="shared" si="121"/>
        <v>5.0761421319796955</v>
      </c>
      <c r="F381">
        <v>2021</v>
      </c>
      <c r="G381">
        <f t="shared" si="120"/>
        <v>4</v>
      </c>
      <c r="J381">
        <f t="shared" si="123"/>
        <v>197</v>
      </c>
      <c r="K381">
        <v>5</v>
      </c>
      <c r="L381">
        <v>3</v>
      </c>
      <c r="Q381" t="s">
        <v>555</v>
      </c>
      <c r="R381">
        <f t="shared" si="122"/>
        <v>0.46899999999999997</v>
      </c>
      <c r="S381">
        <f t="shared" si="124"/>
        <v>0.39482432432432457</v>
      </c>
      <c r="V381" t="s">
        <v>186</v>
      </c>
      <c r="Y381">
        <v>2013</v>
      </c>
      <c r="Z381">
        <f>2025-AVERAGE($Y$292:$Y$488)</f>
        <v>10.796954314720779</v>
      </c>
      <c r="AE381">
        <v>0</v>
      </c>
      <c r="AF381" t="s">
        <v>186</v>
      </c>
      <c r="AG381">
        <v>4</v>
      </c>
      <c r="AI381">
        <f t="shared" si="125"/>
        <v>1.9086294416243654</v>
      </c>
      <c r="AK381" t="s">
        <v>1143</v>
      </c>
      <c r="AL381">
        <v>49</v>
      </c>
      <c r="AM381" t="s">
        <v>325</v>
      </c>
      <c r="AN381" t="s">
        <v>356</v>
      </c>
      <c r="AO381">
        <v>0.21199999999999999</v>
      </c>
    </row>
    <row r="382" spans="1:41">
      <c r="A382">
        <v>11</v>
      </c>
      <c r="B382" t="s">
        <v>357</v>
      </c>
      <c r="C382" t="s">
        <v>355</v>
      </c>
      <c r="D382" s="3">
        <f t="shared" si="121"/>
        <v>5.0761421319796955</v>
      </c>
      <c r="F382">
        <v>2021</v>
      </c>
      <c r="G382">
        <f t="shared" si="120"/>
        <v>4</v>
      </c>
      <c r="J382">
        <f t="shared" si="123"/>
        <v>197</v>
      </c>
      <c r="K382">
        <v>5</v>
      </c>
      <c r="L382">
        <v>3</v>
      </c>
      <c r="Q382" t="s">
        <v>555</v>
      </c>
      <c r="R382">
        <f t="shared" si="122"/>
        <v>0.51800000000000002</v>
      </c>
      <c r="S382">
        <f t="shared" si="124"/>
        <v>0.39482432432432457</v>
      </c>
      <c r="V382" t="s">
        <v>186</v>
      </c>
      <c r="Y382">
        <v>2015</v>
      </c>
      <c r="Z382">
        <f>2025-AVERAGE($Y$292:$Y$488)</f>
        <v>10.796954314720779</v>
      </c>
      <c r="AE382">
        <v>0</v>
      </c>
      <c r="AF382" t="s">
        <v>186</v>
      </c>
      <c r="AG382">
        <v>1</v>
      </c>
      <c r="AI382">
        <f t="shared" si="125"/>
        <v>1.9086294416243654</v>
      </c>
      <c r="AK382" t="s">
        <v>1143</v>
      </c>
      <c r="AL382">
        <v>49</v>
      </c>
      <c r="AM382" t="s">
        <v>325</v>
      </c>
      <c r="AN382" t="s">
        <v>356</v>
      </c>
      <c r="AO382">
        <v>0.21199999999999999</v>
      </c>
    </row>
    <row r="383" spans="1:41">
      <c r="A383">
        <v>11</v>
      </c>
      <c r="B383" t="s">
        <v>357</v>
      </c>
      <c r="C383" t="s">
        <v>355</v>
      </c>
      <c r="D383" s="3">
        <f t="shared" si="121"/>
        <v>5.0761421319796955</v>
      </c>
      <c r="F383">
        <v>2021</v>
      </c>
      <c r="G383">
        <f t="shared" si="120"/>
        <v>4</v>
      </c>
      <c r="J383">
        <f t="shared" si="123"/>
        <v>197</v>
      </c>
      <c r="K383">
        <v>5</v>
      </c>
      <c r="L383">
        <v>3</v>
      </c>
      <c r="Q383" t="s">
        <v>554</v>
      </c>
      <c r="R383">
        <f t="shared" si="122"/>
        <v>0.27300000000000002</v>
      </c>
      <c r="S383">
        <f t="shared" si="124"/>
        <v>0.39482432432432457</v>
      </c>
      <c r="V383" t="s">
        <v>186</v>
      </c>
      <c r="Y383">
        <v>2015</v>
      </c>
      <c r="Z383">
        <f>2025-AVERAGE($Y$292:$Y$488)</f>
        <v>10.796954314720779</v>
      </c>
      <c r="AE383">
        <v>0</v>
      </c>
      <c r="AF383" t="s">
        <v>186</v>
      </c>
      <c r="AG383">
        <v>3</v>
      </c>
      <c r="AI383">
        <f t="shared" si="125"/>
        <v>1.9086294416243654</v>
      </c>
      <c r="AK383" t="s">
        <v>1143</v>
      </c>
      <c r="AL383">
        <v>49</v>
      </c>
      <c r="AM383" t="s">
        <v>325</v>
      </c>
      <c r="AN383" t="s">
        <v>356</v>
      </c>
      <c r="AO383">
        <v>0.21199999999999999</v>
      </c>
    </row>
    <row r="384" spans="1:41">
      <c r="A384">
        <v>11</v>
      </c>
      <c r="B384" t="s">
        <v>357</v>
      </c>
      <c r="C384" t="s">
        <v>355</v>
      </c>
      <c r="D384" s="3">
        <f t="shared" si="121"/>
        <v>5.0761421319796955</v>
      </c>
      <c r="F384">
        <v>2021</v>
      </c>
      <c r="G384">
        <f t="shared" si="120"/>
        <v>4</v>
      </c>
      <c r="J384">
        <f t="shared" si="123"/>
        <v>197</v>
      </c>
      <c r="K384">
        <v>5</v>
      </c>
      <c r="L384">
        <v>3</v>
      </c>
      <c r="Q384" t="s">
        <v>554</v>
      </c>
      <c r="R384">
        <f t="shared" si="122"/>
        <v>0.36899999999999999</v>
      </c>
      <c r="S384">
        <f t="shared" si="124"/>
        <v>0.39482432432432457</v>
      </c>
      <c r="T384" t="s">
        <v>558</v>
      </c>
      <c r="V384" t="s">
        <v>186</v>
      </c>
      <c r="Y384">
        <v>2016</v>
      </c>
      <c r="Z384">
        <f>2025-AVERAGE($Y$292:$Y$488)</f>
        <v>10.796954314720779</v>
      </c>
      <c r="AE384">
        <v>0</v>
      </c>
      <c r="AF384" t="s">
        <v>186</v>
      </c>
      <c r="AG384">
        <v>2</v>
      </c>
      <c r="AI384">
        <f t="shared" si="125"/>
        <v>1.9086294416243654</v>
      </c>
      <c r="AK384" t="s">
        <v>1143</v>
      </c>
      <c r="AL384">
        <v>49</v>
      </c>
      <c r="AM384" t="s">
        <v>325</v>
      </c>
      <c r="AN384" t="s">
        <v>356</v>
      </c>
      <c r="AO384">
        <v>0.21199999999999999</v>
      </c>
    </row>
    <row r="385" spans="1:41">
      <c r="A385">
        <v>11</v>
      </c>
      <c r="B385" t="s">
        <v>357</v>
      </c>
      <c r="C385" t="s">
        <v>355</v>
      </c>
      <c r="D385" s="3">
        <f t="shared" si="121"/>
        <v>5.0761421319796955</v>
      </c>
      <c r="F385">
        <v>2021</v>
      </c>
      <c r="G385">
        <f t="shared" si="120"/>
        <v>4</v>
      </c>
      <c r="J385">
        <f t="shared" si="123"/>
        <v>197</v>
      </c>
      <c r="K385">
        <v>5</v>
      </c>
      <c r="L385">
        <v>3</v>
      </c>
      <c r="Q385" t="s">
        <v>554</v>
      </c>
      <c r="R385">
        <f t="shared" si="122"/>
        <v>0.27300000000000002</v>
      </c>
      <c r="S385">
        <f t="shared" si="124"/>
        <v>0.39482432432432457</v>
      </c>
      <c r="V385" t="s">
        <v>186</v>
      </c>
      <c r="Y385">
        <v>2015</v>
      </c>
      <c r="Z385">
        <f>2025-AVERAGE($Y$292:$Y$488)</f>
        <v>10.796954314720779</v>
      </c>
      <c r="AE385">
        <v>0</v>
      </c>
      <c r="AF385" t="s">
        <v>186</v>
      </c>
      <c r="AG385">
        <v>4</v>
      </c>
      <c r="AI385">
        <f t="shared" si="125"/>
        <v>1.9086294416243654</v>
      </c>
      <c r="AK385" t="s">
        <v>1143</v>
      </c>
      <c r="AL385">
        <v>49</v>
      </c>
      <c r="AM385" t="s">
        <v>325</v>
      </c>
      <c r="AN385" t="s">
        <v>356</v>
      </c>
      <c r="AO385">
        <v>0.21199999999999999</v>
      </c>
    </row>
    <row r="386" spans="1:41">
      <c r="A386">
        <v>11</v>
      </c>
      <c r="B386" t="s">
        <v>357</v>
      </c>
      <c r="C386" t="s">
        <v>355</v>
      </c>
      <c r="D386" s="3">
        <f t="shared" si="121"/>
        <v>5.0761421319796955</v>
      </c>
      <c r="F386">
        <v>2021</v>
      </c>
      <c r="G386">
        <f t="shared" si="120"/>
        <v>4</v>
      </c>
      <c r="J386">
        <f t="shared" si="123"/>
        <v>197</v>
      </c>
      <c r="K386">
        <v>5</v>
      </c>
      <c r="L386">
        <v>3</v>
      </c>
      <c r="Q386" t="s">
        <v>554</v>
      </c>
      <c r="R386">
        <f t="shared" si="122"/>
        <v>0.35799999999999998</v>
      </c>
      <c r="S386">
        <f t="shared" si="124"/>
        <v>0.39482432432432457</v>
      </c>
      <c r="V386" t="s">
        <v>186</v>
      </c>
      <c r="Y386">
        <v>2012</v>
      </c>
      <c r="Z386">
        <f>2025-AVERAGE($Y$292:$Y$488)</f>
        <v>10.796954314720779</v>
      </c>
      <c r="AE386">
        <v>0</v>
      </c>
      <c r="AF386" t="s">
        <v>186</v>
      </c>
      <c r="AG386">
        <v>2</v>
      </c>
      <c r="AI386">
        <f t="shared" si="125"/>
        <v>1.9086294416243654</v>
      </c>
      <c r="AK386" t="s">
        <v>1143</v>
      </c>
      <c r="AL386">
        <v>49</v>
      </c>
      <c r="AM386" t="s">
        <v>325</v>
      </c>
      <c r="AN386" t="s">
        <v>356</v>
      </c>
      <c r="AO386">
        <v>0.21199999999999999</v>
      </c>
    </row>
    <row r="387" spans="1:41">
      <c r="A387">
        <v>11</v>
      </c>
      <c r="B387" t="s">
        <v>357</v>
      </c>
      <c r="C387" t="s">
        <v>355</v>
      </c>
      <c r="D387" s="3">
        <f t="shared" si="121"/>
        <v>5.0761421319796955</v>
      </c>
      <c r="F387">
        <v>2021</v>
      </c>
      <c r="G387">
        <f t="shared" si="120"/>
        <v>4</v>
      </c>
      <c r="J387">
        <f t="shared" si="123"/>
        <v>197</v>
      </c>
      <c r="K387">
        <v>5</v>
      </c>
      <c r="L387">
        <v>3</v>
      </c>
      <c r="Q387" t="s">
        <v>552</v>
      </c>
      <c r="R387" t="str">
        <f t="shared" si="122"/>
        <v/>
      </c>
      <c r="S387">
        <f t="shared" si="124"/>
        <v>0.39482432432432457</v>
      </c>
      <c r="V387" t="s">
        <v>186</v>
      </c>
      <c r="Y387">
        <v>2014</v>
      </c>
      <c r="Z387">
        <f>2025-AVERAGE($Y$292:$Y$488)</f>
        <v>10.796954314720779</v>
      </c>
      <c r="AE387">
        <v>0</v>
      </c>
      <c r="AF387" t="s">
        <v>186</v>
      </c>
      <c r="AG387">
        <v>2</v>
      </c>
      <c r="AI387">
        <f t="shared" si="125"/>
        <v>1.9086294416243654</v>
      </c>
      <c r="AK387" t="s">
        <v>1143</v>
      </c>
      <c r="AL387">
        <v>49</v>
      </c>
      <c r="AM387" t="s">
        <v>325</v>
      </c>
      <c r="AN387" t="s">
        <v>356</v>
      </c>
      <c r="AO387">
        <v>0.21199999999999999</v>
      </c>
    </row>
    <row r="388" spans="1:41">
      <c r="A388">
        <v>11</v>
      </c>
      <c r="B388" t="s">
        <v>357</v>
      </c>
      <c r="C388" t="s">
        <v>355</v>
      </c>
      <c r="D388" s="3">
        <f t="shared" ref="D388:D419" si="126">100*(COUNTIF($T$292:$T$488,"Replicable")/$J$292)</f>
        <v>5.0761421319796955</v>
      </c>
      <c r="F388">
        <v>2021</v>
      </c>
      <c r="G388">
        <f t="shared" si="120"/>
        <v>4</v>
      </c>
      <c r="J388">
        <f t="shared" si="123"/>
        <v>197</v>
      </c>
      <c r="K388">
        <v>5</v>
      </c>
      <c r="L388">
        <v>3</v>
      </c>
      <c r="Q388" t="s">
        <v>554</v>
      </c>
      <c r="R388">
        <f t="shared" ref="R388:R419" si="127">IF(AND(Q388="Dados", Y388=2012), 0.732,
IF(AND(Q388="Dados", Y388=2013), 0.469,
IF(AND(Q388="Dados", Y388=2014), 0.341,
IF(AND(Q388="Dados", Y388=2015), 0.518,
IF(AND(Q388="Dados", Y388=2016), 0.457,
IF(AND(Q388="Opinião Púbilca", Y388=2012), 0.358,
IF(AND(Q388="Opinião Púbilca", Y388=2013), 0.503,
IF(AND(Q388="Opinião Púbilca", Y388=2014), 0.319,
IF(AND(Q388="Opinião Púbilca", Y388=2015), 0.273,
IF(AND(Q388="Opinião Púbilca", Y388=2016), 0.369,
IF(AND(Q388="Revista Brasileira de Ciências Sociais", Y388=2012), 0.21,
IF(AND(Q388="Revista Brasileira de Ciências Sociais", Y388=2013), 0.279,
IF(AND(Q388="Revista Brasileira de Ciências Sociais", Y388=2014), 0.298,
IF(AND(Q388="Revista Brasileira de Ciências Sociais", Y388=2015), 0.153,
IF(AND(Q388="Revista Brasileira de Ciências Sociais", Y388=2016), 0.297,
"")))))))))))))))</f>
        <v>0.36899999999999999</v>
      </c>
      <c r="S388">
        <f t="shared" si="124"/>
        <v>0.39482432432432457</v>
      </c>
      <c r="T388" t="s">
        <v>557</v>
      </c>
      <c r="V388" t="s">
        <v>186</v>
      </c>
      <c r="Y388">
        <v>2016</v>
      </c>
      <c r="Z388">
        <f>2025-AVERAGE($Y$292:$Y$488)</f>
        <v>10.796954314720779</v>
      </c>
      <c r="AE388">
        <v>0</v>
      </c>
      <c r="AF388" t="s">
        <v>186</v>
      </c>
      <c r="AG388">
        <v>3</v>
      </c>
      <c r="AI388">
        <f t="shared" si="125"/>
        <v>1.9086294416243654</v>
      </c>
      <c r="AK388" t="s">
        <v>1143</v>
      </c>
      <c r="AL388">
        <v>49</v>
      </c>
      <c r="AM388" t="s">
        <v>325</v>
      </c>
      <c r="AN388" t="s">
        <v>356</v>
      </c>
      <c r="AO388">
        <v>0.21199999999999999</v>
      </c>
    </row>
    <row r="389" spans="1:41">
      <c r="A389">
        <v>11</v>
      </c>
      <c r="B389" t="s">
        <v>357</v>
      </c>
      <c r="C389" t="s">
        <v>355</v>
      </c>
      <c r="D389" s="3">
        <f t="shared" si="126"/>
        <v>5.0761421319796955</v>
      </c>
      <c r="F389">
        <v>2021</v>
      </c>
      <c r="G389">
        <f t="shared" si="120"/>
        <v>4</v>
      </c>
      <c r="J389">
        <f t="shared" si="123"/>
        <v>197</v>
      </c>
      <c r="K389">
        <v>5</v>
      </c>
      <c r="L389">
        <v>3</v>
      </c>
      <c r="Q389" t="s">
        <v>555</v>
      </c>
      <c r="R389">
        <f t="shared" si="127"/>
        <v>0.45700000000000002</v>
      </c>
      <c r="S389">
        <f t="shared" si="124"/>
        <v>0.39482432432432457</v>
      </c>
      <c r="V389" t="s">
        <v>186</v>
      </c>
      <c r="Y389">
        <v>2016</v>
      </c>
      <c r="Z389">
        <f>2025-AVERAGE($Y$292:$Y$488)</f>
        <v>10.796954314720779</v>
      </c>
      <c r="AE389">
        <v>0</v>
      </c>
      <c r="AF389" t="s">
        <v>186</v>
      </c>
      <c r="AG389">
        <v>3</v>
      </c>
      <c r="AI389">
        <f t="shared" si="125"/>
        <v>1.9086294416243654</v>
      </c>
      <c r="AK389" t="s">
        <v>1143</v>
      </c>
      <c r="AL389">
        <v>49</v>
      </c>
      <c r="AM389" t="s">
        <v>325</v>
      </c>
      <c r="AN389" t="s">
        <v>356</v>
      </c>
      <c r="AO389">
        <v>0.21199999999999999</v>
      </c>
    </row>
    <row r="390" spans="1:41">
      <c r="A390">
        <v>11</v>
      </c>
      <c r="B390" t="s">
        <v>357</v>
      </c>
      <c r="C390" t="s">
        <v>355</v>
      </c>
      <c r="D390" s="3">
        <f t="shared" si="126"/>
        <v>5.0761421319796955</v>
      </c>
      <c r="F390">
        <v>2021</v>
      </c>
      <c r="G390">
        <f t="shared" si="120"/>
        <v>4</v>
      </c>
      <c r="J390">
        <f t="shared" si="123"/>
        <v>197</v>
      </c>
      <c r="K390">
        <v>5</v>
      </c>
      <c r="L390">
        <v>3</v>
      </c>
      <c r="Q390" t="s">
        <v>555</v>
      </c>
      <c r="R390">
        <f t="shared" si="127"/>
        <v>0.45700000000000002</v>
      </c>
      <c r="S390">
        <f t="shared" si="124"/>
        <v>0.39482432432432457</v>
      </c>
      <c r="T390" t="s">
        <v>557</v>
      </c>
      <c r="V390" t="s">
        <v>186</v>
      </c>
      <c r="Y390">
        <v>2016</v>
      </c>
      <c r="Z390">
        <f>2025-AVERAGE($Y$292:$Y$488)</f>
        <v>10.796954314720779</v>
      </c>
      <c r="AE390">
        <v>0</v>
      </c>
      <c r="AF390" t="s">
        <v>186</v>
      </c>
      <c r="AG390">
        <v>1</v>
      </c>
      <c r="AI390">
        <f t="shared" si="125"/>
        <v>1.9086294416243654</v>
      </c>
      <c r="AK390" t="s">
        <v>1143</v>
      </c>
      <c r="AL390">
        <v>49</v>
      </c>
      <c r="AM390" t="s">
        <v>325</v>
      </c>
      <c r="AN390" t="s">
        <v>356</v>
      </c>
      <c r="AO390">
        <v>0.21199999999999999</v>
      </c>
    </row>
    <row r="391" spans="1:41">
      <c r="A391">
        <v>11</v>
      </c>
      <c r="B391" t="s">
        <v>357</v>
      </c>
      <c r="C391" t="s">
        <v>355</v>
      </c>
      <c r="D391" s="3">
        <f t="shared" si="126"/>
        <v>5.0761421319796955</v>
      </c>
      <c r="F391">
        <v>2021</v>
      </c>
      <c r="G391">
        <f t="shared" si="120"/>
        <v>4</v>
      </c>
      <c r="J391">
        <f t="shared" si="123"/>
        <v>197</v>
      </c>
      <c r="K391">
        <v>5</v>
      </c>
      <c r="L391">
        <v>3</v>
      </c>
      <c r="Q391" t="s">
        <v>555</v>
      </c>
      <c r="R391">
        <f t="shared" si="127"/>
        <v>0.73199999999999998</v>
      </c>
      <c r="S391">
        <f t="shared" si="124"/>
        <v>0.39482432432432457</v>
      </c>
      <c r="V391" t="s">
        <v>186</v>
      </c>
      <c r="Y391">
        <v>2012</v>
      </c>
      <c r="Z391">
        <f>2025-AVERAGE($Y$292:$Y$488)</f>
        <v>10.796954314720779</v>
      </c>
      <c r="AE391">
        <v>0</v>
      </c>
      <c r="AF391" t="s">
        <v>186</v>
      </c>
      <c r="AG391">
        <v>3</v>
      </c>
      <c r="AI391">
        <f t="shared" si="125"/>
        <v>1.9086294416243654</v>
      </c>
      <c r="AK391" t="s">
        <v>1143</v>
      </c>
      <c r="AL391">
        <v>49</v>
      </c>
      <c r="AM391" t="s">
        <v>325</v>
      </c>
      <c r="AN391" t="s">
        <v>356</v>
      </c>
      <c r="AO391">
        <v>0.21199999999999999</v>
      </c>
    </row>
    <row r="392" spans="1:41">
      <c r="A392">
        <v>11</v>
      </c>
      <c r="B392" t="s">
        <v>357</v>
      </c>
      <c r="C392" t="s">
        <v>355</v>
      </c>
      <c r="D392" s="3">
        <f t="shared" si="126"/>
        <v>5.0761421319796955</v>
      </c>
      <c r="F392">
        <v>2021</v>
      </c>
      <c r="G392">
        <f t="shared" si="120"/>
        <v>4</v>
      </c>
      <c r="J392">
        <f t="shared" si="123"/>
        <v>197</v>
      </c>
      <c r="K392">
        <v>5</v>
      </c>
      <c r="L392">
        <v>3</v>
      </c>
      <c r="Q392" t="s">
        <v>556</v>
      </c>
      <c r="R392">
        <f t="shared" si="127"/>
        <v>0.153</v>
      </c>
      <c r="S392">
        <f t="shared" si="124"/>
        <v>0.39482432432432457</v>
      </c>
      <c r="V392" t="s">
        <v>186</v>
      </c>
      <c r="Y392">
        <v>2015</v>
      </c>
      <c r="Z392">
        <f>2025-AVERAGE($Y$292:$Y$488)</f>
        <v>10.796954314720779</v>
      </c>
      <c r="AE392">
        <v>0</v>
      </c>
      <c r="AF392" t="s">
        <v>186</v>
      </c>
      <c r="AG392">
        <v>2</v>
      </c>
      <c r="AI392">
        <f t="shared" si="125"/>
        <v>1.9086294416243654</v>
      </c>
      <c r="AK392" t="s">
        <v>1143</v>
      </c>
      <c r="AL392">
        <v>49</v>
      </c>
      <c r="AM392" t="s">
        <v>325</v>
      </c>
      <c r="AN392" t="s">
        <v>356</v>
      </c>
      <c r="AO392">
        <v>0.21199999999999999</v>
      </c>
    </row>
    <row r="393" spans="1:41">
      <c r="A393">
        <v>11</v>
      </c>
      <c r="B393" t="s">
        <v>357</v>
      </c>
      <c r="C393" t="s">
        <v>355</v>
      </c>
      <c r="D393" s="3">
        <f t="shared" si="126"/>
        <v>5.0761421319796955</v>
      </c>
      <c r="F393">
        <v>2021</v>
      </c>
      <c r="G393">
        <f t="shared" si="120"/>
        <v>4</v>
      </c>
      <c r="J393">
        <f t="shared" si="123"/>
        <v>197</v>
      </c>
      <c r="K393">
        <v>5</v>
      </c>
      <c r="L393">
        <v>3</v>
      </c>
      <c r="Q393" t="s">
        <v>554</v>
      </c>
      <c r="R393">
        <f t="shared" si="127"/>
        <v>0.36899999999999999</v>
      </c>
      <c r="S393">
        <f t="shared" si="124"/>
        <v>0.39482432432432457</v>
      </c>
      <c r="V393" t="s">
        <v>186</v>
      </c>
      <c r="Y393">
        <v>2016</v>
      </c>
      <c r="Z393">
        <f>2025-AVERAGE($Y$292:$Y$488)</f>
        <v>10.796954314720779</v>
      </c>
      <c r="AE393">
        <v>0</v>
      </c>
      <c r="AF393" t="s">
        <v>186</v>
      </c>
      <c r="AG393">
        <v>2</v>
      </c>
      <c r="AI393">
        <f t="shared" si="125"/>
        <v>1.9086294416243654</v>
      </c>
      <c r="AK393" t="s">
        <v>1143</v>
      </c>
      <c r="AL393">
        <v>49</v>
      </c>
      <c r="AM393" t="s">
        <v>325</v>
      </c>
      <c r="AN393" t="s">
        <v>356</v>
      </c>
      <c r="AO393">
        <v>0.21199999999999999</v>
      </c>
    </row>
    <row r="394" spans="1:41">
      <c r="A394">
        <v>11</v>
      </c>
      <c r="B394" t="s">
        <v>357</v>
      </c>
      <c r="C394" t="s">
        <v>355</v>
      </c>
      <c r="D394" s="3">
        <f t="shared" si="126"/>
        <v>5.0761421319796955</v>
      </c>
      <c r="F394">
        <v>2021</v>
      </c>
      <c r="G394">
        <f t="shared" si="120"/>
        <v>4</v>
      </c>
      <c r="J394">
        <f t="shared" si="123"/>
        <v>197</v>
      </c>
      <c r="K394">
        <v>5</v>
      </c>
      <c r="L394">
        <v>3</v>
      </c>
      <c r="Q394" t="s">
        <v>554</v>
      </c>
      <c r="R394">
        <f t="shared" si="127"/>
        <v>0.27300000000000002</v>
      </c>
      <c r="S394">
        <f t="shared" si="124"/>
        <v>0.39482432432432457</v>
      </c>
      <c r="T394" t="s">
        <v>558</v>
      </c>
      <c r="V394" t="s">
        <v>186</v>
      </c>
      <c r="Y394">
        <v>2015</v>
      </c>
      <c r="Z394">
        <f>2025-AVERAGE($Y$292:$Y$488)</f>
        <v>10.796954314720779</v>
      </c>
      <c r="AE394">
        <v>0</v>
      </c>
      <c r="AF394" t="s">
        <v>186</v>
      </c>
      <c r="AG394">
        <v>2</v>
      </c>
      <c r="AI394">
        <f t="shared" si="125"/>
        <v>1.9086294416243654</v>
      </c>
      <c r="AK394" t="s">
        <v>1143</v>
      </c>
      <c r="AL394">
        <v>49</v>
      </c>
      <c r="AM394" t="s">
        <v>325</v>
      </c>
      <c r="AN394" t="s">
        <v>356</v>
      </c>
      <c r="AO394">
        <v>0.21199999999999999</v>
      </c>
    </row>
    <row r="395" spans="1:41">
      <c r="A395">
        <v>11</v>
      </c>
      <c r="B395" t="s">
        <v>357</v>
      </c>
      <c r="C395" t="s">
        <v>355</v>
      </c>
      <c r="D395" s="3">
        <f t="shared" si="126"/>
        <v>5.0761421319796955</v>
      </c>
      <c r="F395">
        <v>2021</v>
      </c>
      <c r="G395">
        <f t="shared" si="120"/>
        <v>4</v>
      </c>
      <c r="J395">
        <f t="shared" si="123"/>
        <v>197</v>
      </c>
      <c r="K395">
        <v>5</v>
      </c>
      <c r="L395">
        <v>3</v>
      </c>
      <c r="Q395" t="s">
        <v>552</v>
      </c>
      <c r="R395" t="str">
        <f t="shared" si="127"/>
        <v/>
      </c>
      <c r="S395">
        <f t="shared" si="124"/>
        <v>0.39482432432432457</v>
      </c>
      <c r="T395" t="s">
        <v>558</v>
      </c>
      <c r="V395" t="s">
        <v>186</v>
      </c>
      <c r="Y395">
        <v>2015</v>
      </c>
      <c r="Z395">
        <f>2025-AVERAGE($Y$292:$Y$488)</f>
        <v>10.796954314720779</v>
      </c>
      <c r="AE395">
        <v>0</v>
      </c>
      <c r="AF395" t="s">
        <v>186</v>
      </c>
      <c r="AG395">
        <v>1</v>
      </c>
      <c r="AI395">
        <f t="shared" si="125"/>
        <v>1.9086294416243654</v>
      </c>
      <c r="AK395" t="s">
        <v>1143</v>
      </c>
      <c r="AL395">
        <v>49</v>
      </c>
      <c r="AM395" t="s">
        <v>325</v>
      </c>
      <c r="AN395" t="s">
        <v>356</v>
      </c>
      <c r="AO395">
        <v>0.21199999999999999</v>
      </c>
    </row>
    <row r="396" spans="1:41">
      <c r="A396">
        <v>11</v>
      </c>
      <c r="B396" t="s">
        <v>357</v>
      </c>
      <c r="C396" t="s">
        <v>355</v>
      </c>
      <c r="D396" s="3">
        <f t="shared" si="126"/>
        <v>5.0761421319796955</v>
      </c>
      <c r="F396">
        <v>2021</v>
      </c>
      <c r="G396">
        <f t="shared" si="120"/>
        <v>4</v>
      </c>
      <c r="J396">
        <f t="shared" si="123"/>
        <v>197</v>
      </c>
      <c r="K396">
        <v>5</v>
      </c>
      <c r="L396">
        <v>3</v>
      </c>
      <c r="Q396" t="s">
        <v>554</v>
      </c>
      <c r="R396">
        <f t="shared" si="127"/>
        <v>0.503</v>
      </c>
      <c r="S396">
        <f t="shared" si="124"/>
        <v>0.39482432432432457</v>
      </c>
      <c r="V396" t="s">
        <v>186</v>
      </c>
      <c r="Y396">
        <v>2013</v>
      </c>
      <c r="Z396">
        <f>2025-AVERAGE($Y$292:$Y$488)</f>
        <v>10.796954314720779</v>
      </c>
      <c r="AE396">
        <v>0</v>
      </c>
      <c r="AF396" t="s">
        <v>186</v>
      </c>
      <c r="AG396">
        <v>2</v>
      </c>
      <c r="AI396">
        <f t="shared" si="125"/>
        <v>1.9086294416243654</v>
      </c>
      <c r="AK396" t="s">
        <v>1143</v>
      </c>
      <c r="AL396">
        <v>49</v>
      </c>
      <c r="AM396" t="s">
        <v>325</v>
      </c>
      <c r="AN396" t="s">
        <v>356</v>
      </c>
      <c r="AO396">
        <v>0.21199999999999999</v>
      </c>
    </row>
    <row r="397" spans="1:41">
      <c r="A397">
        <v>11</v>
      </c>
      <c r="B397" t="s">
        <v>357</v>
      </c>
      <c r="C397" t="s">
        <v>355</v>
      </c>
      <c r="D397" s="3">
        <f t="shared" si="126"/>
        <v>5.0761421319796955</v>
      </c>
      <c r="F397">
        <v>2021</v>
      </c>
      <c r="G397">
        <f t="shared" si="120"/>
        <v>4</v>
      </c>
      <c r="J397">
        <f t="shared" si="123"/>
        <v>197</v>
      </c>
      <c r="K397">
        <v>5</v>
      </c>
      <c r="L397">
        <v>3</v>
      </c>
      <c r="Q397" t="s">
        <v>556</v>
      </c>
      <c r="R397">
        <f t="shared" si="127"/>
        <v>0.27900000000000003</v>
      </c>
      <c r="S397">
        <f t="shared" si="124"/>
        <v>0.39482432432432457</v>
      </c>
      <c r="V397" t="s">
        <v>186</v>
      </c>
      <c r="Y397">
        <v>2013</v>
      </c>
      <c r="Z397">
        <f>2025-AVERAGE($Y$292:$Y$488)</f>
        <v>10.796954314720779</v>
      </c>
      <c r="AE397">
        <v>0</v>
      </c>
      <c r="AF397" t="s">
        <v>186</v>
      </c>
      <c r="AG397">
        <v>1</v>
      </c>
      <c r="AI397">
        <f t="shared" si="125"/>
        <v>1.9086294416243654</v>
      </c>
      <c r="AK397" t="s">
        <v>1143</v>
      </c>
      <c r="AL397">
        <v>49</v>
      </c>
      <c r="AM397" t="s">
        <v>325</v>
      </c>
      <c r="AN397" t="s">
        <v>356</v>
      </c>
      <c r="AO397">
        <v>0.21199999999999999</v>
      </c>
    </row>
    <row r="398" spans="1:41">
      <c r="A398">
        <v>11</v>
      </c>
      <c r="B398" t="s">
        <v>357</v>
      </c>
      <c r="C398" t="s">
        <v>355</v>
      </c>
      <c r="D398" s="3">
        <f t="shared" si="126"/>
        <v>5.0761421319796955</v>
      </c>
      <c r="F398">
        <v>2021</v>
      </c>
      <c r="G398">
        <f t="shared" si="120"/>
        <v>4</v>
      </c>
      <c r="J398">
        <f t="shared" si="123"/>
        <v>197</v>
      </c>
      <c r="K398">
        <v>5</v>
      </c>
      <c r="L398">
        <v>3</v>
      </c>
      <c r="Q398" t="s">
        <v>555</v>
      </c>
      <c r="R398">
        <f t="shared" si="127"/>
        <v>0.46899999999999997</v>
      </c>
      <c r="S398">
        <f t="shared" si="124"/>
        <v>0.39482432432432457</v>
      </c>
      <c r="V398" t="s">
        <v>186</v>
      </c>
      <c r="Y398">
        <v>2013</v>
      </c>
      <c r="Z398">
        <f>2025-AVERAGE($Y$292:$Y$488)</f>
        <v>10.796954314720779</v>
      </c>
      <c r="AE398">
        <v>0</v>
      </c>
      <c r="AF398" t="s">
        <v>186</v>
      </c>
      <c r="AG398">
        <v>1</v>
      </c>
      <c r="AI398">
        <f t="shared" si="125"/>
        <v>1.9086294416243654</v>
      </c>
      <c r="AK398" t="s">
        <v>1143</v>
      </c>
      <c r="AL398">
        <v>49</v>
      </c>
      <c r="AM398" t="s">
        <v>325</v>
      </c>
      <c r="AN398" t="s">
        <v>356</v>
      </c>
      <c r="AO398">
        <v>0.21199999999999999</v>
      </c>
    </row>
    <row r="399" spans="1:41">
      <c r="A399">
        <v>11</v>
      </c>
      <c r="B399" t="s">
        <v>357</v>
      </c>
      <c r="C399" t="s">
        <v>355</v>
      </c>
      <c r="D399" s="3">
        <f t="shared" si="126"/>
        <v>5.0761421319796955</v>
      </c>
      <c r="F399">
        <v>2021</v>
      </c>
      <c r="G399">
        <f t="shared" si="120"/>
        <v>4</v>
      </c>
      <c r="J399">
        <f t="shared" si="123"/>
        <v>197</v>
      </c>
      <c r="K399">
        <v>5</v>
      </c>
      <c r="L399">
        <v>3</v>
      </c>
      <c r="Q399" t="s">
        <v>555</v>
      </c>
      <c r="R399">
        <f t="shared" si="127"/>
        <v>0.51800000000000002</v>
      </c>
      <c r="S399">
        <f t="shared" si="124"/>
        <v>0.39482432432432457</v>
      </c>
      <c r="V399" t="s">
        <v>186</v>
      </c>
      <c r="Y399">
        <v>2015</v>
      </c>
      <c r="Z399">
        <f>2025-AVERAGE($Y$292:$Y$488)</f>
        <v>10.796954314720779</v>
      </c>
      <c r="AE399">
        <v>0</v>
      </c>
      <c r="AF399" t="s">
        <v>186</v>
      </c>
      <c r="AG399">
        <v>1</v>
      </c>
      <c r="AI399">
        <f t="shared" si="125"/>
        <v>1.9086294416243654</v>
      </c>
      <c r="AK399" t="s">
        <v>1143</v>
      </c>
      <c r="AL399">
        <v>49</v>
      </c>
      <c r="AM399" t="s">
        <v>325</v>
      </c>
      <c r="AN399" t="s">
        <v>356</v>
      </c>
      <c r="AO399">
        <v>0.21199999999999999</v>
      </c>
    </row>
    <row r="400" spans="1:41">
      <c r="A400">
        <v>11</v>
      </c>
      <c r="B400" t="s">
        <v>357</v>
      </c>
      <c r="C400" t="s">
        <v>355</v>
      </c>
      <c r="D400" s="3">
        <f t="shared" si="126"/>
        <v>5.0761421319796955</v>
      </c>
      <c r="F400">
        <v>2021</v>
      </c>
      <c r="G400">
        <f t="shared" si="120"/>
        <v>4</v>
      </c>
      <c r="J400">
        <f t="shared" si="123"/>
        <v>197</v>
      </c>
      <c r="K400">
        <v>5</v>
      </c>
      <c r="L400">
        <v>3</v>
      </c>
      <c r="Q400" t="s">
        <v>554</v>
      </c>
      <c r="R400">
        <f t="shared" si="127"/>
        <v>0.27300000000000002</v>
      </c>
      <c r="S400">
        <f t="shared" si="124"/>
        <v>0.39482432432432457</v>
      </c>
      <c r="V400" t="s">
        <v>186</v>
      </c>
      <c r="Y400">
        <v>2015</v>
      </c>
      <c r="Z400">
        <f>2025-AVERAGE($Y$292:$Y$488)</f>
        <v>10.796954314720779</v>
      </c>
      <c r="AE400">
        <v>0</v>
      </c>
      <c r="AF400" t="s">
        <v>186</v>
      </c>
      <c r="AG400">
        <v>1</v>
      </c>
      <c r="AI400">
        <f t="shared" si="125"/>
        <v>1.9086294416243654</v>
      </c>
      <c r="AK400" t="s">
        <v>1143</v>
      </c>
      <c r="AL400">
        <v>49</v>
      </c>
      <c r="AM400" t="s">
        <v>325</v>
      </c>
      <c r="AN400" t="s">
        <v>356</v>
      </c>
      <c r="AO400">
        <v>0.21199999999999999</v>
      </c>
    </row>
    <row r="401" spans="1:41">
      <c r="A401">
        <v>11</v>
      </c>
      <c r="B401" t="s">
        <v>357</v>
      </c>
      <c r="C401" t="s">
        <v>355</v>
      </c>
      <c r="D401" s="3">
        <f t="shared" si="126"/>
        <v>5.0761421319796955</v>
      </c>
      <c r="F401">
        <v>2021</v>
      </c>
      <c r="G401">
        <f t="shared" si="120"/>
        <v>4</v>
      </c>
      <c r="J401">
        <f t="shared" si="123"/>
        <v>197</v>
      </c>
      <c r="K401">
        <v>5</v>
      </c>
      <c r="L401">
        <v>3</v>
      </c>
      <c r="Q401" t="s">
        <v>552</v>
      </c>
      <c r="R401" t="str">
        <f t="shared" si="127"/>
        <v/>
      </c>
      <c r="S401">
        <f t="shared" si="124"/>
        <v>0.39482432432432457</v>
      </c>
      <c r="V401" t="s">
        <v>186</v>
      </c>
      <c r="Y401">
        <v>2013</v>
      </c>
      <c r="Z401">
        <f>2025-AVERAGE($Y$292:$Y$488)</f>
        <v>10.796954314720779</v>
      </c>
      <c r="AE401">
        <v>0</v>
      </c>
      <c r="AF401" t="s">
        <v>186</v>
      </c>
      <c r="AG401">
        <v>3</v>
      </c>
      <c r="AI401">
        <f t="shared" si="125"/>
        <v>1.9086294416243654</v>
      </c>
      <c r="AK401" t="s">
        <v>1143</v>
      </c>
      <c r="AL401">
        <v>49</v>
      </c>
      <c r="AM401" t="s">
        <v>325</v>
      </c>
      <c r="AN401" t="s">
        <v>356</v>
      </c>
      <c r="AO401">
        <v>0.21199999999999999</v>
      </c>
    </row>
    <row r="402" spans="1:41">
      <c r="A402">
        <v>11</v>
      </c>
      <c r="B402" t="s">
        <v>357</v>
      </c>
      <c r="C402" t="s">
        <v>355</v>
      </c>
      <c r="D402" s="3">
        <f t="shared" si="126"/>
        <v>5.0761421319796955</v>
      </c>
      <c r="F402">
        <v>2021</v>
      </c>
      <c r="G402">
        <f t="shared" ref="G402:G465" si="128">2025-F402</f>
        <v>4</v>
      </c>
      <c r="J402">
        <f t="shared" si="123"/>
        <v>197</v>
      </c>
      <c r="K402">
        <v>5</v>
      </c>
      <c r="L402">
        <v>3</v>
      </c>
      <c r="Q402" t="s">
        <v>552</v>
      </c>
      <c r="R402" t="str">
        <f t="shared" si="127"/>
        <v/>
      </c>
      <c r="S402">
        <f t="shared" si="124"/>
        <v>0.39482432432432457</v>
      </c>
      <c r="V402" t="s">
        <v>186</v>
      </c>
      <c r="Y402">
        <v>2013</v>
      </c>
      <c r="Z402">
        <f>2025-AVERAGE($Y$292:$Y$488)</f>
        <v>10.796954314720779</v>
      </c>
      <c r="AE402">
        <v>0</v>
      </c>
      <c r="AF402" t="s">
        <v>186</v>
      </c>
      <c r="AG402">
        <v>2</v>
      </c>
      <c r="AI402">
        <f t="shared" si="125"/>
        <v>1.9086294416243654</v>
      </c>
      <c r="AK402" t="s">
        <v>1143</v>
      </c>
      <c r="AL402">
        <v>49</v>
      </c>
      <c r="AM402" t="s">
        <v>325</v>
      </c>
      <c r="AN402" t="s">
        <v>356</v>
      </c>
      <c r="AO402">
        <v>0.21199999999999999</v>
      </c>
    </row>
    <row r="403" spans="1:41">
      <c r="A403">
        <v>11</v>
      </c>
      <c r="B403" t="s">
        <v>357</v>
      </c>
      <c r="C403" t="s">
        <v>355</v>
      </c>
      <c r="D403" s="3">
        <f t="shared" si="126"/>
        <v>5.0761421319796955</v>
      </c>
      <c r="F403">
        <v>2021</v>
      </c>
      <c r="G403">
        <f t="shared" si="128"/>
        <v>4</v>
      </c>
      <c r="J403">
        <f t="shared" si="123"/>
        <v>197</v>
      </c>
      <c r="K403">
        <v>5</v>
      </c>
      <c r="L403">
        <v>3</v>
      </c>
      <c r="Q403" t="s">
        <v>556</v>
      </c>
      <c r="R403">
        <f t="shared" si="127"/>
        <v>0.153</v>
      </c>
      <c r="S403">
        <f t="shared" si="124"/>
        <v>0.39482432432432457</v>
      </c>
      <c r="V403" t="s">
        <v>186</v>
      </c>
      <c r="Y403">
        <v>2015</v>
      </c>
      <c r="Z403">
        <f>2025-AVERAGE($Y$292:$Y$488)</f>
        <v>10.796954314720779</v>
      </c>
      <c r="AE403">
        <v>0</v>
      </c>
      <c r="AF403" t="s">
        <v>186</v>
      </c>
      <c r="AG403">
        <v>1</v>
      </c>
      <c r="AI403">
        <f t="shared" si="125"/>
        <v>1.9086294416243654</v>
      </c>
      <c r="AK403" t="s">
        <v>1143</v>
      </c>
      <c r="AL403">
        <v>49</v>
      </c>
      <c r="AM403" t="s">
        <v>325</v>
      </c>
      <c r="AN403" t="s">
        <v>356</v>
      </c>
      <c r="AO403">
        <v>0.21199999999999999</v>
      </c>
    </row>
    <row r="404" spans="1:41">
      <c r="A404">
        <v>11</v>
      </c>
      <c r="B404" t="s">
        <v>357</v>
      </c>
      <c r="C404" t="s">
        <v>355</v>
      </c>
      <c r="D404" s="3">
        <f t="shared" si="126"/>
        <v>5.0761421319796955</v>
      </c>
      <c r="F404">
        <v>2021</v>
      </c>
      <c r="G404">
        <f t="shared" si="128"/>
        <v>4</v>
      </c>
      <c r="J404">
        <f t="shared" si="123"/>
        <v>197</v>
      </c>
      <c r="K404">
        <v>5</v>
      </c>
      <c r="L404">
        <v>3</v>
      </c>
      <c r="Q404" t="s">
        <v>552</v>
      </c>
      <c r="R404" t="str">
        <f t="shared" si="127"/>
        <v/>
      </c>
      <c r="S404">
        <f t="shared" si="124"/>
        <v>0.39482432432432457</v>
      </c>
      <c r="V404" t="s">
        <v>186</v>
      </c>
      <c r="Y404">
        <v>2013</v>
      </c>
      <c r="Z404">
        <f>2025-AVERAGE($Y$292:$Y$488)</f>
        <v>10.796954314720779</v>
      </c>
      <c r="AE404">
        <v>0</v>
      </c>
      <c r="AF404" t="s">
        <v>186</v>
      </c>
      <c r="AG404">
        <v>2</v>
      </c>
      <c r="AI404">
        <f t="shared" si="125"/>
        <v>1.9086294416243654</v>
      </c>
      <c r="AK404" t="s">
        <v>1143</v>
      </c>
      <c r="AL404">
        <v>49</v>
      </c>
      <c r="AM404" t="s">
        <v>325</v>
      </c>
      <c r="AN404" t="s">
        <v>356</v>
      </c>
      <c r="AO404">
        <v>0.21199999999999999</v>
      </c>
    </row>
    <row r="405" spans="1:41">
      <c r="A405">
        <v>11</v>
      </c>
      <c r="B405" t="s">
        <v>357</v>
      </c>
      <c r="C405" t="s">
        <v>355</v>
      </c>
      <c r="D405" s="3">
        <f t="shared" si="126"/>
        <v>5.0761421319796955</v>
      </c>
      <c r="F405">
        <v>2021</v>
      </c>
      <c r="G405">
        <f t="shared" si="128"/>
        <v>4</v>
      </c>
      <c r="J405">
        <f t="shared" si="123"/>
        <v>197</v>
      </c>
      <c r="K405">
        <v>5</v>
      </c>
      <c r="L405">
        <v>3</v>
      </c>
      <c r="Q405" t="s">
        <v>555</v>
      </c>
      <c r="R405">
        <f t="shared" si="127"/>
        <v>0.34100000000000003</v>
      </c>
      <c r="S405">
        <f t="shared" si="124"/>
        <v>0.39482432432432457</v>
      </c>
      <c r="V405" t="s">
        <v>186</v>
      </c>
      <c r="Y405">
        <v>2014</v>
      </c>
      <c r="Z405">
        <f>2025-AVERAGE($Y$292:$Y$488)</f>
        <v>10.796954314720779</v>
      </c>
      <c r="AE405">
        <v>0</v>
      </c>
      <c r="AF405" t="s">
        <v>186</v>
      </c>
      <c r="AG405">
        <v>1</v>
      </c>
      <c r="AI405">
        <f t="shared" si="125"/>
        <v>1.9086294416243654</v>
      </c>
      <c r="AK405" t="s">
        <v>1143</v>
      </c>
      <c r="AL405">
        <v>49</v>
      </c>
      <c r="AM405" t="s">
        <v>325</v>
      </c>
      <c r="AN405" t="s">
        <v>356</v>
      </c>
      <c r="AO405">
        <v>0.21199999999999999</v>
      </c>
    </row>
    <row r="406" spans="1:41">
      <c r="A406">
        <v>11</v>
      </c>
      <c r="B406" t="s">
        <v>357</v>
      </c>
      <c r="C406" t="s">
        <v>355</v>
      </c>
      <c r="D406" s="3">
        <f t="shared" si="126"/>
        <v>5.0761421319796955</v>
      </c>
      <c r="F406">
        <v>2021</v>
      </c>
      <c r="G406">
        <f t="shared" si="128"/>
        <v>4</v>
      </c>
      <c r="J406">
        <f t="shared" si="123"/>
        <v>197</v>
      </c>
      <c r="K406">
        <v>5</v>
      </c>
      <c r="L406">
        <v>3</v>
      </c>
      <c r="Q406" t="s">
        <v>555</v>
      </c>
      <c r="R406">
        <f t="shared" si="127"/>
        <v>0.45700000000000002</v>
      </c>
      <c r="S406">
        <f t="shared" si="124"/>
        <v>0.39482432432432457</v>
      </c>
      <c r="V406" t="s">
        <v>186</v>
      </c>
      <c r="Y406">
        <v>2016</v>
      </c>
      <c r="Z406">
        <f>2025-AVERAGE($Y$292:$Y$488)</f>
        <v>10.796954314720779</v>
      </c>
      <c r="AE406">
        <v>0</v>
      </c>
      <c r="AF406" t="s">
        <v>186</v>
      </c>
      <c r="AG406">
        <v>2</v>
      </c>
      <c r="AI406">
        <f t="shared" si="125"/>
        <v>1.9086294416243654</v>
      </c>
      <c r="AK406" t="s">
        <v>1143</v>
      </c>
      <c r="AL406">
        <v>49</v>
      </c>
      <c r="AM406" t="s">
        <v>325</v>
      </c>
      <c r="AN406" t="s">
        <v>356</v>
      </c>
      <c r="AO406">
        <v>0.21199999999999999</v>
      </c>
    </row>
    <row r="407" spans="1:41">
      <c r="A407">
        <v>11</v>
      </c>
      <c r="B407" t="s">
        <v>357</v>
      </c>
      <c r="C407" t="s">
        <v>355</v>
      </c>
      <c r="D407" s="3">
        <f t="shared" si="126"/>
        <v>5.0761421319796955</v>
      </c>
      <c r="F407">
        <v>2021</v>
      </c>
      <c r="G407">
        <f t="shared" si="128"/>
        <v>4</v>
      </c>
      <c r="J407">
        <f t="shared" si="123"/>
        <v>197</v>
      </c>
      <c r="K407">
        <v>5</v>
      </c>
      <c r="L407">
        <v>3</v>
      </c>
      <c r="Q407" t="s">
        <v>556</v>
      </c>
      <c r="R407">
        <f t="shared" si="127"/>
        <v>0.29699999999999999</v>
      </c>
      <c r="S407">
        <f t="shared" si="124"/>
        <v>0.39482432432432457</v>
      </c>
      <c r="V407" t="s">
        <v>186</v>
      </c>
      <c r="Y407">
        <v>2016</v>
      </c>
      <c r="Z407">
        <f>2025-AVERAGE($Y$292:$Y$488)</f>
        <v>10.796954314720779</v>
      </c>
      <c r="AE407">
        <v>0</v>
      </c>
      <c r="AF407" t="s">
        <v>186</v>
      </c>
      <c r="AG407">
        <v>3</v>
      </c>
      <c r="AI407">
        <f t="shared" si="125"/>
        <v>1.9086294416243654</v>
      </c>
      <c r="AK407" t="s">
        <v>1143</v>
      </c>
      <c r="AL407">
        <v>49</v>
      </c>
      <c r="AM407" t="s">
        <v>325</v>
      </c>
      <c r="AN407" t="s">
        <v>356</v>
      </c>
      <c r="AO407">
        <v>0.21199999999999999</v>
      </c>
    </row>
    <row r="408" spans="1:41">
      <c r="A408">
        <v>11</v>
      </c>
      <c r="B408" t="s">
        <v>357</v>
      </c>
      <c r="C408" t="s">
        <v>355</v>
      </c>
      <c r="D408" s="3">
        <f t="shared" si="126"/>
        <v>5.0761421319796955</v>
      </c>
      <c r="F408">
        <v>2021</v>
      </c>
      <c r="G408">
        <f t="shared" si="128"/>
        <v>4</v>
      </c>
      <c r="J408">
        <f t="shared" si="123"/>
        <v>197</v>
      </c>
      <c r="K408">
        <v>5</v>
      </c>
      <c r="L408">
        <v>3</v>
      </c>
      <c r="Q408" t="s">
        <v>555</v>
      </c>
      <c r="R408">
        <f t="shared" si="127"/>
        <v>0.73199999999999998</v>
      </c>
      <c r="S408">
        <f t="shared" si="124"/>
        <v>0.39482432432432457</v>
      </c>
      <c r="V408" t="s">
        <v>186</v>
      </c>
      <c r="Y408">
        <v>2012</v>
      </c>
      <c r="Z408">
        <f>2025-AVERAGE($Y$292:$Y$488)</f>
        <v>10.796954314720779</v>
      </c>
      <c r="AE408">
        <v>0</v>
      </c>
      <c r="AF408" t="s">
        <v>186</v>
      </c>
      <c r="AG408">
        <v>1</v>
      </c>
      <c r="AI408">
        <f t="shared" si="125"/>
        <v>1.9086294416243654</v>
      </c>
      <c r="AK408" t="s">
        <v>1143</v>
      </c>
      <c r="AL408">
        <v>49</v>
      </c>
      <c r="AM408" t="s">
        <v>325</v>
      </c>
      <c r="AN408" t="s">
        <v>356</v>
      </c>
      <c r="AO408">
        <v>0.21199999999999999</v>
      </c>
    </row>
    <row r="409" spans="1:41">
      <c r="A409">
        <v>11</v>
      </c>
      <c r="B409" t="s">
        <v>357</v>
      </c>
      <c r="C409" t="s">
        <v>355</v>
      </c>
      <c r="D409" s="3">
        <f t="shared" si="126"/>
        <v>5.0761421319796955</v>
      </c>
      <c r="F409">
        <v>2021</v>
      </c>
      <c r="G409">
        <f t="shared" si="128"/>
        <v>4</v>
      </c>
      <c r="J409">
        <f t="shared" si="123"/>
        <v>197</v>
      </c>
      <c r="K409">
        <v>5</v>
      </c>
      <c r="L409">
        <v>3</v>
      </c>
      <c r="Q409" t="s">
        <v>556</v>
      </c>
      <c r="R409">
        <f t="shared" si="127"/>
        <v>0.153</v>
      </c>
      <c r="S409">
        <f t="shared" si="124"/>
        <v>0.39482432432432457</v>
      </c>
      <c r="V409" t="s">
        <v>186</v>
      </c>
      <c r="Y409">
        <v>2015</v>
      </c>
      <c r="Z409">
        <f>2025-AVERAGE($Y$292:$Y$488)</f>
        <v>10.796954314720779</v>
      </c>
      <c r="AE409">
        <v>0</v>
      </c>
      <c r="AF409" t="s">
        <v>186</v>
      </c>
      <c r="AG409">
        <v>3</v>
      </c>
      <c r="AI409">
        <f t="shared" si="125"/>
        <v>1.9086294416243654</v>
      </c>
      <c r="AK409" t="s">
        <v>1143</v>
      </c>
      <c r="AL409">
        <v>49</v>
      </c>
      <c r="AM409" t="s">
        <v>325</v>
      </c>
      <c r="AN409" t="s">
        <v>356</v>
      </c>
      <c r="AO409">
        <v>0.21199999999999999</v>
      </c>
    </row>
    <row r="410" spans="1:41">
      <c r="A410">
        <v>11</v>
      </c>
      <c r="B410" t="s">
        <v>357</v>
      </c>
      <c r="C410" t="s">
        <v>355</v>
      </c>
      <c r="D410" s="3">
        <f t="shared" si="126"/>
        <v>5.0761421319796955</v>
      </c>
      <c r="F410">
        <v>2021</v>
      </c>
      <c r="G410">
        <f t="shared" si="128"/>
        <v>4</v>
      </c>
      <c r="J410">
        <f t="shared" si="123"/>
        <v>197</v>
      </c>
      <c r="K410">
        <v>5</v>
      </c>
      <c r="L410">
        <v>3</v>
      </c>
      <c r="Q410" t="s">
        <v>553</v>
      </c>
      <c r="R410" t="str">
        <f t="shared" si="127"/>
        <v/>
      </c>
      <c r="S410">
        <f t="shared" si="124"/>
        <v>0.39482432432432457</v>
      </c>
      <c r="V410" t="s">
        <v>186</v>
      </c>
      <c r="Y410">
        <v>2013</v>
      </c>
      <c r="Z410">
        <f>2025-AVERAGE($Y$292:$Y$488)</f>
        <v>10.796954314720779</v>
      </c>
      <c r="AE410">
        <v>0</v>
      </c>
      <c r="AF410" t="s">
        <v>186</v>
      </c>
      <c r="AG410">
        <v>1</v>
      </c>
      <c r="AI410">
        <f t="shared" si="125"/>
        <v>1.9086294416243654</v>
      </c>
      <c r="AK410" t="s">
        <v>1143</v>
      </c>
      <c r="AL410">
        <v>49</v>
      </c>
      <c r="AM410" t="s">
        <v>325</v>
      </c>
      <c r="AN410" t="s">
        <v>356</v>
      </c>
      <c r="AO410">
        <v>0.21199999999999999</v>
      </c>
    </row>
    <row r="411" spans="1:41">
      <c r="A411">
        <v>11</v>
      </c>
      <c r="B411" t="s">
        <v>357</v>
      </c>
      <c r="C411" t="s">
        <v>355</v>
      </c>
      <c r="D411" s="3">
        <f t="shared" si="126"/>
        <v>5.0761421319796955</v>
      </c>
      <c r="F411">
        <v>2021</v>
      </c>
      <c r="G411">
        <f t="shared" si="128"/>
        <v>4</v>
      </c>
      <c r="J411">
        <f t="shared" si="123"/>
        <v>197</v>
      </c>
      <c r="K411">
        <v>5</v>
      </c>
      <c r="L411">
        <v>3</v>
      </c>
      <c r="Q411" t="s">
        <v>552</v>
      </c>
      <c r="R411" t="str">
        <f t="shared" si="127"/>
        <v/>
      </c>
      <c r="S411">
        <f t="shared" si="124"/>
        <v>0.39482432432432457</v>
      </c>
      <c r="V411" t="s">
        <v>186</v>
      </c>
      <c r="Y411">
        <v>2016</v>
      </c>
      <c r="Z411">
        <f>2025-AVERAGE($Y$292:$Y$488)</f>
        <v>10.796954314720779</v>
      </c>
      <c r="AE411">
        <v>0</v>
      </c>
      <c r="AF411" t="s">
        <v>186</v>
      </c>
      <c r="AG411">
        <v>3</v>
      </c>
      <c r="AI411">
        <f t="shared" si="125"/>
        <v>1.9086294416243654</v>
      </c>
      <c r="AK411" t="s">
        <v>1143</v>
      </c>
      <c r="AL411">
        <v>49</v>
      </c>
      <c r="AM411" t="s">
        <v>325</v>
      </c>
      <c r="AN411" t="s">
        <v>356</v>
      </c>
      <c r="AO411">
        <v>0.21199999999999999</v>
      </c>
    </row>
    <row r="412" spans="1:41">
      <c r="A412">
        <v>11</v>
      </c>
      <c r="B412" t="s">
        <v>357</v>
      </c>
      <c r="C412" t="s">
        <v>355</v>
      </c>
      <c r="D412" s="3">
        <f t="shared" si="126"/>
        <v>5.0761421319796955</v>
      </c>
      <c r="F412">
        <v>2021</v>
      </c>
      <c r="G412">
        <f t="shared" si="128"/>
        <v>4</v>
      </c>
      <c r="J412">
        <f t="shared" si="123"/>
        <v>197</v>
      </c>
      <c r="K412">
        <v>5</v>
      </c>
      <c r="L412">
        <v>3</v>
      </c>
      <c r="Q412" t="s">
        <v>556</v>
      </c>
      <c r="R412">
        <f t="shared" si="127"/>
        <v>0.27900000000000003</v>
      </c>
      <c r="S412">
        <f t="shared" si="124"/>
        <v>0.39482432432432457</v>
      </c>
      <c r="V412" t="s">
        <v>186</v>
      </c>
      <c r="Y412">
        <v>2013</v>
      </c>
      <c r="Z412">
        <f>2025-AVERAGE($Y$292:$Y$488)</f>
        <v>10.796954314720779</v>
      </c>
      <c r="AE412">
        <v>0</v>
      </c>
      <c r="AF412" t="s">
        <v>186</v>
      </c>
      <c r="AG412">
        <v>2</v>
      </c>
      <c r="AI412">
        <f t="shared" si="125"/>
        <v>1.9086294416243654</v>
      </c>
      <c r="AK412" t="s">
        <v>1143</v>
      </c>
      <c r="AL412">
        <v>49</v>
      </c>
      <c r="AM412" t="s">
        <v>325</v>
      </c>
      <c r="AN412" t="s">
        <v>356</v>
      </c>
      <c r="AO412">
        <v>0.21199999999999999</v>
      </c>
    </row>
    <row r="413" spans="1:41">
      <c r="A413">
        <v>11</v>
      </c>
      <c r="B413" t="s">
        <v>357</v>
      </c>
      <c r="C413" t="s">
        <v>355</v>
      </c>
      <c r="D413" s="3">
        <f t="shared" si="126"/>
        <v>5.0761421319796955</v>
      </c>
      <c r="F413">
        <v>2021</v>
      </c>
      <c r="G413">
        <f t="shared" si="128"/>
        <v>4</v>
      </c>
      <c r="J413">
        <f t="shared" si="123"/>
        <v>197</v>
      </c>
      <c r="K413">
        <v>5</v>
      </c>
      <c r="L413">
        <v>3</v>
      </c>
      <c r="Q413" t="s">
        <v>556</v>
      </c>
      <c r="R413">
        <f t="shared" si="127"/>
        <v>0.21</v>
      </c>
      <c r="S413">
        <f t="shared" si="124"/>
        <v>0.39482432432432457</v>
      </c>
      <c r="V413" t="s">
        <v>186</v>
      </c>
      <c r="Y413">
        <v>2012</v>
      </c>
      <c r="Z413">
        <f>2025-AVERAGE($Y$292:$Y$488)</f>
        <v>10.796954314720779</v>
      </c>
      <c r="AE413">
        <v>0</v>
      </c>
      <c r="AF413" t="s">
        <v>186</v>
      </c>
      <c r="AG413">
        <v>3</v>
      </c>
      <c r="AI413">
        <f t="shared" si="125"/>
        <v>1.9086294416243654</v>
      </c>
      <c r="AK413" t="s">
        <v>1143</v>
      </c>
      <c r="AL413">
        <v>49</v>
      </c>
      <c r="AM413" t="s">
        <v>325</v>
      </c>
      <c r="AN413" t="s">
        <v>356</v>
      </c>
      <c r="AO413">
        <v>0.21199999999999999</v>
      </c>
    </row>
    <row r="414" spans="1:41">
      <c r="A414">
        <v>11</v>
      </c>
      <c r="B414" t="s">
        <v>357</v>
      </c>
      <c r="C414" t="s">
        <v>355</v>
      </c>
      <c r="D414" s="3">
        <f t="shared" si="126"/>
        <v>5.0761421319796955</v>
      </c>
      <c r="F414">
        <v>2021</v>
      </c>
      <c r="G414">
        <f t="shared" si="128"/>
        <v>4</v>
      </c>
      <c r="J414">
        <f t="shared" si="123"/>
        <v>197</v>
      </c>
      <c r="K414">
        <v>5</v>
      </c>
      <c r="L414">
        <v>3</v>
      </c>
      <c r="Q414" t="s">
        <v>554</v>
      </c>
      <c r="R414">
        <f t="shared" si="127"/>
        <v>0.31900000000000001</v>
      </c>
      <c r="S414">
        <f t="shared" si="124"/>
        <v>0.39482432432432457</v>
      </c>
      <c r="V414" t="s">
        <v>186</v>
      </c>
      <c r="Y414">
        <v>2014</v>
      </c>
      <c r="Z414">
        <f>2025-AVERAGE($Y$292:$Y$488)</f>
        <v>10.796954314720779</v>
      </c>
      <c r="AE414">
        <v>0</v>
      </c>
      <c r="AF414" t="s">
        <v>186</v>
      </c>
      <c r="AG414">
        <v>1</v>
      </c>
      <c r="AI414">
        <f t="shared" si="125"/>
        <v>1.9086294416243654</v>
      </c>
      <c r="AK414" t="s">
        <v>1143</v>
      </c>
      <c r="AL414">
        <v>49</v>
      </c>
      <c r="AM414" t="s">
        <v>325</v>
      </c>
      <c r="AN414" t="s">
        <v>356</v>
      </c>
      <c r="AO414">
        <v>0.21199999999999999</v>
      </c>
    </row>
    <row r="415" spans="1:41">
      <c r="A415">
        <v>11</v>
      </c>
      <c r="B415" t="s">
        <v>357</v>
      </c>
      <c r="C415" t="s">
        <v>355</v>
      </c>
      <c r="D415" s="3">
        <f t="shared" si="126"/>
        <v>5.0761421319796955</v>
      </c>
      <c r="F415">
        <v>2021</v>
      </c>
      <c r="G415">
        <f t="shared" si="128"/>
        <v>4</v>
      </c>
      <c r="J415">
        <f t="shared" si="123"/>
        <v>197</v>
      </c>
      <c r="K415">
        <v>5</v>
      </c>
      <c r="L415">
        <v>3</v>
      </c>
      <c r="Q415" t="s">
        <v>555</v>
      </c>
      <c r="R415">
        <f t="shared" si="127"/>
        <v>0.51800000000000002</v>
      </c>
      <c r="S415">
        <f t="shared" si="124"/>
        <v>0.39482432432432457</v>
      </c>
      <c r="V415" t="s">
        <v>186</v>
      </c>
      <c r="Y415">
        <v>2015</v>
      </c>
      <c r="Z415">
        <f>2025-AVERAGE($Y$292:$Y$488)</f>
        <v>10.796954314720779</v>
      </c>
      <c r="AE415">
        <v>0</v>
      </c>
      <c r="AF415" t="s">
        <v>186</v>
      </c>
      <c r="AG415">
        <v>1</v>
      </c>
      <c r="AI415">
        <f t="shared" si="125"/>
        <v>1.9086294416243654</v>
      </c>
      <c r="AK415" t="s">
        <v>1143</v>
      </c>
      <c r="AL415">
        <v>49</v>
      </c>
      <c r="AM415" t="s">
        <v>325</v>
      </c>
      <c r="AN415" t="s">
        <v>356</v>
      </c>
      <c r="AO415">
        <v>0.21199999999999999</v>
      </c>
    </row>
    <row r="416" spans="1:41">
      <c r="A416">
        <v>11</v>
      </c>
      <c r="B416" t="s">
        <v>357</v>
      </c>
      <c r="C416" t="s">
        <v>355</v>
      </c>
      <c r="D416" s="3">
        <f t="shared" si="126"/>
        <v>5.0761421319796955</v>
      </c>
      <c r="F416">
        <v>2021</v>
      </c>
      <c r="G416">
        <f t="shared" si="128"/>
        <v>4</v>
      </c>
      <c r="J416">
        <f t="shared" si="123"/>
        <v>197</v>
      </c>
      <c r="K416">
        <v>5</v>
      </c>
      <c r="L416">
        <v>3</v>
      </c>
      <c r="Q416" t="s">
        <v>554</v>
      </c>
      <c r="R416">
        <f t="shared" si="127"/>
        <v>0.36899999999999999</v>
      </c>
      <c r="S416">
        <f t="shared" si="124"/>
        <v>0.39482432432432457</v>
      </c>
      <c r="V416" t="s">
        <v>186</v>
      </c>
      <c r="Y416">
        <v>2016</v>
      </c>
      <c r="Z416">
        <f>2025-AVERAGE($Y$292:$Y$488)</f>
        <v>10.796954314720779</v>
      </c>
      <c r="AE416">
        <v>0</v>
      </c>
      <c r="AF416" t="s">
        <v>186</v>
      </c>
      <c r="AG416">
        <v>3</v>
      </c>
      <c r="AI416">
        <f t="shared" si="125"/>
        <v>1.9086294416243654</v>
      </c>
      <c r="AK416" t="s">
        <v>1143</v>
      </c>
      <c r="AL416">
        <v>49</v>
      </c>
      <c r="AM416" t="s">
        <v>325</v>
      </c>
      <c r="AN416" t="s">
        <v>356</v>
      </c>
      <c r="AO416">
        <v>0.21199999999999999</v>
      </c>
    </row>
    <row r="417" spans="1:41">
      <c r="A417">
        <v>11</v>
      </c>
      <c r="B417" t="s">
        <v>357</v>
      </c>
      <c r="C417" t="s">
        <v>355</v>
      </c>
      <c r="D417" s="3">
        <f t="shared" si="126"/>
        <v>5.0761421319796955</v>
      </c>
      <c r="F417">
        <v>2021</v>
      </c>
      <c r="G417">
        <f t="shared" si="128"/>
        <v>4</v>
      </c>
      <c r="J417">
        <f t="shared" si="123"/>
        <v>197</v>
      </c>
      <c r="K417">
        <v>5</v>
      </c>
      <c r="L417">
        <v>3</v>
      </c>
      <c r="Q417" t="s">
        <v>555</v>
      </c>
      <c r="R417">
        <f t="shared" si="127"/>
        <v>0.34100000000000003</v>
      </c>
      <c r="S417">
        <f t="shared" si="124"/>
        <v>0.39482432432432457</v>
      </c>
      <c r="V417" t="s">
        <v>186</v>
      </c>
      <c r="Y417">
        <v>2014</v>
      </c>
      <c r="Z417">
        <f>2025-AVERAGE($Y$292:$Y$488)</f>
        <v>10.796954314720779</v>
      </c>
      <c r="AE417">
        <v>0</v>
      </c>
      <c r="AF417" t="s">
        <v>186</v>
      </c>
      <c r="AG417">
        <v>2</v>
      </c>
      <c r="AI417">
        <f t="shared" si="125"/>
        <v>1.9086294416243654</v>
      </c>
      <c r="AK417" t="s">
        <v>1143</v>
      </c>
      <c r="AL417">
        <v>49</v>
      </c>
      <c r="AM417" t="s">
        <v>325</v>
      </c>
      <c r="AN417" t="s">
        <v>356</v>
      </c>
      <c r="AO417">
        <v>0.21199999999999999</v>
      </c>
    </row>
    <row r="418" spans="1:41">
      <c r="A418">
        <v>11</v>
      </c>
      <c r="B418" t="s">
        <v>357</v>
      </c>
      <c r="C418" t="s">
        <v>355</v>
      </c>
      <c r="D418" s="3">
        <f t="shared" si="126"/>
        <v>5.0761421319796955</v>
      </c>
      <c r="F418">
        <v>2021</v>
      </c>
      <c r="G418">
        <f t="shared" si="128"/>
        <v>4</v>
      </c>
      <c r="J418">
        <f t="shared" si="123"/>
        <v>197</v>
      </c>
      <c r="K418">
        <v>5</v>
      </c>
      <c r="L418">
        <v>3</v>
      </c>
      <c r="Q418" t="s">
        <v>554</v>
      </c>
      <c r="R418">
        <f t="shared" si="127"/>
        <v>0.36899999999999999</v>
      </c>
      <c r="S418">
        <f t="shared" si="124"/>
        <v>0.39482432432432457</v>
      </c>
      <c r="V418" t="s">
        <v>186</v>
      </c>
      <c r="Y418">
        <v>2016</v>
      </c>
      <c r="Z418">
        <f>2025-AVERAGE($Y$292:$Y$488)</f>
        <v>10.796954314720779</v>
      </c>
      <c r="AE418">
        <v>0</v>
      </c>
      <c r="AF418" t="s">
        <v>186</v>
      </c>
      <c r="AG418">
        <v>3</v>
      </c>
      <c r="AI418">
        <f t="shared" si="125"/>
        <v>1.9086294416243654</v>
      </c>
      <c r="AK418" t="s">
        <v>1143</v>
      </c>
      <c r="AL418">
        <v>49</v>
      </c>
      <c r="AM418" t="s">
        <v>325</v>
      </c>
      <c r="AN418" t="s">
        <v>356</v>
      </c>
      <c r="AO418">
        <v>0.21199999999999999</v>
      </c>
    </row>
    <row r="419" spans="1:41">
      <c r="A419">
        <v>11</v>
      </c>
      <c r="B419" t="s">
        <v>357</v>
      </c>
      <c r="C419" t="s">
        <v>355</v>
      </c>
      <c r="D419" s="3">
        <f t="shared" si="126"/>
        <v>5.0761421319796955</v>
      </c>
      <c r="F419">
        <v>2021</v>
      </c>
      <c r="G419">
        <f t="shared" si="128"/>
        <v>4</v>
      </c>
      <c r="J419">
        <f t="shared" si="123"/>
        <v>197</v>
      </c>
      <c r="K419">
        <v>5</v>
      </c>
      <c r="L419">
        <v>3</v>
      </c>
      <c r="Q419" t="s">
        <v>555</v>
      </c>
      <c r="R419">
        <f t="shared" si="127"/>
        <v>0.45700000000000002</v>
      </c>
      <c r="S419">
        <f t="shared" si="124"/>
        <v>0.39482432432432457</v>
      </c>
      <c r="V419" t="s">
        <v>186</v>
      </c>
      <c r="Y419">
        <v>2016</v>
      </c>
      <c r="Z419">
        <f>2025-AVERAGE($Y$292:$Y$488)</f>
        <v>10.796954314720779</v>
      </c>
      <c r="AE419">
        <v>0</v>
      </c>
      <c r="AF419" t="s">
        <v>186</v>
      </c>
      <c r="AG419">
        <v>1</v>
      </c>
      <c r="AI419">
        <f t="shared" si="125"/>
        <v>1.9086294416243654</v>
      </c>
      <c r="AK419" t="s">
        <v>1143</v>
      </c>
      <c r="AL419">
        <v>49</v>
      </c>
      <c r="AM419" t="s">
        <v>325</v>
      </c>
      <c r="AN419" t="s">
        <v>356</v>
      </c>
      <c r="AO419">
        <v>0.21199999999999999</v>
      </c>
    </row>
    <row r="420" spans="1:41">
      <c r="A420">
        <v>11</v>
      </c>
      <c r="B420" t="s">
        <v>357</v>
      </c>
      <c r="C420" t="s">
        <v>355</v>
      </c>
      <c r="D420" s="3">
        <f t="shared" ref="D420:D451" si="129">100*(COUNTIF($T$292:$T$488,"Replicable")/$J$292)</f>
        <v>5.0761421319796955</v>
      </c>
      <c r="F420">
        <v>2021</v>
      </c>
      <c r="G420">
        <f t="shared" si="128"/>
        <v>4</v>
      </c>
      <c r="J420">
        <f t="shared" si="123"/>
        <v>197</v>
      </c>
      <c r="K420">
        <v>5</v>
      </c>
      <c r="L420">
        <v>3</v>
      </c>
      <c r="Q420" t="s">
        <v>554</v>
      </c>
      <c r="R420">
        <f t="shared" ref="R420:R451" si="130">IF(AND(Q420="Dados", Y420=2012), 0.732,
IF(AND(Q420="Dados", Y420=2013), 0.469,
IF(AND(Q420="Dados", Y420=2014), 0.341,
IF(AND(Q420="Dados", Y420=2015), 0.518,
IF(AND(Q420="Dados", Y420=2016), 0.457,
IF(AND(Q420="Opinião Púbilca", Y420=2012), 0.358,
IF(AND(Q420="Opinião Púbilca", Y420=2013), 0.503,
IF(AND(Q420="Opinião Púbilca", Y420=2014), 0.319,
IF(AND(Q420="Opinião Púbilca", Y420=2015), 0.273,
IF(AND(Q420="Opinião Púbilca", Y420=2016), 0.369,
IF(AND(Q420="Revista Brasileira de Ciências Sociais", Y420=2012), 0.21,
IF(AND(Q420="Revista Brasileira de Ciências Sociais", Y420=2013), 0.279,
IF(AND(Q420="Revista Brasileira de Ciências Sociais", Y420=2014), 0.298,
IF(AND(Q420="Revista Brasileira de Ciências Sociais", Y420=2015), 0.153,
IF(AND(Q420="Revista Brasileira de Ciências Sociais", Y420=2016), 0.297,
"")))))))))))))))</f>
        <v>0.35799999999999998</v>
      </c>
      <c r="S420">
        <f t="shared" si="124"/>
        <v>0.39482432432432457</v>
      </c>
      <c r="V420" t="s">
        <v>186</v>
      </c>
      <c r="Y420">
        <v>2012</v>
      </c>
      <c r="Z420">
        <f>2025-AVERAGE($Y$292:$Y$488)</f>
        <v>10.796954314720779</v>
      </c>
      <c r="AE420">
        <v>0</v>
      </c>
      <c r="AF420" t="s">
        <v>186</v>
      </c>
      <c r="AG420">
        <v>2</v>
      </c>
      <c r="AI420">
        <f t="shared" si="125"/>
        <v>1.9086294416243654</v>
      </c>
      <c r="AK420" t="s">
        <v>1143</v>
      </c>
      <c r="AL420">
        <v>49</v>
      </c>
      <c r="AM420" t="s">
        <v>325</v>
      </c>
      <c r="AN420" t="s">
        <v>356</v>
      </c>
      <c r="AO420">
        <v>0.21199999999999999</v>
      </c>
    </row>
    <row r="421" spans="1:41">
      <c r="A421">
        <v>11</v>
      </c>
      <c r="B421" t="s">
        <v>357</v>
      </c>
      <c r="C421" t="s">
        <v>355</v>
      </c>
      <c r="D421" s="3">
        <f t="shared" si="129"/>
        <v>5.0761421319796955</v>
      </c>
      <c r="F421">
        <v>2021</v>
      </c>
      <c r="G421">
        <f t="shared" si="128"/>
        <v>4</v>
      </c>
      <c r="J421">
        <f t="shared" ref="J421:J484" si="131">COUNTA($Y$292:$Y$488)</f>
        <v>197</v>
      </c>
      <c r="K421">
        <v>5</v>
      </c>
      <c r="L421">
        <v>3</v>
      </c>
      <c r="Q421" t="s">
        <v>554</v>
      </c>
      <c r="R421">
        <f t="shared" si="130"/>
        <v>0.503</v>
      </c>
      <c r="S421">
        <f t="shared" ref="S421:S484" si="132">AVERAGE($R$292:$R$488)</f>
        <v>0.39482432432432457</v>
      </c>
      <c r="V421" t="s">
        <v>186</v>
      </c>
      <c r="Y421">
        <v>2013</v>
      </c>
      <c r="Z421">
        <f>2025-AVERAGE($Y$292:$Y$488)</f>
        <v>10.796954314720779</v>
      </c>
      <c r="AE421">
        <v>0</v>
      </c>
      <c r="AF421" t="s">
        <v>186</v>
      </c>
      <c r="AG421">
        <v>1</v>
      </c>
      <c r="AI421">
        <f t="shared" ref="AI421:AI484" si="133">AVERAGE($AG$292:$AG$488)</f>
        <v>1.9086294416243654</v>
      </c>
      <c r="AK421" t="s">
        <v>1143</v>
      </c>
      <c r="AL421">
        <v>49</v>
      </c>
      <c r="AM421" t="s">
        <v>325</v>
      </c>
      <c r="AN421" t="s">
        <v>356</v>
      </c>
      <c r="AO421">
        <v>0.21199999999999999</v>
      </c>
    </row>
    <row r="422" spans="1:41">
      <c r="A422">
        <v>11</v>
      </c>
      <c r="B422" t="s">
        <v>357</v>
      </c>
      <c r="C422" t="s">
        <v>355</v>
      </c>
      <c r="D422" s="3">
        <f t="shared" si="129"/>
        <v>5.0761421319796955</v>
      </c>
      <c r="F422">
        <v>2021</v>
      </c>
      <c r="G422">
        <f t="shared" si="128"/>
        <v>4</v>
      </c>
      <c r="J422">
        <f t="shared" si="131"/>
        <v>197</v>
      </c>
      <c r="K422">
        <v>5</v>
      </c>
      <c r="L422">
        <v>3</v>
      </c>
      <c r="Q422" t="s">
        <v>555</v>
      </c>
      <c r="R422">
        <f t="shared" si="130"/>
        <v>0.45700000000000002</v>
      </c>
      <c r="S422">
        <f t="shared" si="132"/>
        <v>0.39482432432432457</v>
      </c>
      <c r="T422" t="s">
        <v>559</v>
      </c>
      <c r="V422" t="s">
        <v>186</v>
      </c>
      <c r="Y422">
        <v>2016</v>
      </c>
      <c r="Z422">
        <f>2025-AVERAGE($Y$292:$Y$488)</f>
        <v>10.796954314720779</v>
      </c>
      <c r="AE422">
        <v>0</v>
      </c>
      <c r="AF422" t="s">
        <v>186</v>
      </c>
      <c r="AG422">
        <v>3</v>
      </c>
      <c r="AI422">
        <f t="shared" si="133"/>
        <v>1.9086294416243654</v>
      </c>
      <c r="AK422" t="s">
        <v>1143</v>
      </c>
      <c r="AL422">
        <v>49</v>
      </c>
      <c r="AM422" t="s">
        <v>325</v>
      </c>
      <c r="AN422" t="s">
        <v>356</v>
      </c>
      <c r="AO422">
        <v>0.21199999999999999</v>
      </c>
    </row>
    <row r="423" spans="1:41">
      <c r="A423">
        <v>11</v>
      </c>
      <c r="B423" t="s">
        <v>357</v>
      </c>
      <c r="C423" t="s">
        <v>355</v>
      </c>
      <c r="D423" s="3">
        <f t="shared" si="129"/>
        <v>5.0761421319796955</v>
      </c>
      <c r="F423">
        <v>2021</v>
      </c>
      <c r="G423">
        <f t="shared" si="128"/>
        <v>4</v>
      </c>
      <c r="J423">
        <f t="shared" si="131"/>
        <v>197</v>
      </c>
      <c r="K423">
        <v>5</v>
      </c>
      <c r="L423">
        <v>3</v>
      </c>
      <c r="Q423" t="s">
        <v>554</v>
      </c>
      <c r="R423">
        <f t="shared" si="130"/>
        <v>0.503</v>
      </c>
      <c r="S423">
        <f t="shared" si="132"/>
        <v>0.39482432432432457</v>
      </c>
      <c r="V423" t="s">
        <v>186</v>
      </c>
      <c r="Y423">
        <v>2013</v>
      </c>
      <c r="Z423">
        <f>2025-AVERAGE($Y$292:$Y$488)</f>
        <v>10.796954314720779</v>
      </c>
      <c r="AE423">
        <v>0</v>
      </c>
      <c r="AF423" t="s">
        <v>186</v>
      </c>
      <c r="AG423">
        <v>1</v>
      </c>
      <c r="AI423">
        <f t="shared" si="133"/>
        <v>1.9086294416243654</v>
      </c>
      <c r="AK423" t="s">
        <v>1143</v>
      </c>
      <c r="AL423">
        <v>49</v>
      </c>
      <c r="AM423" t="s">
        <v>325</v>
      </c>
      <c r="AN423" t="s">
        <v>356</v>
      </c>
      <c r="AO423">
        <v>0.21199999999999999</v>
      </c>
    </row>
    <row r="424" spans="1:41">
      <c r="A424">
        <v>11</v>
      </c>
      <c r="B424" t="s">
        <v>357</v>
      </c>
      <c r="C424" t="s">
        <v>355</v>
      </c>
      <c r="D424" s="3">
        <f t="shared" si="129"/>
        <v>5.0761421319796955</v>
      </c>
      <c r="F424">
        <v>2021</v>
      </c>
      <c r="G424">
        <f t="shared" si="128"/>
        <v>4</v>
      </c>
      <c r="J424">
        <f t="shared" si="131"/>
        <v>197</v>
      </c>
      <c r="K424">
        <v>5</v>
      </c>
      <c r="L424">
        <v>3</v>
      </c>
      <c r="Q424" t="s">
        <v>555</v>
      </c>
      <c r="R424">
        <f t="shared" si="130"/>
        <v>0.51800000000000002</v>
      </c>
      <c r="S424">
        <f t="shared" si="132"/>
        <v>0.39482432432432457</v>
      </c>
      <c r="T424" t="s">
        <v>559</v>
      </c>
      <c r="V424" t="s">
        <v>186</v>
      </c>
      <c r="Y424">
        <v>2015</v>
      </c>
      <c r="Z424">
        <f>2025-AVERAGE($Y$292:$Y$488)</f>
        <v>10.796954314720779</v>
      </c>
      <c r="AE424">
        <v>0</v>
      </c>
      <c r="AF424" t="s">
        <v>186</v>
      </c>
      <c r="AG424">
        <v>3</v>
      </c>
      <c r="AI424">
        <f t="shared" si="133"/>
        <v>1.9086294416243654</v>
      </c>
      <c r="AK424" t="s">
        <v>1143</v>
      </c>
      <c r="AL424">
        <v>49</v>
      </c>
      <c r="AM424" t="s">
        <v>325</v>
      </c>
      <c r="AN424" t="s">
        <v>356</v>
      </c>
      <c r="AO424">
        <v>0.21199999999999999</v>
      </c>
    </row>
    <row r="425" spans="1:41">
      <c r="A425">
        <v>11</v>
      </c>
      <c r="B425" t="s">
        <v>357</v>
      </c>
      <c r="C425" t="s">
        <v>355</v>
      </c>
      <c r="D425" s="3">
        <f t="shared" si="129"/>
        <v>5.0761421319796955</v>
      </c>
      <c r="F425">
        <v>2021</v>
      </c>
      <c r="G425">
        <f t="shared" si="128"/>
        <v>4</v>
      </c>
      <c r="J425">
        <f t="shared" si="131"/>
        <v>197</v>
      </c>
      <c r="K425">
        <v>5</v>
      </c>
      <c r="L425">
        <v>3</v>
      </c>
      <c r="Q425" t="s">
        <v>554</v>
      </c>
      <c r="R425">
        <f t="shared" si="130"/>
        <v>0.27300000000000002</v>
      </c>
      <c r="S425">
        <f t="shared" si="132"/>
        <v>0.39482432432432457</v>
      </c>
      <c r="V425" t="s">
        <v>186</v>
      </c>
      <c r="Y425">
        <v>2015</v>
      </c>
      <c r="Z425">
        <f>2025-AVERAGE($Y$292:$Y$488)</f>
        <v>10.796954314720779</v>
      </c>
      <c r="AE425">
        <v>0</v>
      </c>
      <c r="AF425" t="s">
        <v>186</v>
      </c>
      <c r="AG425">
        <v>1</v>
      </c>
      <c r="AI425">
        <f t="shared" si="133"/>
        <v>1.9086294416243654</v>
      </c>
      <c r="AK425" t="s">
        <v>1143</v>
      </c>
      <c r="AL425">
        <v>49</v>
      </c>
      <c r="AM425" t="s">
        <v>325</v>
      </c>
      <c r="AN425" t="s">
        <v>356</v>
      </c>
      <c r="AO425">
        <v>0.21199999999999999</v>
      </c>
    </row>
    <row r="426" spans="1:41">
      <c r="A426">
        <v>11</v>
      </c>
      <c r="B426" t="s">
        <v>357</v>
      </c>
      <c r="C426" t="s">
        <v>355</v>
      </c>
      <c r="D426" s="3">
        <f t="shared" si="129"/>
        <v>5.0761421319796955</v>
      </c>
      <c r="F426">
        <v>2021</v>
      </c>
      <c r="G426">
        <f t="shared" si="128"/>
        <v>4</v>
      </c>
      <c r="J426">
        <f t="shared" si="131"/>
        <v>197</v>
      </c>
      <c r="K426">
        <v>5</v>
      </c>
      <c r="L426">
        <v>3</v>
      </c>
      <c r="Q426" t="s">
        <v>554</v>
      </c>
      <c r="R426">
        <f t="shared" si="130"/>
        <v>0.36899999999999999</v>
      </c>
      <c r="S426">
        <f t="shared" si="132"/>
        <v>0.39482432432432457</v>
      </c>
      <c r="T426" t="s">
        <v>557</v>
      </c>
      <c r="V426" t="s">
        <v>186</v>
      </c>
      <c r="Y426">
        <v>2016</v>
      </c>
      <c r="Z426">
        <f>2025-AVERAGE($Y$292:$Y$488)</f>
        <v>10.796954314720779</v>
      </c>
      <c r="AE426">
        <v>0</v>
      </c>
      <c r="AF426" t="s">
        <v>186</v>
      </c>
      <c r="AG426">
        <v>2</v>
      </c>
      <c r="AI426">
        <f t="shared" si="133"/>
        <v>1.9086294416243654</v>
      </c>
      <c r="AK426" t="s">
        <v>1143</v>
      </c>
      <c r="AL426">
        <v>49</v>
      </c>
      <c r="AM426" t="s">
        <v>325</v>
      </c>
      <c r="AN426" t="s">
        <v>356</v>
      </c>
      <c r="AO426">
        <v>0.21199999999999999</v>
      </c>
    </row>
    <row r="427" spans="1:41">
      <c r="A427">
        <v>11</v>
      </c>
      <c r="B427" t="s">
        <v>357</v>
      </c>
      <c r="C427" t="s">
        <v>355</v>
      </c>
      <c r="D427" s="3">
        <f t="shared" si="129"/>
        <v>5.0761421319796955</v>
      </c>
      <c r="F427">
        <v>2021</v>
      </c>
      <c r="G427">
        <f t="shared" si="128"/>
        <v>4</v>
      </c>
      <c r="J427">
        <f t="shared" si="131"/>
        <v>197</v>
      </c>
      <c r="K427">
        <v>5</v>
      </c>
      <c r="L427">
        <v>3</v>
      </c>
      <c r="Q427" t="s">
        <v>556</v>
      </c>
      <c r="R427">
        <f t="shared" si="130"/>
        <v>0.29799999999999999</v>
      </c>
      <c r="S427">
        <f t="shared" si="132"/>
        <v>0.39482432432432457</v>
      </c>
      <c r="V427" t="s">
        <v>186</v>
      </c>
      <c r="Y427">
        <v>2014</v>
      </c>
      <c r="Z427">
        <f>2025-AVERAGE($Y$292:$Y$488)</f>
        <v>10.796954314720779</v>
      </c>
      <c r="AE427">
        <v>0</v>
      </c>
      <c r="AF427" t="s">
        <v>186</v>
      </c>
      <c r="AG427">
        <v>4</v>
      </c>
      <c r="AI427">
        <f t="shared" si="133"/>
        <v>1.9086294416243654</v>
      </c>
      <c r="AK427" t="s">
        <v>1143</v>
      </c>
      <c r="AL427">
        <v>49</v>
      </c>
      <c r="AM427" t="s">
        <v>325</v>
      </c>
      <c r="AN427" t="s">
        <v>356</v>
      </c>
      <c r="AO427">
        <v>0.21199999999999999</v>
      </c>
    </row>
    <row r="428" spans="1:41">
      <c r="A428">
        <v>11</v>
      </c>
      <c r="B428" t="s">
        <v>357</v>
      </c>
      <c r="C428" t="s">
        <v>355</v>
      </c>
      <c r="D428" s="3">
        <f t="shared" si="129"/>
        <v>5.0761421319796955</v>
      </c>
      <c r="F428">
        <v>2021</v>
      </c>
      <c r="G428">
        <f t="shared" si="128"/>
        <v>4</v>
      </c>
      <c r="J428">
        <f t="shared" si="131"/>
        <v>197</v>
      </c>
      <c r="K428">
        <v>5</v>
      </c>
      <c r="L428">
        <v>3</v>
      </c>
      <c r="Q428" t="s">
        <v>554</v>
      </c>
      <c r="R428">
        <f t="shared" si="130"/>
        <v>0.35799999999999998</v>
      </c>
      <c r="S428">
        <f t="shared" si="132"/>
        <v>0.39482432432432457</v>
      </c>
      <c r="T428" t="s">
        <v>559</v>
      </c>
      <c r="V428" t="s">
        <v>186</v>
      </c>
      <c r="Y428">
        <v>2012</v>
      </c>
      <c r="Z428">
        <f>2025-AVERAGE($Y$292:$Y$488)</f>
        <v>10.796954314720779</v>
      </c>
      <c r="AE428">
        <v>0</v>
      </c>
      <c r="AF428" t="s">
        <v>186</v>
      </c>
      <c r="AG428">
        <v>2</v>
      </c>
      <c r="AI428">
        <f t="shared" si="133"/>
        <v>1.9086294416243654</v>
      </c>
      <c r="AK428" t="s">
        <v>1143</v>
      </c>
      <c r="AL428">
        <v>49</v>
      </c>
      <c r="AM428" t="s">
        <v>325</v>
      </c>
      <c r="AN428" t="s">
        <v>356</v>
      </c>
      <c r="AO428">
        <v>0.21199999999999999</v>
      </c>
    </row>
    <row r="429" spans="1:41">
      <c r="A429">
        <v>11</v>
      </c>
      <c r="B429" t="s">
        <v>357</v>
      </c>
      <c r="C429" t="s">
        <v>355</v>
      </c>
      <c r="D429" s="3">
        <f t="shared" si="129"/>
        <v>5.0761421319796955</v>
      </c>
      <c r="F429">
        <v>2021</v>
      </c>
      <c r="G429">
        <f t="shared" si="128"/>
        <v>4</v>
      </c>
      <c r="J429">
        <f t="shared" si="131"/>
        <v>197</v>
      </c>
      <c r="K429">
        <v>5</v>
      </c>
      <c r="L429">
        <v>3</v>
      </c>
      <c r="Q429" t="s">
        <v>553</v>
      </c>
      <c r="R429" t="str">
        <f t="shared" si="130"/>
        <v/>
      </c>
      <c r="S429">
        <f t="shared" si="132"/>
        <v>0.39482432432432457</v>
      </c>
      <c r="V429" t="s">
        <v>186</v>
      </c>
      <c r="Y429">
        <v>2014</v>
      </c>
      <c r="Z429">
        <f>2025-AVERAGE($Y$292:$Y$488)</f>
        <v>10.796954314720779</v>
      </c>
      <c r="AE429">
        <v>0</v>
      </c>
      <c r="AF429" t="s">
        <v>186</v>
      </c>
      <c r="AG429">
        <v>3</v>
      </c>
      <c r="AI429">
        <f t="shared" si="133"/>
        <v>1.9086294416243654</v>
      </c>
      <c r="AK429" t="s">
        <v>1143</v>
      </c>
      <c r="AL429">
        <v>49</v>
      </c>
      <c r="AM429" t="s">
        <v>325</v>
      </c>
      <c r="AN429" t="s">
        <v>356</v>
      </c>
      <c r="AO429">
        <v>0.21199999999999999</v>
      </c>
    </row>
    <row r="430" spans="1:41">
      <c r="A430">
        <v>11</v>
      </c>
      <c r="B430" t="s">
        <v>357</v>
      </c>
      <c r="C430" t="s">
        <v>355</v>
      </c>
      <c r="D430" s="3">
        <f t="shared" si="129"/>
        <v>5.0761421319796955</v>
      </c>
      <c r="F430">
        <v>2021</v>
      </c>
      <c r="G430">
        <f t="shared" si="128"/>
        <v>4</v>
      </c>
      <c r="J430">
        <f t="shared" si="131"/>
        <v>197</v>
      </c>
      <c r="K430">
        <v>5</v>
      </c>
      <c r="L430">
        <v>3</v>
      </c>
      <c r="Q430" t="s">
        <v>552</v>
      </c>
      <c r="R430" t="str">
        <f t="shared" si="130"/>
        <v/>
      </c>
      <c r="S430">
        <f t="shared" si="132"/>
        <v>0.39482432432432457</v>
      </c>
      <c r="T430" t="s">
        <v>557</v>
      </c>
      <c r="V430" t="s">
        <v>186</v>
      </c>
      <c r="Y430">
        <v>2016</v>
      </c>
      <c r="Z430">
        <f>2025-AVERAGE($Y$292:$Y$488)</f>
        <v>10.796954314720779</v>
      </c>
      <c r="AE430">
        <v>0</v>
      </c>
      <c r="AF430" t="s">
        <v>186</v>
      </c>
      <c r="AG430">
        <v>1</v>
      </c>
      <c r="AI430">
        <f t="shared" si="133"/>
        <v>1.9086294416243654</v>
      </c>
      <c r="AK430" t="s">
        <v>1143</v>
      </c>
      <c r="AL430">
        <v>49</v>
      </c>
      <c r="AM430" t="s">
        <v>325</v>
      </c>
      <c r="AN430" t="s">
        <v>356</v>
      </c>
      <c r="AO430">
        <v>0.21199999999999999</v>
      </c>
    </row>
    <row r="431" spans="1:41">
      <c r="A431">
        <v>11</v>
      </c>
      <c r="B431" t="s">
        <v>357</v>
      </c>
      <c r="C431" t="s">
        <v>355</v>
      </c>
      <c r="D431" s="3">
        <f t="shared" si="129"/>
        <v>5.0761421319796955</v>
      </c>
      <c r="F431">
        <v>2021</v>
      </c>
      <c r="G431">
        <f t="shared" si="128"/>
        <v>4</v>
      </c>
      <c r="J431">
        <f t="shared" si="131"/>
        <v>197</v>
      </c>
      <c r="K431">
        <v>5</v>
      </c>
      <c r="L431">
        <v>3</v>
      </c>
      <c r="Q431" t="s">
        <v>556</v>
      </c>
      <c r="R431">
        <f t="shared" si="130"/>
        <v>0.29699999999999999</v>
      </c>
      <c r="S431">
        <f t="shared" si="132"/>
        <v>0.39482432432432457</v>
      </c>
      <c r="V431" t="s">
        <v>186</v>
      </c>
      <c r="Y431">
        <v>2016</v>
      </c>
      <c r="Z431">
        <f>2025-AVERAGE($Y$292:$Y$488)</f>
        <v>10.796954314720779</v>
      </c>
      <c r="AE431">
        <v>0</v>
      </c>
      <c r="AF431" t="s">
        <v>186</v>
      </c>
      <c r="AG431">
        <v>3</v>
      </c>
      <c r="AI431">
        <f t="shared" si="133"/>
        <v>1.9086294416243654</v>
      </c>
      <c r="AK431" t="s">
        <v>1143</v>
      </c>
      <c r="AL431">
        <v>49</v>
      </c>
      <c r="AM431" t="s">
        <v>325</v>
      </c>
      <c r="AN431" t="s">
        <v>356</v>
      </c>
      <c r="AO431">
        <v>0.21199999999999999</v>
      </c>
    </row>
    <row r="432" spans="1:41">
      <c r="A432">
        <v>11</v>
      </c>
      <c r="B432" t="s">
        <v>357</v>
      </c>
      <c r="C432" t="s">
        <v>355</v>
      </c>
      <c r="D432" s="3">
        <f t="shared" si="129"/>
        <v>5.0761421319796955</v>
      </c>
      <c r="F432">
        <v>2021</v>
      </c>
      <c r="G432">
        <f t="shared" si="128"/>
        <v>4</v>
      </c>
      <c r="J432">
        <f t="shared" si="131"/>
        <v>197</v>
      </c>
      <c r="K432">
        <v>5</v>
      </c>
      <c r="L432">
        <v>3</v>
      </c>
      <c r="Q432" t="s">
        <v>554</v>
      </c>
      <c r="R432">
        <f t="shared" si="130"/>
        <v>0.31900000000000001</v>
      </c>
      <c r="S432">
        <f t="shared" si="132"/>
        <v>0.39482432432432457</v>
      </c>
      <c r="V432" t="s">
        <v>186</v>
      </c>
      <c r="Y432">
        <v>2014</v>
      </c>
      <c r="Z432">
        <f>2025-AVERAGE($Y$292:$Y$488)</f>
        <v>10.796954314720779</v>
      </c>
      <c r="AE432">
        <v>0</v>
      </c>
      <c r="AF432" t="s">
        <v>186</v>
      </c>
      <c r="AG432">
        <v>3</v>
      </c>
      <c r="AI432">
        <f t="shared" si="133"/>
        <v>1.9086294416243654</v>
      </c>
      <c r="AK432" t="s">
        <v>1143</v>
      </c>
      <c r="AL432">
        <v>49</v>
      </c>
      <c r="AM432" t="s">
        <v>325</v>
      </c>
      <c r="AN432" t="s">
        <v>356</v>
      </c>
      <c r="AO432">
        <v>0.21199999999999999</v>
      </c>
    </row>
    <row r="433" spans="1:41">
      <c r="A433">
        <v>11</v>
      </c>
      <c r="B433" t="s">
        <v>357</v>
      </c>
      <c r="C433" t="s">
        <v>355</v>
      </c>
      <c r="D433" s="3">
        <f t="shared" si="129"/>
        <v>5.0761421319796955</v>
      </c>
      <c r="F433">
        <v>2021</v>
      </c>
      <c r="G433">
        <f t="shared" si="128"/>
        <v>4</v>
      </c>
      <c r="J433">
        <f t="shared" si="131"/>
        <v>197</v>
      </c>
      <c r="K433">
        <v>5</v>
      </c>
      <c r="L433">
        <v>3</v>
      </c>
      <c r="Q433" t="s">
        <v>554</v>
      </c>
      <c r="R433">
        <f t="shared" si="130"/>
        <v>0.27300000000000002</v>
      </c>
      <c r="S433">
        <f t="shared" si="132"/>
        <v>0.39482432432432457</v>
      </c>
      <c r="V433" t="s">
        <v>186</v>
      </c>
      <c r="Y433">
        <v>2015</v>
      </c>
      <c r="Z433">
        <f>2025-AVERAGE($Y$292:$Y$488)</f>
        <v>10.796954314720779</v>
      </c>
      <c r="AE433">
        <v>0</v>
      </c>
      <c r="AF433" t="s">
        <v>186</v>
      </c>
      <c r="AG433">
        <v>2</v>
      </c>
      <c r="AI433">
        <f t="shared" si="133"/>
        <v>1.9086294416243654</v>
      </c>
      <c r="AK433" t="s">
        <v>1143</v>
      </c>
      <c r="AL433">
        <v>49</v>
      </c>
      <c r="AM433" t="s">
        <v>325</v>
      </c>
      <c r="AN433" t="s">
        <v>356</v>
      </c>
      <c r="AO433">
        <v>0.21199999999999999</v>
      </c>
    </row>
    <row r="434" spans="1:41">
      <c r="A434">
        <v>11</v>
      </c>
      <c r="B434" t="s">
        <v>357</v>
      </c>
      <c r="C434" t="s">
        <v>355</v>
      </c>
      <c r="D434" s="3">
        <f t="shared" si="129"/>
        <v>5.0761421319796955</v>
      </c>
      <c r="F434">
        <v>2021</v>
      </c>
      <c r="G434">
        <f t="shared" si="128"/>
        <v>4</v>
      </c>
      <c r="J434">
        <f t="shared" si="131"/>
        <v>197</v>
      </c>
      <c r="K434">
        <v>5</v>
      </c>
      <c r="L434">
        <v>3</v>
      </c>
      <c r="Q434" t="s">
        <v>555</v>
      </c>
      <c r="R434">
        <f t="shared" si="130"/>
        <v>0.34100000000000003</v>
      </c>
      <c r="S434">
        <f t="shared" si="132"/>
        <v>0.39482432432432457</v>
      </c>
      <c r="V434" t="s">
        <v>186</v>
      </c>
      <c r="Y434">
        <v>2014</v>
      </c>
      <c r="Z434">
        <f>2025-AVERAGE($Y$292:$Y$488)</f>
        <v>10.796954314720779</v>
      </c>
      <c r="AE434">
        <v>0</v>
      </c>
      <c r="AF434" t="s">
        <v>186</v>
      </c>
      <c r="AG434">
        <v>2</v>
      </c>
      <c r="AI434">
        <f t="shared" si="133"/>
        <v>1.9086294416243654</v>
      </c>
      <c r="AK434" t="s">
        <v>1143</v>
      </c>
      <c r="AL434">
        <v>49</v>
      </c>
      <c r="AM434" t="s">
        <v>325</v>
      </c>
      <c r="AN434" t="s">
        <v>356</v>
      </c>
      <c r="AO434">
        <v>0.21199999999999999</v>
      </c>
    </row>
    <row r="435" spans="1:41">
      <c r="A435">
        <v>11</v>
      </c>
      <c r="B435" t="s">
        <v>357</v>
      </c>
      <c r="C435" t="s">
        <v>355</v>
      </c>
      <c r="D435" s="3">
        <f t="shared" si="129"/>
        <v>5.0761421319796955</v>
      </c>
      <c r="F435">
        <v>2021</v>
      </c>
      <c r="G435">
        <f t="shared" si="128"/>
        <v>4</v>
      </c>
      <c r="J435">
        <f t="shared" si="131"/>
        <v>197</v>
      </c>
      <c r="K435">
        <v>5</v>
      </c>
      <c r="L435">
        <v>3</v>
      </c>
      <c r="Q435" t="s">
        <v>554</v>
      </c>
      <c r="R435">
        <f t="shared" si="130"/>
        <v>0.35799999999999998</v>
      </c>
      <c r="S435">
        <f t="shared" si="132"/>
        <v>0.39482432432432457</v>
      </c>
      <c r="V435" t="s">
        <v>186</v>
      </c>
      <c r="Y435">
        <v>2012</v>
      </c>
      <c r="Z435">
        <f>2025-AVERAGE($Y$292:$Y$488)</f>
        <v>10.796954314720779</v>
      </c>
      <c r="AE435">
        <v>0</v>
      </c>
      <c r="AF435" t="s">
        <v>186</v>
      </c>
      <c r="AG435">
        <v>2</v>
      </c>
      <c r="AI435">
        <f t="shared" si="133"/>
        <v>1.9086294416243654</v>
      </c>
      <c r="AK435" t="s">
        <v>1143</v>
      </c>
      <c r="AL435">
        <v>49</v>
      </c>
      <c r="AM435" t="s">
        <v>325</v>
      </c>
      <c r="AN435" t="s">
        <v>356</v>
      </c>
      <c r="AO435">
        <v>0.21199999999999999</v>
      </c>
    </row>
    <row r="436" spans="1:41">
      <c r="A436">
        <v>11</v>
      </c>
      <c r="B436" t="s">
        <v>357</v>
      </c>
      <c r="C436" t="s">
        <v>355</v>
      </c>
      <c r="D436" s="3">
        <f t="shared" si="129"/>
        <v>5.0761421319796955</v>
      </c>
      <c r="F436">
        <v>2021</v>
      </c>
      <c r="G436">
        <f t="shared" si="128"/>
        <v>4</v>
      </c>
      <c r="J436">
        <f t="shared" si="131"/>
        <v>197</v>
      </c>
      <c r="K436">
        <v>5</v>
      </c>
      <c r="L436">
        <v>3</v>
      </c>
      <c r="Q436" t="s">
        <v>552</v>
      </c>
      <c r="R436" t="str">
        <f t="shared" si="130"/>
        <v/>
      </c>
      <c r="S436">
        <f t="shared" si="132"/>
        <v>0.39482432432432457</v>
      </c>
      <c r="V436" t="s">
        <v>186</v>
      </c>
      <c r="Y436">
        <v>2013</v>
      </c>
      <c r="Z436">
        <f>2025-AVERAGE($Y$292:$Y$488)</f>
        <v>10.796954314720779</v>
      </c>
      <c r="AE436">
        <v>0</v>
      </c>
      <c r="AF436" t="s">
        <v>186</v>
      </c>
      <c r="AG436">
        <v>1</v>
      </c>
      <c r="AI436">
        <f t="shared" si="133"/>
        <v>1.9086294416243654</v>
      </c>
      <c r="AK436" t="s">
        <v>1143</v>
      </c>
      <c r="AL436">
        <v>49</v>
      </c>
      <c r="AM436" t="s">
        <v>325</v>
      </c>
      <c r="AN436" t="s">
        <v>356</v>
      </c>
      <c r="AO436">
        <v>0.21199999999999999</v>
      </c>
    </row>
    <row r="437" spans="1:41">
      <c r="A437">
        <v>11</v>
      </c>
      <c r="B437" t="s">
        <v>357</v>
      </c>
      <c r="C437" t="s">
        <v>355</v>
      </c>
      <c r="D437" s="3">
        <f t="shared" si="129"/>
        <v>5.0761421319796955</v>
      </c>
      <c r="F437">
        <v>2021</v>
      </c>
      <c r="G437">
        <f t="shared" si="128"/>
        <v>4</v>
      </c>
      <c r="J437">
        <f t="shared" si="131"/>
        <v>197</v>
      </c>
      <c r="K437">
        <v>5</v>
      </c>
      <c r="L437">
        <v>3</v>
      </c>
      <c r="Q437" t="s">
        <v>556</v>
      </c>
      <c r="R437">
        <f t="shared" si="130"/>
        <v>0.29799999999999999</v>
      </c>
      <c r="S437">
        <f t="shared" si="132"/>
        <v>0.39482432432432457</v>
      </c>
      <c r="T437" t="s">
        <v>558</v>
      </c>
      <c r="V437" t="s">
        <v>186</v>
      </c>
      <c r="Y437">
        <v>2014</v>
      </c>
      <c r="Z437">
        <f>2025-AVERAGE($Y$292:$Y$488)</f>
        <v>10.796954314720779</v>
      </c>
      <c r="AE437">
        <v>0</v>
      </c>
      <c r="AF437" t="s">
        <v>186</v>
      </c>
      <c r="AG437">
        <v>2</v>
      </c>
      <c r="AI437">
        <f t="shared" si="133"/>
        <v>1.9086294416243654</v>
      </c>
      <c r="AK437" t="s">
        <v>1143</v>
      </c>
      <c r="AL437">
        <v>49</v>
      </c>
      <c r="AM437" t="s">
        <v>325</v>
      </c>
      <c r="AN437" t="s">
        <v>356</v>
      </c>
      <c r="AO437">
        <v>0.21199999999999999</v>
      </c>
    </row>
    <row r="438" spans="1:41">
      <c r="A438">
        <v>11</v>
      </c>
      <c r="B438" t="s">
        <v>357</v>
      </c>
      <c r="C438" t="s">
        <v>355</v>
      </c>
      <c r="D438" s="3">
        <f t="shared" si="129"/>
        <v>5.0761421319796955</v>
      </c>
      <c r="F438">
        <v>2021</v>
      </c>
      <c r="G438">
        <f t="shared" si="128"/>
        <v>4</v>
      </c>
      <c r="J438">
        <f t="shared" si="131"/>
        <v>197</v>
      </c>
      <c r="K438">
        <v>5</v>
      </c>
      <c r="L438">
        <v>3</v>
      </c>
      <c r="Q438" t="s">
        <v>552</v>
      </c>
      <c r="R438" t="str">
        <f t="shared" si="130"/>
        <v/>
      </c>
      <c r="S438">
        <f t="shared" si="132"/>
        <v>0.39482432432432457</v>
      </c>
      <c r="V438" t="s">
        <v>186</v>
      </c>
      <c r="Y438">
        <v>2016</v>
      </c>
      <c r="Z438">
        <f>2025-AVERAGE($Y$292:$Y$488)</f>
        <v>10.796954314720779</v>
      </c>
      <c r="AE438">
        <v>0</v>
      </c>
      <c r="AF438" t="s">
        <v>186</v>
      </c>
      <c r="AG438">
        <v>2</v>
      </c>
      <c r="AI438">
        <f t="shared" si="133"/>
        <v>1.9086294416243654</v>
      </c>
      <c r="AK438" t="s">
        <v>1143</v>
      </c>
      <c r="AL438">
        <v>49</v>
      </c>
      <c r="AM438" t="s">
        <v>325</v>
      </c>
      <c r="AN438" t="s">
        <v>356</v>
      </c>
      <c r="AO438">
        <v>0.21199999999999999</v>
      </c>
    </row>
    <row r="439" spans="1:41">
      <c r="A439">
        <v>11</v>
      </c>
      <c r="B439" t="s">
        <v>357</v>
      </c>
      <c r="C439" t="s">
        <v>355</v>
      </c>
      <c r="D439" s="3">
        <f t="shared" si="129"/>
        <v>5.0761421319796955</v>
      </c>
      <c r="F439">
        <v>2021</v>
      </c>
      <c r="G439">
        <f t="shared" si="128"/>
        <v>4</v>
      </c>
      <c r="J439">
        <f t="shared" si="131"/>
        <v>197</v>
      </c>
      <c r="K439">
        <v>5</v>
      </c>
      <c r="L439">
        <v>3</v>
      </c>
      <c r="Q439" t="s">
        <v>553</v>
      </c>
      <c r="R439" t="str">
        <f t="shared" si="130"/>
        <v/>
      </c>
      <c r="S439">
        <f t="shared" si="132"/>
        <v>0.39482432432432457</v>
      </c>
      <c r="V439" t="s">
        <v>186</v>
      </c>
      <c r="Y439">
        <v>2016</v>
      </c>
      <c r="Z439">
        <f>2025-AVERAGE($Y$292:$Y$488)</f>
        <v>10.796954314720779</v>
      </c>
      <c r="AE439">
        <v>0</v>
      </c>
      <c r="AF439" t="s">
        <v>186</v>
      </c>
      <c r="AG439">
        <v>2</v>
      </c>
      <c r="AI439">
        <f t="shared" si="133"/>
        <v>1.9086294416243654</v>
      </c>
      <c r="AK439" t="s">
        <v>1143</v>
      </c>
      <c r="AL439">
        <v>49</v>
      </c>
      <c r="AM439" t="s">
        <v>325</v>
      </c>
      <c r="AN439" t="s">
        <v>356</v>
      </c>
      <c r="AO439">
        <v>0.21199999999999999</v>
      </c>
    </row>
    <row r="440" spans="1:41">
      <c r="A440">
        <v>11</v>
      </c>
      <c r="B440" t="s">
        <v>357</v>
      </c>
      <c r="C440" t="s">
        <v>355</v>
      </c>
      <c r="D440" s="3">
        <f t="shared" si="129"/>
        <v>5.0761421319796955</v>
      </c>
      <c r="F440">
        <v>2021</v>
      </c>
      <c r="G440">
        <f t="shared" si="128"/>
        <v>4</v>
      </c>
      <c r="J440">
        <f t="shared" si="131"/>
        <v>197</v>
      </c>
      <c r="K440">
        <v>5</v>
      </c>
      <c r="L440">
        <v>3</v>
      </c>
      <c r="Q440" t="s">
        <v>554</v>
      </c>
      <c r="R440">
        <f t="shared" si="130"/>
        <v>0.35799999999999998</v>
      </c>
      <c r="S440">
        <f t="shared" si="132"/>
        <v>0.39482432432432457</v>
      </c>
      <c r="V440" t="s">
        <v>186</v>
      </c>
      <c r="Y440">
        <v>2012</v>
      </c>
      <c r="Z440">
        <f>2025-AVERAGE($Y$292:$Y$488)</f>
        <v>10.796954314720779</v>
      </c>
      <c r="AE440">
        <v>0</v>
      </c>
      <c r="AF440" t="s">
        <v>186</v>
      </c>
      <c r="AG440">
        <v>2</v>
      </c>
      <c r="AI440">
        <f t="shared" si="133"/>
        <v>1.9086294416243654</v>
      </c>
      <c r="AK440" t="s">
        <v>1143</v>
      </c>
      <c r="AL440">
        <v>49</v>
      </c>
      <c r="AM440" t="s">
        <v>325</v>
      </c>
      <c r="AN440" t="s">
        <v>356</v>
      </c>
      <c r="AO440">
        <v>0.21199999999999999</v>
      </c>
    </row>
    <row r="441" spans="1:41">
      <c r="A441">
        <v>11</v>
      </c>
      <c r="B441" t="s">
        <v>357</v>
      </c>
      <c r="C441" t="s">
        <v>355</v>
      </c>
      <c r="D441" s="3">
        <f t="shared" si="129"/>
        <v>5.0761421319796955</v>
      </c>
      <c r="F441">
        <v>2021</v>
      </c>
      <c r="G441">
        <f t="shared" si="128"/>
        <v>4</v>
      </c>
      <c r="J441">
        <f t="shared" si="131"/>
        <v>197</v>
      </c>
      <c r="K441">
        <v>5</v>
      </c>
      <c r="L441">
        <v>3</v>
      </c>
      <c r="Q441" t="s">
        <v>555</v>
      </c>
      <c r="R441">
        <f t="shared" si="130"/>
        <v>0.46899999999999997</v>
      </c>
      <c r="S441">
        <f t="shared" si="132"/>
        <v>0.39482432432432457</v>
      </c>
      <c r="V441" t="s">
        <v>186</v>
      </c>
      <c r="Y441">
        <v>2013</v>
      </c>
      <c r="Z441">
        <f>2025-AVERAGE($Y$292:$Y$488)</f>
        <v>10.796954314720779</v>
      </c>
      <c r="AE441">
        <v>0</v>
      </c>
      <c r="AF441" t="s">
        <v>186</v>
      </c>
      <c r="AG441">
        <v>1</v>
      </c>
      <c r="AI441">
        <f t="shared" si="133"/>
        <v>1.9086294416243654</v>
      </c>
      <c r="AK441" t="s">
        <v>1143</v>
      </c>
      <c r="AL441">
        <v>49</v>
      </c>
      <c r="AM441" t="s">
        <v>325</v>
      </c>
      <c r="AN441" t="s">
        <v>356</v>
      </c>
      <c r="AO441">
        <v>0.21199999999999999</v>
      </c>
    </row>
    <row r="442" spans="1:41">
      <c r="A442">
        <v>11</v>
      </c>
      <c r="B442" t="s">
        <v>357</v>
      </c>
      <c r="C442" t="s">
        <v>355</v>
      </c>
      <c r="D442" s="3">
        <f t="shared" si="129"/>
        <v>5.0761421319796955</v>
      </c>
      <c r="F442">
        <v>2021</v>
      </c>
      <c r="G442">
        <f t="shared" si="128"/>
        <v>4</v>
      </c>
      <c r="J442">
        <f t="shared" si="131"/>
        <v>197</v>
      </c>
      <c r="K442">
        <v>5</v>
      </c>
      <c r="L442">
        <v>3</v>
      </c>
      <c r="Q442" t="s">
        <v>552</v>
      </c>
      <c r="R442" t="str">
        <f t="shared" si="130"/>
        <v/>
      </c>
      <c r="S442">
        <f t="shared" si="132"/>
        <v>0.39482432432432457</v>
      </c>
      <c r="V442" t="s">
        <v>186</v>
      </c>
      <c r="Y442">
        <v>2012</v>
      </c>
      <c r="Z442">
        <f>2025-AVERAGE($Y$292:$Y$488)</f>
        <v>10.796954314720779</v>
      </c>
      <c r="AE442">
        <v>0</v>
      </c>
      <c r="AF442" t="s">
        <v>186</v>
      </c>
      <c r="AG442">
        <v>1</v>
      </c>
      <c r="AI442">
        <f t="shared" si="133"/>
        <v>1.9086294416243654</v>
      </c>
      <c r="AK442" t="s">
        <v>1143</v>
      </c>
      <c r="AL442">
        <v>49</v>
      </c>
      <c r="AM442" t="s">
        <v>325</v>
      </c>
      <c r="AN442" t="s">
        <v>356</v>
      </c>
      <c r="AO442">
        <v>0.21199999999999999</v>
      </c>
    </row>
    <row r="443" spans="1:41">
      <c r="A443">
        <v>11</v>
      </c>
      <c r="B443" t="s">
        <v>357</v>
      </c>
      <c r="C443" t="s">
        <v>355</v>
      </c>
      <c r="D443" s="3">
        <f t="shared" si="129"/>
        <v>5.0761421319796955</v>
      </c>
      <c r="F443">
        <v>2021</v>
      </c>
      <c r="G443">
        <f t="shared" si="128"/>
        <v>4</v>
      </c>
      <c r="J443">
        <f t="shared" si="131"/>
        <v>197</v>
      </c>
      <c r="K443">
        <v>5</v>
      </c>
      <c r="L443">
        <v>3</v>
      </c>
      <c r="Q443" t="s">
        <v>554</v>
      </c>
      <c r="R443">
        <f t="shared" si="130"/>
        <v>0.31900000000000001</v>
      </c>
      <c r="S443">
        <f t="shared" si="132"/>
        <v>0.39482432432432457</v>
      </c>
      <c r="T443" t="s">
        <v>558</v>
      </c>
      <c r="V443" t="s">
        <v>186</v>
      </c>
      <c r="Y443">
        <v>2014</v>
      </c>
      <c r="Z443">
        <f>2025-AVERAGE($Y$292:$Y$488)</f>
        <v>10.796954314720779</v>
      </c>
      <c r="AE443">
        <v>0</v>
      </c>
      <c r="AF443" t="s">
        <v>186</v>
      </c>
      <c r="AG443">
        <v>3</v>
      </c>
      <c r="AI443">
        <f t="shared" si="133"/>
        <v>1.9086294416243654</v>
      </c>
      <c r="AK443" t="s">
        <v>1143</v>
      </c>
      <c r="AL443">
        <v>49</v>
      </c>
      <c r="AM443" t="s">
        <v>325</v>
      </c>
      <c r="AN443" t="s">
        <v>356</v>
      </c>
      <c r="AO443">
        <v>0.21199999999999999</v>
      </c>
    </row>
    <row r="444" spans="1:41">
      <c r="A444">
        <v>11</v>
      </c>
      <c r="B444" t="s">
        <v>357</v>
      </c>
      <c r="C444" t="s">
        <v>355</v>
      </c>
      <c r="D444" s="3">
        <f t="shared" si="129"/>
        <v>5.0761421319796955</v>
      </c>
      <c r="F444">
        <v>2021</v>
      </c>
      <c r="G444">
        <f t="shared" si="128"/>
        <v>4</v>
      </c>
      <c r="J444">
        <f t="shared" si="131"/>
        <v>197</v>
      </c>
      <c r="K444">
        <v>5</v>
      </c>
      <c r="L444">
        <v>3</v>
      </c>
      <c r="Q444" t="s">
        <v>556</v>
      </c>
      <c r="R444">
        <f t="shared" si="130"/>
        <v>0.29699999999999999</v>
      </c>
      <c r="S444">
        <f t="shared" si="132"/>
        <v>0.39482432432432457</v>
      </c>
      <c r="V444" t="s">
        <v>186</v>
      </c>
      <c r="Y444">
        <v>2016</v>
      </c>
      <c r="Z444">
        <f>2025-AVERAGE($Y$292:$Y$488)</f>
        <v>10.796954314720779</v>
      </c>
      <c r="AE444">
        <v>0</v>
      </c>
      <c r="AF444" t="s">
        <v>186</v>
      </c>
      <c r="AG444">
        <v>3</v>
      </c>
      <c r="AI444">
        <f t="shared" si="133"/>
        <v>1.9086294416243654</v>
      </c>
      <c r="AK444" t="s">
        <v>1143</v>
      </c>
      <c r="AL444">
        <v>49</v>
      </c>
      <c r="AM444" t="s">
        <v>325</v>
      </c>
      <c r="AN444" t="s">
        <v>356</v>
      </c>
      <c r="AO444">
        <v>0.21199999999999999</v>
      </c>
    </row>
    <row r="445" spans="1:41">
      <c r="A445">
        <v>11</v>
      </c>
      <c r="B445" t="s">
        <v>357</v>
      </c>
      <c r="C445" t="s">
        <v>355</v>
      </c>
      <c r="D445" s="3">
        <f t="shared" si="129"/>
        <v>5.0761421319796955</v>
      </c>
      <c r="F445">
        <v>2021</v>
      </c>
      <c r="G445">
        <f t="shared" si="128"/>
        <v>4</v>
      </c>
      <c r="J445">
        <f t="shared" si="131"/>
        <v>197</v>
      </c>
      <c r="K445">
        <v>5</v>
      </c>
      <c r="L445">
        <v>3</v>
      </c>
      <c r="Q445" t="s">
        <v>556</v>
      </c>
      <c r="R445">
        <f t="shared" si="130"/>
        <v>0.29699999999999999</v>
      </c>
      <c r="S445">
        <f t="shared" si="132"/>
        <v>0.39482432432432457</v>
      </c>
      <c r="V445" t="s">
        <v>186</v>
      </c>
      <c r="Y445">
        <v>2016</v>
      </c>
      <c r="Z445">
        <f>2025-AVERAGE($Y$292:$Y$488)</f>
        <v>10.796954314720779</v>
      </c>
      <c r="AE445">
        <v>0</v>
      </c>
      <c r="AF445" t="s">
        <v>186</v>
      </c>
      <c r="AG445">
        <v>2</v>
      </c>
      <c r="AI445">
        <f t="shared" si="133"/>
        <v>1.9086294416243654</v>
      </c>
      <c r="AK445" t="s">
        <v>1143</v>
      </c>
      <c r="AL445">
        <v>49</v>
      </c>
      <c r="AM445" t="s">
        <v>325</v>
      </c>
      <c r="AN445" t="s">
        <v>356</v>
      </c>
      <c r="AO445">
        <v>0.21199999999999999</v>
      </c>
    </row>
    <row r="446" spans="1:41">
      <c r="A446">
        <v>11</v>
      </c>
      <c r="B446" t="s">
        <v>357</v>
      </c>
      <c r="C446" t="s">
        <v>355</v>
      </c>
      <c r="D446" s="3">
        <f t="shared" si="129"/>
        <v>5.0761421319796955</v>
      </c>
      <c r="F446">
        <v>2021</v>
      </c>
      <c r="G446">
        <f t="shared" si="128"/>
        <v>4</v>
      </c>
      <c r="J446">
        <f t="shared" si="131"/>
        <v>197</v>
      </c>
      <c r="K446">
        <v>5</v>
      </c>
      <c r="L446">
        <v>3</v>
      </c>
      <c r="Q446" t="s">
        <v>555</v>
      </c>
      <c r="R446">
        <f t="shared" si="130"/>
        <v>0.73199999999999998</v>
      </c>
      <c r="S446">
        <f t="shared" si="132"/>
        <v>0.39482432432432457</v>
      </c>
      <c r="V446" t="s">
        <v>186</v>
      </c>
      <c r="Y446">
        <v>2012</v>
      </c>
      <c r="Z446">
        <f>2025-AVERAGE($Y$292:$Y$488)</f>
        <v>10.796954314720779</v>
      </c>
      <c r="AE446">
        <v>0</v>
      </c>
      <c r="AF446" t="s">
        <v>186</v>
      </c>
      <c r="AG446">
        <v>1</v>
      </c>
      <c r="AI446">
        <f t="shared" si="133"/>
        <v>1.9086294416243654</v>
      </c>
      <c r="AK446" t="s">
        <v>1143</v>
      </c>
      <c r="AL446">
        <v>49</v>
      </c>
      <c r="AM446" t="s">
        <v>325</v>
      </c>
      <c r="AN446" t="s">
        <v>356</v>
      </c>
      <c r="AO446">
        <v>0.21199999999999999</v>
      </c>
    </row>
    <row r="447" spans="1:41">
      <c r="A447">
        <v>11</v>
      </c>
      <c r="B447" t="s">
        <v>357</v>
      </c>
      <c r="C447" t="s">
        <v>355</v>
      </c>
      <c r="D447" s="3">
        <f t="shared" si="129"/>
        <v>5.0761421319796955</v>
      </c>
      <c r="F447">
        <v>2021</v>
      </c>
      <c r="G447">
        <f t="shared" si="128"/>
        <v>4</v>
      </c>
      <c r="J447">
        <f t="shared" si="131"/>
        <v>197</v>
      </c>
      <c r="K447">
        <v>5</v>
      </c>
      <c r="L447">
        <v>3</v>
      </c>
      <c r="Q447" t="s">
        <v>554</v>
      </c>
      <c r="R447">
        <f t="shared" si="130"/>
        <v>0.27300000000000002</v>
      </c>
      <c r="S447">
        <f t="shared" si="132"/>
        <v>0.39482432432432457</v>
      </c>
      <c r="V447" t="s">
        <v>186</v>
      </c>
      <c r="Y447">
        <v>2015</v>
      </c>
      <c r="Z447">
        <f>2025-AVERAGE($Y$292:$Y$488)</f>
        <v>10.796954314720779</v>
      </c>
      <c r="AE447">
        <v>0</v>
      </c>
      <c r="AF447" t="s">
        <v>186</v>
      </c>
      <c r="AG447">
        <v>2</v>
      </c>
      <c r="AI447">
        <f t="shared" si="133"/>
        <v>1.9086294416243654</v>
      </c>
      <c r="AK447" t="s">
        <v>1143</v>
      </c>
      <c r="AL447">
        <v>49</v>
      </c>
      <c r="AM447" t="s">
        <v>325</v>
      </c>
      <c r="AN447" t="s">
        <v>356</v>
      </c>
      <c r="AO447">
        <v>0.21199999999999999</v>
      </c>
    </row>
    <row r="448" spans="1:41">
      <c r="A448">
        <v>11</v>
      </c>
      <c r="B448" t="s">
        <v>357</v>
      </c>
      <c r="C448" t="s">
        <v>355</v>
      </c>
      <c r="D448" s="3">
        <f t="shared" si="129"/>
        <v>5.0761421319796955</v>
      </c>
      <c r="F448">
        <v>2021</v>
      </c>
      <c r="G448">
        <f t="shared" si="128"/>
        <v>4</v>
      </c>
      <c r="J448">
        <f t="shared" si="131"/>
        <v>197</v>
      </c>
      <c r="K448">
        <v>5</v>
      </c>
      <c r="L448">
        <v>3</v>
      </c>
      <c r="Q448" t="s">
        <v>554</v>
      </c>
      <c r="R448">
        <f t="shared" si="130"/>
        <v>0.31900000000000001</v>
      </c>
      <c r="S448">
        <f t="shared" si="132"/>
        <v>0.39482432432432457</v>
      </c>
      <c r="V448" t="s">
        <v>186</v>
      </c>
      <c r="Y448">
        <v>2014</v>
      </c>
      <c r="Z448">
        <f>2025-AVERAGE($Y$292:$Y$488)</f>
        <v>10.796954314720779</v>
      </c>
      <c r="AE448">
        <v>0</v>
      </c>
      <c r="AF448" t="s">
        <v>186</v>
      </c>
      <c r="AG448">
        <v>2</v>
      </c>
      <c r="AI448">
        <f t="shared" si="133"/>
        <v>1.9086294416243654</v>
      </c>
      <c r="AK448" t="s">
        <v>1143</v>
      </c>
      <c r="AL448">
        <v>49</v>
      </c>
      <c r="AM448" t="s">
        <v>325</v>
      </c>
      <c r="AN448" t="s">
        <v>356</v>
      </c>
      <c r="AO448">
        <v>0.21199999999999999</v>
      </c>
    </row>
    <row r="449" spans="1:41">
      <c r="A449">
        <v>11</v>
      </c>
      <c r="B449" t="s">
        <v>357</v>
      </c>
      <c r="C449" t="s">
        <v>355</v>
      </c>
      <c r="D449" s="3">
        <f t="shared" si="129"/>
        <v>5.0761421319796955</v>
      </c>
      <c r="F449">
        <v>2021</v>
      </c>
      <c r="G449">
        <f t="shared" si="128"/>
        <v>4</v>
      </c>
      <c r="J449">
        <f t="shared" si="131"/>
        <v>197</v>
      </c>
      <c r="K449">
        <v>5</v>
      </c>
      <c r="L449">
        <v>3</v>
      </c>
      <c r="Q449" t="s">
        <v>553</v>
      </c>
      <c r="R449" t="str">
        <f t="shared" si="130"/>
        <v/>
      </c>
      <c r="S449">
        <f t="shared" si="132"/>
        <v>0.39482432432432457</v>
      </c>
      <c r="V449" t="s">
        <v>186</v>
      </c>
      <c r="Y449">
        <v>2012</v>
      </c>
      <c r="Z449">
        <f>2025-AVERAGE($Y$292:$Y$488)</f>
        <v>10.796954314720779</v>
      </c>
      <c r="AE449">
        <v>0</v>
      </c>
      <c r="AF449" t="s">
        <v>186</v>
      </c>
      <c r="AG449">
        <v>1</v>
      </c>
      <c r="AI449">
        <f t="shared" si="133"/>
        <v>1.9086294416243654</v>
      </c>
      <c r="AK449" t="s">
        <v>1143</v>
      </c>
      <c r="AL449">
        <v>49</v>
      </c>
      <c r="AM449" t="s">
        <v>325</v>
      </c>
      <c r="AN449" t="s">
        <v>356</v>
      </c>
      <c r="AO449">
        <v>0.21199999999999999</v>
      </c>
    </row>
    <row r="450" spans="1:41">
      <c r="A450">
        <v>11</v>
      </c>
      <c r="B450" t="s">
        <v>357</v>
      </c>
      <c r="C450" t="s">
        <v>355</v>
      </c>
      <c r="D450" s="3">
        <f t="shared" si="129"/>
        <v>5.0761421319796955</v>
      </c>
      <c r="F450">
        <v>2021</v>
      </c>
      <c r="G450">
        <f t="shared" si="128"/>
        <v>4</v>
      </c>
      <c r="J450">
        <f t="shared" si="131"/>
        <v>197</v>
      </c>
      <c r="K450">
        <v>5</v>
      </c>
      <c r="L450">
        <v>3</v>
      </c>
      <c r="Q450" t="s">
        <v>555</v>
      </c>
      <c r="R450">
        <f t="shared" si="130"/>
        <v>0.34100000000000003</v>
      </c>
      <c r="S450">
        <f t="shared" si="132"/>
        <v>0.39482432432432457</v>
      </c>
      <c r="V450" t="s">
        <v>186</v>
      </c>
      <c r="Y450">
        <v>2014</v>
      </c>
      <c r="Z450">
        <f>2025-AVERAGE($Y$292:$Y$488)</f>
        <v>10.796954314720779</v>
      </c>
      <c r="AE450">
        <v>0</v>
      </c>
      <c r="AF450" t="s">
        <v>186</v>
      </c>
      <c r="AG450">
        <v>3</v>
      </c>
      <c r="AI450">
        <f t="shared" si="133"/>
        <v>1.9086294416243654</v>
      </c>
      <c r="AK450" t="s">
        <v>1143</v>
      </c>
      <c r="AL450">
        <v>49</v>
      </c>
      <c r="AM450" t="s">
        <v>325</v>
      </c>
      <c r="AN450" t="s">
        <v>356</v>
      </c>
      <c r="AO450">
        <v>0.21199999999999999</v>
      </c>
    </row>
    <row r="451" spans="1:41">
      <c r="A451">
        <v>11</v>
      </c>
      <c r="B451" t="s">
        <v>357</v>
      </c>
      <c r="C451" t="s">
        <v>355</v>
      </c>
      <c r="D451" s="3">
        <f t="shared" si="129"/>
        <v>5.0761421319796955</v>
      </c>
      <c r="F451">
        <v>2021</v>
      </c>
      <c r="G451">
        <f t="shared" si="128"/>
        <v>4</v>
      </c>
      <c r="J451">
        <f t="shared" si="131"/>
        <v>197</v>
      </c>
      <c r="K451">
        <v>5</v>
      </c>
      <c r="L451">
        <v>3</v>
      </c>
      <c r="Q451" t="s">
        <v>554</v>
      </c>
      <c r="R451">
        <f t="shared" si="130"/>
        <v>0.27300000000000002</v>
      </c>
      <c r="S451">
        <f t="shared" si="132"/>
        <v>0.39482432432432457</v>
      </c>
      <c r="V451" t="s">
        <v>186</v>
      </c>
      <c r="Y451">
        <v>2015</v>
      </c>
      <c r="Z451">
        <f>2025-AVERAGE($Y$292:$Y$488)</f>
        <v>10.796954314720779</v>
      </c>
      <c r="AE451">
        <v>0</v>
      </c>
      <c r="AF451" t="s">
        <v>186</v>
      </c>
      <c r="AG451">
        <v>2</v>
      </c>
      <c r="AI451">
        <f t="shared" si="133"/>
        <v>1.9086294416243654</v>
      </c>
      <c r="AK451" t="s">
        <v>1143</v>
      </c>
      <c r="AL451">
        <v>49</v>
      </c>
      <c r="AM451" t="s">
        <v>325</v>
      </c>
      <c r="AN451" t="s">
        <v>356</v>
      </c>
      <c r="AO451">
        <v>0.21199999999999999</v>
      </c>
    </row>
    <row r="452" spans="1:41">
      <c r="A452">
        <v>11</v>
      </c>
      <c r="B452" t="s">
        <v>357</v>
      </c>
      <c r="C452" t="s">
        <v>355</v>
      </c>
      <c r="D452" s="3">
        <f t="shared" ref="D452:D488" si="134">100*(COUNTIF($T$292:$T$488,"Replicable")/$J$292)</f>
        <v>5.0761421319796955</v>
      </c>
      <c r="F452">
        <v>2021</v>
      </c>
      <c r="G452">
        <f t="shared" si="128"/>
        <v>4</v>
      </c>
      <c r="J452">
        <f t="shared" si="131"/>
        <v>197</v>
      </c>
      <c r="K452">
        <v>5</v>
      </c>
      <c r="L452">
        <v>3</v>
      </c>
      <c r="Q452" t="s">
        <v>554</v>
      </c>
      <c r="R452">
        <f t="shared" ref="R452:R483" si="135">IF(AND(Q452="Dados", Y452=2012), 0.732,
IF(AND(Q452="Dados", Y452=2013), 0.469,
IF(AND(Q452="Dados", Y452=2014), 0.341,
IF(AND(Q452="Dados", Y452=2015), 0.518,
IF(AND(Q452="Dados", Y452=2016), 0.457,
IF(AND(Q452="Opinião Púbilca", Y452=2012), 0.358,
IF(AND(Q452="Opinião Púbilca", Y452=2013), 0.503,
IF(AND(Q452="Opinião Púbilca", Y452=2014), 0.319,
IF(AND(Q452="Opinião Púbilca", Y452=2015), 0.273,
IF(AND(Q452="Opinião Púbilca", Y452=2016), 0.369,
IF(AND(Q452="Revista Brasileira de Ciências Sociais", Y452=2012), 0.21,
IF(AND(Q452="Revista Brasileira de Ciências Sociais", Y452=2013), 0.279,
IF(AND(Q452="Revista Brasileira de Ciências Sociais", Y452=2014), 0.298,
IF(AND(Q452="Revista Brasileira de Ciências Sociais", Y452=2015), 0.153,
IF(AND(Q452="Revista Brasileira de Ciências Sociais", Y452=2016), 0.297,
"")))))))))))))))</f>
        <v>0.31900000000000001</v>
      </c>
      <c r="S452">
        <f t="shared" si="132"/>
        <v>0.39482432432432457</v>
      </c>
      <c r="V452" t="s">
        <v>186</v>
      </c>
      <c r="Y452">
        <v>2014</v>
      </c>
      <c r="Z452">
        <f>2025-AVERAGE($Y$292:$Y$488)</f>
        <v>10.796954314720779</v>
      </c>
      <c r="AE452">
        <v>0</v>
      </c>
      <c r="AF452" t="s">
        <v>186</v>
      </c>
      <c r="AG452">
        <v>2</v>
      </c>
      <c r="AI452">
        <f t="shared" si="133"/>
        <v>1.9086294416243654</v>
      </c>
      <c r="AK452" t="s">
        <v>1143</v>
      </c>
      <c r="AL452">
        <v>49</v>
      </c>
      <c r="AM452" t="s">
        <v>325</v>
      </c>
      <c r="AN452" t="s">
        <v>356</v>
      </c>
      <c r="AO452">
        <v>0.21199999999999999</v>
      </c>
    </row>
    <row r="453" spans="1:41">
      <c r="A453">
        <v>11</v>
      </c>
      <c r="B453" t="s">
        <v>357</v>
      </c>
      <c r="C453" t="s">
        <v>355</v>
      </c>
      <c r="D453" s="3">
        <f t="shared" si="134"/>
        <v>5.0761421319796955</v>
      </c>
      <c r="F453">
        <v>2021</v>
      </c>
      <c r="G453">
        <f t="shared" si="128"/>
        <v>4</v>
      </c>
      <c r="J453">
        <f t="shared" si="131"/>
        <v>197</v>
      </c>
      <c r="K453">
        <v>5</v>
      </c>
      <c r="L453">
        <v>3</v>
      </c>
      <c r="Q453" t="s">
        <v>553</v>
      </c>
      <c r="R453" t="str">
        <f t="shared" si="135"/>
        <v/>
      </c>
      <c r="S453">
        <f t="shared" si="132"/>
        <v>0.39482432432432457</v>
      </c>
      <c r="V453" t="s">
        <v>186</v>
      </c>
      <c r="Y453">
        <v>2016</v>
      </c>
      <c r="Z453">
        <f>2025-AVERAGE($Y$292:$Y$488)</f>
        <v>10.796954314720779</v>
      </c>
      <c r="AE453">
        <v>0</v>
      </c>
      <c r="AF453" t="s">
        <v>186</v>
      </c>
      <c r="AG453">
        <v>4</v>
      </c>
      <c r="AI453">
        <f t="shared" si="133"/>
        <v>1.9086294416243654</v>
      </c>
      <c r="AK453" t="s">
        <v>1143</v>
      </c>
      <c r="AL453">
        <v>49</v>
      </c>
      <c r="AM453" t="s">
        <v>325</v>
      </c>
      <c r="AN453" t="s">
        <v>356</v>
      </c>
      <c r="AO453">
        <v>0.21199999999999999</v>
      </c>
    </row>
    <row r="454" spans="1:41">
      <c r="A454">
        <v>11</v>
      </c>
      <c r="B454" t="s">
        <v>357</v>
      </c>
      <c r="C454" t="s">
        <v>355</v>
      </c>
      <c r="D454" s="3">
        <f t="shared" si="134"/>
        <v>5.0761421319796955</v>
      </c>
      <c r="F454">
        <v>2021</v>
      </c>
      <c r="G454">
        <f t="shared" si="128"/>
        <v>4</v>
      </c>
      <c r="J454">
        <f t="shared" si="131"/>
        <v>197</v>
      </c>
      <c r="K454">
        <v>5</v>
      </c>
      <c r="L454">
        <v>3</v>
      </c>
      <c r="Q454" t="s">
        <v>555</v>
      </c>
      <c r="R454">
        <f t="shared" si="135"/>
        <v>0.73199999999999998</v>
      </c>
      <c r="S454">
        <f t="shared" si="132"/>
        <v>0.39482432432432457</v>
      </c>
      <c r="V454" t="s">
        <v>186</v>
      </c>
      <c r="Y454">
        <v>2012</v>
      </c>
      <c r="Z454">
        <f>2025-AVERAGE($Y$292:$Y$488)</f>
        <v>10.796954314720779</v>
      </c>
      <c r="AE454">
        <v>0</v>
      </c>
      <c r="AF454" t="s">
        <v>186</v>
      </c>
      <c r="AG454">
        <v>1</v>
      </c>
      <c r="AI454">
        <f t="shared" si="133"/>
        <v>1.9086294416243654</v>
      </c>
      <c r="AK454" t="s">
        <v>1143</v>
      </c>
      <c r="AL454">
        <v>49</v>
      </c>
      <c r="AM454" t="s">
        <v>325</v>
      </c>
      <c r="AN454" t="s">
        <v>356</v>
      </c>
      <c r="AO454">
        <v>0.21199999999999999</v>
      </c>
    </row>
    <row r="455" spans="1:41">
      <c r="A455">
        <v>11</v>
      </c>
      <c r="B455" t="s">
        <v>357</v>
      </c>
      <c r="C455" t="s">
        <v>355</v>
      </c>
      <c r="D455" s="3">
        <f t="shared" si="134"/>
        <v>5.0761421319796955</v>
      </c>
      <c r="F455">
        <v>2021</v>
      </c>
      <c r="G455">
        <f t="shared" si="128"/>
        <v>4</v>
      </c>
      <c r="J455">
        <f t="shared" si="131"/>
        <v>197</v>
      </c>
      <c r="K455">
        <v>5</v>
      </c>
      <c r="L455">
        <v>3</v>
      </c>
      <c r="Q455" t="s">
        <v>555</v>
      </c>
      <c r="R455">
        <f t="shared" si="135"/>
        <v>0.51800000000000002</v>
      </c>
      <c r="S455">
        <f t="shared" si="132"/>
        <v>0.39482432432432457</v>
      </c>
      <c r="V455" t="s">
        <v>186</v>
      </c>
      <c r="Y455">
        <v>2015</v>
      </c>
      <c r="Z455">
        <f>2025-AVERAGE($Y$292:$Y$488)</f>
        <v>10.796954314720779</v>
      </c>
      <c r="AE455">
        <v>0</v>
      </c>
      <c r="AF455" t="s">
        <v>186</v>
      </c>
      <c r="AG455">
        <v>1</v>
      </c>
      <c r="AI455">
        <f t="shared" si="133"/>
        <v>1.9086294416243654</v>
      </c>
      <c r="AK455" t="s">
        <v>1143</v>
      </c>
      <c r="AL455">
        <v>49</v>
      </c>
      <c r="AM455" t="s">
        <v>325</v>
      </c>
      <c r="AN455" t="s">
        <v>356</v>
      </c>
      <c r="AO455">
        <v>0.21199999999999999</v>
      </c>
    </row>
    <row r="456" spans="1:41">
      <c r="A456">
        <v>11</v>
      </c>
      <c r="B456" t="s">
        <v>357</v>
      </c>
      <c r="C456" t="s">
        <v>355</v>
      </c>
      <c r="D456" s="3">
        <f t="shared" si="134"/>
        <v>5.0761421319796955</v>
      </c>
      <c r="F456">
        <v>2021</v>
      </c>
      <c r="G456">
        <f t="shared" si="128"/>
        <v>4</v>
      </c>
      <c r="J456">
        <f t="shared" si="131"/>
        <v>197</v>
      </c>
      <c r="K456">
        <v>5</v>
      </c>
      <c r="L456">
        <v>3</v>
      </c>
      <c r="Q456" t="s">
        <v>554</v>
      </c>
      <c r="R456">
        <f t="shared" si="135"/>
        <v>0.36899999999999999</v>
      </c>
      <c r="S456">
        <f t="shared" si="132"/>
        <v>0.39482432432432457</v>
      </c>
      <c r="V456" t="s">
        <v>186</v>
      </c>
      <c r="Y456">
        <v>2016</v>
      </c>
      <c r="Z456">
        <f>2025-AVERAGE($Y$292:$Y$488)</f>
        <v>10.796954314720779</v>
      </c>
      <c r="AE456">
        <v>0</v>
      </c>
      <c r="AF456" t="s">
        <v>186</v>
      </c>
      <c r="AG456">
        <v>2</v>
      </c>
      <c r="AI456">
        <f t="shared" si="133"/>
        <v>1.9086294416243654</v>
      </c>
      <c r="AK456" t="s">
        <v>1143</v>
      </c>
      <c r="AL456">
        <v>49</v>
      </c>
      <c r="AM456" t="s">
        <v>325</v>
      </c>
      <c r="AN456" t="s">
        <v>356</v>
      </c>
      <c r="AO456">
        <v>0.21199999999999999</v>
      </c>
    </row>
    <row r="457" spans="1:41">
      <c r="A457">
        <v>11</v>
      </c>
      <c r="B457" t="s">
        <v>357</v>
      </c>
      <c r="C457" t="s">
        <v>355</v>
      </c>
      <c r="D457" s="3">
        <f t="shared" si="134"/>
        <v>5.0761421319796955</v>
      </c>
      <c r="F457">
        <v>2021</v>
      </c>
      <c r="G457">
        <f t="shared" si="128"/>
        <v>4</v>
      </c>
      <c r="J457">
        <f t="shared" si="131"/>
        <v>197</v>
      </c>
      <c r="K457">
        <v>5</v>
      </c>
      <c r="L457">
        <v>3</v>
      </c>
      <c r="Q457" t="s">
        <v>554</v>
      </c>
      <c r="R457">
        <f t="shared" si="135"/>
        <v>0.27300000000000002</v>
      </c>
      <c r="S457">
        <f t="shared" si="132"/>
        <v>0.39482432432432457</v>
      </c>
      <c r="V457" t="s">
        <v>186</v>
      </c>
      <c r="Y457">
        <v>2015</v>
      </c>
      <c r="Z457">
        <f>2025-AVERAGE($Y$292:$Y$488)</f>
        <v>10.796954314720779</v>
      </c>
      <c r="AE457">
        <v>0</v>
      </c>
      <c r="AF457" t="s">
        <v>186</v>
      </c>
      <c r="AG457">
        <v>4</v>
      </c>
      <c r="AI457">
        <f t="shared" si="133"/>
        <v>1.9086294416243654</v>
      </c>
      <c r="AK457" t="s">
        <v>1143</v>
      </c>
      <c r="AL457">
        <v>49</v>
      </c>
      <c r="AM457" t="s">
        <v>325</v>
      </c>
      <c r="AN457" t="s">
        <v>356</v>
      </c>
      <c r="AO457">
        <v>0.21199999999999999</v>
      </c>
    </row>
    <row r="458" spans="1:41">
      <c r="A458">
        <v>11</v>
      </c>
      <c r="B458" t="s">
        <v>357</v>
      </c>
      <c r="C458" t="s">
        <v>355</v>
      </c>
      <c r="D458" s="3">
        <f t="shared" si="134"/>
        <v>5.0761421319796955</v>
      </c>
      <c r="F458">
        <v>2021</v>
      </c>
      <c r="G458">
        <f t="shared" si="128"/>
        <v>4</v>
      </c>
      <c r="J458">
        <f t="shared" si="131"/>
        <v>197</v>
      </c>
      <c r="K458">
        <v>5</v>
      </c>
      <c r="L458">
        <v>3</v>
      </c>
      <c r="Q458" t="s">
        <v>555</v>
      </c>
      <c r="R458">
        <f t="shared" si="135"/>
        <v>0.51800000000000002</v>
      </c>
      <c r="S458">
        <f t="shared" si="132"/>
        <v>0.39482432432432457</v>
      </c>
      <c r="V458" t="s">
        <v>186</v>
      </c>
      <c r="Y458">
        <v>2015</v>
      </c>
      <c r="Z458">
        <f>2025-AVERAGE($Y$292:$Y$488)</f>
        <v>10.796954314720779</v>
      </c>
      <c r="AE458">
        <v>0</v>
      </c>
      <c r="AF458" t="s">
        <v>186</v>
      </c>
      <c r="AG458">
        <v>1</v>
      </c>
      <c r="AI458">
        <f t="shared" si="133"/>
        <v>1.9086294416243654</v>
      </c>
      <c r="AK458" t="s">
        <v>1143</v>
      </c>
      <c r="AL458">
        <v>49</v>
      </c>
      <c r="AM458" t="s">
        <v>325</v>
      </c>
      <c r="AN458" t="s">
        <v>356</v>
      </c>
      <c r="AO458">
        <v>0.21199999999999999</v>
      </c>
    </row>
    <row r="459" spans="1:41">
      <c r="A459">
        <v>11</v>
      </c>
      <c r="B459" t="s">
        <v>357</v>
      </c>
      <c r="C459" t="s">
        <v>355</v>
      </c>
      <c r="D459" s="3">
        <f t="shared" si="134"/>
        <v>5.0761421319796955</v>
      </c>
      <c r="F459">
        <v>2021</v>
      </c>
      <c r="G459">
        <f t="shared" si="128"/>
        <v>4</v>
      </c>
      <c r="J459">
        <f t="shared" si="131"/>
        <v>197</v>
      </c>
      <c r="K459">
        <v>5</v>
      </c>
      <c r="L459">
        <v>3</v>
      </c>
      <c r="Q459" t="s">
        <v>555</v>
      </c>
      <c r="R459">
        <f t="shared" si="135"/>
        <v>0.45700000000000002</v>
      </c>
      <c r="S459">
        <f t="shared" si="132"/>
        <v>0.39482432432432457</v>
      </c>
      <c r="V459" t="s">
        <v>186</v>
      </c>
      <c r="Y459">
        <v>2016</v>
      </c>
      <c r="Z459">
        <f>2025-AVERAGE($Y$292:$Y$488)</f>
        <v>10.796954314720779</v>
      </c>
      <c r="AE459">
        <v>0</v>
      </c>
      <c r="AF459" t="s">
        <v>186</v>
      </c>
      <c r="AG459">
        <v>3</v>
      </c>
      <c r="AI459">
        <f t="shared" si="133"/>
        <v>1.9086294416243654</v>
      </c>
      <c r="AK459" t="s">
        <v>1143</v>
      </c>
      <c r="AL459">
        <v>49</v>
      </c>
      <c r="AM459" t="s">
        <v>325</v>
      </c>
      <c r="AN459" t="s">
        <v>356</v>
      </c>
      <c r="AO459">
        <v>0.21199999999999999</v>
      </c>
    </row>
    <row r="460" spans="1:41">
      <c r="A460">
        <v>11</v>
      </c>
      <c r="B460" t="s">
        <v>357</v>
      </c>
      <c r="C460" t="s">
        <v>355</v>
      </c>
      <c r="D460" s="3">
        <f t="shared" si="134"/>
        <v>5.0761421319796955</v>
      </c>
      <c r="F460">
        <v>2021</v>
      </c>
      <c r="G460">
        <f t="shared" si="128"/>
        <v>4</v>
      </c>
      <c r="J460">
        <f t="shared" si="131"/>
        <v>197</v>
      </c>
      <c r="K460">
        <v>5</v>
      </c>
      <c r="L460">
        <v>3</v>
      </c>
      <c r="Q460" t="s">
        <v>556</v>
      </c>
      <c r="R460">
        <f t="shared" si="135"/>
        <v>0.27900000000000003</v>
      </c>
      <c r="S460">
        <f t="shared" si="132"/>
        <v>0.39482432432432457</v>
      </c>
      <c r="V460" t="s">
        <v>186</v>
      </c>
      <c r="Y460">
        <v>2013</v>
      </c>
      <c r="Z460">
        <f>2025-AVERAGE($Y$292:$Y$488)</f>
        <v>10.796954314720779</v>
      </c>
      <c r="AE460">
        <v>0</v>
      </c>
      <c r="AF460" t="s">
        <v>186</v>
      </c>
      <c r="AG460">
        <v>2</v>
      </c>
      <c r="AI460">
        <f t="shared" si="133"/>
        <v>1.9086294416243654</v>
      </c>
      <c r="AK460" t="s">
        <v>1143</v>
      </c>
      <c r="AL460">
        <v>49</v>
      </c>
      <c r="AM460" t="s">
        <v>325</v>
      </c>
      <c r="AN460" t="s">
        <v>356</v>
      </c>
      <c r="AO460">
        <v>0.21199999999999999</v>
      </c>
    </row>
    <row r="461" spans="1:41">
      <c r="A461">
        <v>11</v>
      </c>
      <c r="B461" t="s">
        <v>357</v>
      </c>
      <c r="C461" t="s">
        <v>355</v>
      </c>
      <c r="D461" s="3">
        <f t="shared" si="134"/>
        <v>5.0761421319796955</v>
      </c>
      <c r="F461">
        <v>2021</v>
      </c>
      <c r="G461">
        <f t="shared" si="128"/>
        <v>4</v>
      </c>
      <c r="J461">
        <f t="shared" si="131"/>
        <v>197</v>
      </c>
      <c r="K461">
        <v>5</v>
      </c>
      <c r="L461">
        <v>3</v>
      </c>
      <c r="Q461" t="s">
        <v>554</v>
      </c>
      <c r="R461">
        <f t="shared" si="135"/>
        <v>0.36899999999999999</v>
      </c>
      <c r="S461">
        <f t="shared" si="132"/>
        <v>0.39482432432432457</v>
      </c>
      <c r="V461" t="s">
        <v>186</v>
      </c>
      <c r="Y461">
        <v>2016</v>
      </c>
      <c r="Z461">
        <f>2025-AVERAGE($Y$292:$Y$488)</f>
        <v>10.796954314720779</v>
      </c>
      <c r="AE461">
        <v>0</v>
      </c>
      <c r="AF461" t="s">
        <v>186</v>
      </c>
      <c r="AG461">
        <v>3</v>
      </c>
      <c r="AI461">
        <f t="shared" si="133"/>
        <v>1.9086294416243654</v>
      </c>
      <c r="AK461" t="s">
        <v>1143</v>
      </c>
      <c r="AL461">
        <v>49</v>
      </c>
      <c r="AM461" t="s">
        <v>325</v>
      </c>
      <c r="AN461" t="s">
        <v>356</v>
      </c>
      <c r="AO461">
        <v>0.21199999999999999</v>
      </c>
    </row>
    <row r="462" spans="1:41">
      <c r="A462">
        <v>11</v>
      </c>
      <c r="B462" t="s">
        <v>357</v>
      </c>
      <c r="C462" t="s">
        <v>355</v>
      </c>
      <c r="D462" s="3">
        <f t="shared" si="134"/>
        <v>5.0761421319796955</v>
      </c>
      <c r="F462">
        <v>2021</v>
      </c>
      <c r="G462">
        <f t="shared" si="128"/>
        <v>4</v>
      </c>
      <c r="J462">
        <f t="shared" si="131"/>
        <v>197</v>
      </c>
      <c r="K462">
        <v>5</v>
      </c>
      <c r="L462">
        <v>3</v>
      </c>
      <c r="Q462" t="s">
        <v>555</v>
      </c>
      <c r="R462">
        <f t="shared" si="135"/>
        <v>0.51800000000000002</v>
      </c>
      <c r="S462">
        <f t="shared" si="132"/>
        <v>0.39482432432432457</v>
      </c>
      <c r="V462" t="s">
        <v>186</v>
      </c>
      <c r="Y462">
        <v>2015</v>
      </c>
      <c r="Z462">
        <f>2025-AVERAGE($Y$292:$Y$488)</f>
        <v>10.796954314720779</v>
      </c>
      <c r="AE462">
        <v>0</v>
      </c>
      <c r="AF462" t="s">
        <v>186</v>
      </c>
      <c r="AG462">
        <v>1</v>
      </c>
      <c r="AI462">
        <f t="shared" si="133"/>
        <v>1.9086294416243654</v>
      </c>
      <c r="AK462" t="s">
        <v>1143</v>
      </c>
      <c r="AL462">
        <v>49</v>
      </c>
      <c r="AM462" t="s">
        <v>325</v>
      </c>
      <c r="AN462" t="s">
        <v>356</v>
      </c>
      <c r="AO462">
        <v>0.21199999999999999</v>
      </c>
    </row>
    <row r="463" spans="1:41">
      <c r="A463">
        <v>11</v>
      </c>
      <c r="B463" t="s">
        <v>357</v>
      </c>
      <c r="C463" t="s">
        <v>355</v>
      </c>
      <c r="D463" s="3">
        <f t="shared" si="134"/>
        <v>5.0761421319796955</v>
      </c>
      <c r="F463">
        <v>2021</v>
      </c>
      <c r="G463">
        <f t="shared" si="128"/>
        <v>4</v>
      </c>
      <c r="J463">
        <f t="shared" si="131"/>
        <v>197</v>
      </c>
      <c r="K463">
        <v>5</v>
      </c>
      <c r="L463">
        <v>3</v>
      </c>
      <c r="Q463" t="s">
        <v>554</v>
      </c>
      <c r="R463">
        <f t="shared" si="135"/>
        <v>0.503</v>
      </c>
      <c r="S463">
        <f t="shared" si="132"/>
        <v>0.39482432432432457</v>
      </c>
      <c r="T463" t="s">
        <v>558</v>
      </c>
      <c r="V463" t="s">
        <v>186</v>
      </c>
      <c r="Y463">
        <v>2013</v>
      </c>
      <c r="Z463">
        <f>2025-AVERAGE($Y$292:$Y$488)</f>
        <v>10.796954314720779</v>
      </c>
      <c r="AE463">
        <v>0</v>
      </c>
      <c r="AF463" t="s">
        <v>186</v>
      </c>
      <c r="AG463">
        <v>1</v>
      </c>
      <c r="AI463">
        <f t="shared" si="133"/>
        <v>1.9086294416243654</v>
      </c>
      <c r="AK463" t="s">
        <v>1143</v>
      </c>
      <c r="AL463">
        <v>49</v>
      </c>
      <c r="AM463" t="s">
        <v>325</v>
      </c>
      <c r="AN463" t="s">
        <v>356</v>
      </c>
      <c r="AO463">
        <v>0.21199999999999999</v>
      </c>
    </row>
    <row r="464" spans="1:41">
      <c r="A464">
        <v>11</v>
      </c>
      <c r="B464" t="s">
        <v>357</v>
      </c>
      <c r="C464" t="s">
        <v>355</v>
      </c>
      <c r="D464" s="3">
        <f t="shared" si="134"/>
        <v>5.0761421319796955</v>
      </c>
      <c r="F464">
        <v>2021</v>
      </c>
      <c r="G464">
        <f t="shared" si="128"/>
        <v>4</v>
      </c>
      <c r="J464">
        <f t="shared" si="131"/>
        <v>197</v>
      </c>
      <c r="K464">
        <v>5</v>
      </c>
      <c r="L464">
        <v>3</v>
      </c>
      <c r="Q464" t="s">
        <v>554</v>
      </c>
      <c r="R464">
        <f t="shared" si="135"/>
        <v>0.35799999999999998</v>
      </c>
      <c r="S464">
        <f t="shared" si="132"/>
        <v>0.39482432432432457</v>
      </c>
      <c r="V464" t="s">
        <v>186</v>
      </c>
      <c r="Y464">
        <v>2012</v>
      </c>
      <c r="Z464">
        <f>2025-AVERAGE($Y$292:$Y$488)</f>
        <v>10.796954314720779</v>
      </c>
      <c r="AE464">
        <v>0</v>
      </c>
      <c r="AF464" t="s">
        <v>186</v>
      </c>
      <c r="AG464">
        <v>1</v>
      </c>
      <c r="AI464">
        <f t="shared" si="133"/>
        <v>1.9086294416243654</v>
      </c>
      <c r="AK464" t="s">
        <v>1143</v>
      </c>
      <c r="AL464">
        <v>49</v>
      </c>
      <c r="AM464" t="s">
        <v>325</v>
      </c>
      <c r="AN464" t="s">
        <v>356</v>
      </c>
      <c r="AO464">
        <v>0.21199999999999999</v>
      </c>
    </row>
    <row r="465" spans="1:41">
      <c r="A465">
        <v>11</v>
      </c>
      <c r="B465" t="s">
        <v>357</v>
      </c>
      <c r="C465" t="s">
        <v>355</v>
      </c>
      <c r="D465" s="3">
        <f t="shared" si="134"/>
        <v>5.0761421319796955</v>
      </c>
      <c r="F465">
        <v>2021</v>
      </c>
      <c r="G465">
        <f t="shared" si="128"/>
        <v>4</v>
      </c>
      <c r="J465">
        <f t="shared" si="131"/>
        <v>197</v>
      </c>
      <c r="K465">
        <v>5</v>
      </c>
      <c r="L465">
        <v>3</v>
      </c>
      <c r="Q465" t="s">
        <v>552</v>
      </c>
      <c r="R465" t="str">
        <f t="shared" si="135"/>
        <v/>
      </c>
      <c r="S465">
        <f t="shared" si="132"/>
        <v>0.39482432432432457</v>
      </c>
      <c r="V465" t="s">
        <v>186</v>
      </c>
      <c r="Y465">
        <v>2015</v>
      </c>
      <c r="Z465">
        <f>2025-AVERAGE($Y$292:$Y$488)</f>
        <v>10.796954314720779</v>
      </c>
      <c r="AE465">
        <v>0</v>
      </c>
      <c r="AF465" t="s">
        <v>186</v>
      </c>
      <c r="AG465">
        <v>2</v>
      </c>
      <c r="AI465">
        <f t="shared" si="133"/>
        <v>1.9086294416243654</v>
      </c>
      <c r="AK465" t="s">
        <v>1143</v>
      </c>
      <c r="AL465">
        <v>49</v>
      </c>
      <c r="AM465" t="s">
        <v>325</v>
      </c>
      <c r="AN465" t="s">
        <v>356</v>
      </c>
      <c r="AO465">
        <v>0.21199999999999999</v>
      </c>
    </row>
    <row r="466" spans="1:41">
      <c r="A466">
        <v>11</v>
      </c>
      <c r="B466" t="s">
        <v>357</v>
      </c>
      <c r="C466" t="s">
        <v>355</v>
      </c>
      <c r="D466" s="3">
        <f t="shared" si="134"/>
        <v>5.0761421319796955</v>
      </c>
      <c r="F466">
        <v>2021</v>
      </c>
      <c r="G466">
        <f t="shared" ref="G466:G529" si="136">2025-F466</f>
        <v>4</v>
      </c>
      <c r="J466">
        <f t="shared" si="131"/>
        <v>197</v>
      </c>
      <c r="K466">
        <v>5</v>
      </c>
      <c r="L466">
        <v>3</v>
      </c>
      <c r="Q466" t="s">
        <v>556</v>
      </c>
      <c r="R466">
        <f t="shared" si="135"/>
        <v>0.21</v>
      </c>
      <c r="S466">
        <f t="shared" si="132"/>
        <v>0.39482432432432457</v>
      </c>
      <c r="V466" t="s">
        <v>186</v>
      </c>
      <c r="Y466">
        <v>2012</v>
      </c>
      <c r="Z466">
        <f>2025-AVERAGE($Y$292:$Y$488)</f>
        <v>10.796954314720779</v>
      </c>
      <c r="AE466">
        <v>0</v>
      </c>
      <c r="AF466" t="s">
        <v>186</v>
      </c>
      <c r="AG466">
        <v>1</v>
      </c>
      <c r="AI466">
        <f t="shared" si="133"/>
        <v>1.9086294416243654</v>
      </c>
      <c r="AK466" t="s">
        <v>1143</v>
      </c>
      <c r="AL466">
        <v>49</v>
      </c>
      <c r="AM466" t="s">
        <v>325</v>
      </c>
      <c r="AN466" t="s">
        <v>356</v>
      </c>
      <c r="AO466">
        <v>0.21199999999999999</v>
      </c>
    </row>
    <row r="467" spans="1:41">
      <c r="A467">
        <v>11</v>
      </c>
      <c r="B467" t="s">
        <v>357</v>
      </c>
      <c r="C467" t="s">
        <v>355</v>
      </c>
      <c r="D467" s="3">
        <f t="shared" si="134"/>
        <v>5.0761421319796955</v>
      </c>
      <c r="F467">
        <v>2021</v>
      </c>
      <c r="G467">
        <f t="shared" si="136"/>
        <v>4</v>
      </c>
      <c r="J467">
        <f t="shared" si="131"/>
        <v>197</v>
      </c>
      <c r="K467">
        <v>5</v>
      </c>
      <c r="L467">
        <v>3</v>
      </c>
      <c r="Q467" t="s">
        <v>554</v>
      </c>
      <c r="R467">
        <f t="shared" si="135"/>
        <v>0.35799999999999998</v>
      </c>
      <c r="S467">
        <f t="shared" si="132"/>
        <v>0.39482432432432457</v>
      </c>
      <c r="V467" t="s">
        <v>186</v>
      </c>
      <c r="Y467">
        <v>2012</v>
      </c>
      <c r="Z467">
        <f>2025-AVERAGE($Y$292:$Y$488)</f>
        <v>10.796954314720779</v>
      </c>
      <c r="AE467">
        <v>0</v>
      </c>
      <c r="AF467" t="s">
        <v>186</v>
      </c>
      <c r="AG467">
        <v>3</v>
      </c>
      <c r="AI467">
        <f t="shared" si="133"/>
        <v>1.9086294416243654</v>
      </c>
      <c r="AK467" t="s">
        <v>1143</v>
      </c>
      <c r="AL467">
        <v>49</v>
      </c>
      <c r="AM467" t="s">
        <v>325</v>
      </c>
      <c r="AN467" t="s">
        <v>356</v>
      </c>
      <c r="AO467">
        <v>0.21199999999999999</v>
      </c>
    </row>
    <row r="468" spans="1:41">
      <c r="A468">
        <v>11</v>
      </c>
      <c r="B468" t="s">
        <v>357</v>
      </c>
      <c r="C468" t="s">
        <v>355</v>
      </c>
      <c r="D468" s="3">
        <f t="shared" si="134"/>
        <v>5.0761421319796955</v>
      </c>
      <c r="F468">
        <v>2021</v>
      </c>
      <c r="G468">
        <f t="shared" si="136"/>
        <v>4</v>
      </c>
      <c r="J468">
        <f t="shared" si="131"/>
        <v>197</v>
      </c>
      <c r="K468">
        <v>5</v>
      </c>
      <c r="L468">
        <v>3</v>
      </c>
      <c r="Q468" t="s">
        <v>555</v>
      </c>
      <c r="R468">
        <f t="shared" si="135"/>
        <v>0.51800000000000002</v>
      </c>
      <c r="S468">
        <f t="shared" si="132"/>
        <v>0.39482432432432457</v>
      </c>
      <c r="V468" t="s">
        <v>186</v>
      </c>
      <c r="Y468">
        <v>2015</v>
      </c>
      <c r="Z468">
        <f>2025-AVERAGE($Y$292:$Y$488)</f>
        <v>10.796954314720779</v>
      </c>
      <c r="AE468">
        <v>0</v>
      </c>
      <c r="AF468" t="s">
        <v>186</v>
      </c>
      <c r="AG468">
        <v>1</v>
      </c>
      <c r="AI468">
        <f t="shared" si="133"/>
        <v>1.9086294416243654</v>
      </c>
      <c r="AK468" t="s">
        <v>1143</v>
      </c>
      <c r="AL468">
        <v>49</v>
      </c>
      <c r="AM468" t="s">
        <v>325</v>
      </c>
      <c r="AN468" t="s">
        <v>356</v>
      </c>
      <c r="AO468">
        <v>0.21199999999999999</v>
      </c>
    </row>
    <row r="469" spans="1:41">
      <c r="A469">
        <v>11</v>
      </c>
      <c r="B469" t="s">
        <v>357</v>
      </c>
      <c r="C469" t="s">
        <v>355</v>
      </c>
      <c r="D469" s="3">
        <f t="shared" si="134"/>
        <v>5.0761421319796955</v>
      </c>
      <c r="F469">
        <v>2021</v>
      </c>
      <c r="G469">
        <f t="shared" si="136"/>
        <v>4</v>
      </c>
      <c r="J469">
        <f t="shared" si="131"/>
        <v>197</v>
      </c>
      <c r="K469">
        <v>5</v>
      </c>
      <c r="L469">
        <v>3</v>
      </c>
      <c r="Q469" t="s">
        <v>552</v>
      </c>
      <c r="R469" t="str">
        <f t="shared" si="135"/>
        <v/>
      </c>
      <c r="S469">
        <f t="shared" si="132"/>
        <v>0.39482432432432457</v>
      </c>
      <c r="V469" t="s">
        <v>186</v>
      </c>
      <c r="Y469">
        <v>2012</v>
      </c>
      <c r="Z469">
        <f>2025-AVERAGE($Y$292:$Y$488)</f>
        <v>10.796954314720779</v>
      </c>
      <c r="AE469">
        <v>0</v>
      </c>
      <c r="AF469" t="s">
        <v>186</v>
      </c>
      <c r="AG469">
        <v>3</v>
      </c>
      <c r="AI469">
        <f t="shared" si="133"/>
        <v>1.9086294416243654</v>
      </c>
      <c r="AK469" t="s">
        <v>1143</v>
      </c>
      <c r="AL469">
        <v>49</v>
      </c>
      <c r="AM469" t="s">
        <v>325</v>
      </c>
      <c r="AN469" t="s">
        <v>356</v>
      </c>
      <c r="AO469">
        <v>0.21199999999999999</v>
      </c>
    </row>
    <row r="470" spans="1:41">
      <c r="A470">
        <v>11</v>
      </c>
      <c r="B470" t="s">
        <v>357</v>
      </c>
      <c r="C470" t="s">
        <v>355</v>
      </c>
      <c r="D470" s="3">
        <f t="shared" si="134"/>
        <v>5.0761421319796955</v>
      </c>
      <c r="F470">
        <v>2021</v>
      </c>
      <c r="G470">
        <f t="shared" si="136"/>
        <v>4</v>
      </c>
      <c r="J470">
        <f t="shared" si="131"/>
        <v>197</v>
      </c>
      <c r="K470">
        <v>5</v>
      </c>
      <c r="L470">
        <v>3</v>
      </c>
      <c r="Q470" t="s">
        <v>552</v>
      </c>
      <c r="R470" t="str">
        <f t="shared" si="135"/>
        <v/>
      </c>
      <c r="S470">
        <f t="shared" si="132"/>
        <v>0.39482432432432457</v>
      </c>
      <c r="V470" t="s">
        <v>186</v>
      </c>
      <c r="Y470">
        <v>2015</v>
      </c>
      <c r="Z470">
        <f>2025-AVERAGE($Y$292:$Y$488)</f>
        <v>10.796954314720779</v>
      </c>
      <c r="AE470">
        <v>0</v>
      </c>
      <c r="AF470" t="s">
        <v>186</v>
      </c>
      <c r="AG470">
        <v>3</v>
      </c>
      <c r="AI470">
        <f t="shared" si="133"/>
        <v>1.9086294416243654</v>
      </c>
      <c r="AK470" t="s">
        <v>1143</v>
      </c>
      <c r="AL470">
        <v>49</v>
      </c>
      <c r="AM470" t="s">
        <v>325</v>
      </c>
      <c r="AN470" t="s">
        <v>356</v>
      </c>
      <c r="AO470">
        <v>0.21199999999999999</v>
      </c>
    </row>
    <row r="471" spans="1:41">
      <c r="A471">
        <v>11</v>
      </c>
      <c r="B471" t="s">
        <v>357</v>
      </c>
      <c r="C471" t="s">
        <v>355</v>
      </c>
      <c r="D471" s="3">
        <f t="shared" si="134"/>
        <v>5.0761421319796955</v>
      </c>
      <c r="F471">
        <v>2021</v>
      </c>
      <c r="G471">
        <f t="shared" si="136"/>
        <v>4</v>
      </c>
      <c r="J471">
        <f t="shared" si="131"/>
        <v>197</v>
      </c>
      <c r="K471">
        <v>5</v>
      </c>
      <c r="L471">
        <v>3</v>
      </c>
      <c r="Q471" t="s">
        <v>552</v>
      </c>
      <c r="R471" t="str">
        <f t="shared" si="135"/>
        <v/>
      </c>
      <c r="S471">
        <f t="shared" si="132"/>
        <v>0.39482432432432457</v>
      </c>
      <c r="T471" t="s">
        <v>559</v>
      </c>
      <c r="V471" t="s">
        <v>186</v>
      </c>
      <c r="Y471">
        <v>2015</v>
      </c>
      <c r="Z471">
        <f>2025-AVERAGE($Y$292:$Y$488)</f>
        <v>10.796954314720779</v>
      </c>
      <c r="AE471">
        <v>0</v>
      </c>
      <c r="AF471" t="s">
        <v>186</v>
      </c>
      <c r="AG471">
        <v>1</v>
      </c>
      <c r="AI471">
        <f t="shared" si="133"/>
        <v>1.9086294416243654</v>
      </c>
      <c r="AK471" t="s">
        <v>1143</v>
      </c>
      <c r="AL471">
        <v>49</v>
      </c>
      <c r="AM471" t="s">
        <v>325</v>
      </c>
      <c r="AN471" t="s">
        <v>356</v>
      </c>
      <c r="AO471">
        <v>0.21199999999999999</v>
      </c>
    </row>
    <row r="472" spans="1:41">
      <c r="A472">
        <v>11</v>
      </c>
      <c r="B472" t="s">
        <v>357</v>
      </c>
      <c r="C472" t="s">
        <v>355</v>
      </c>
      <c r="D472" s="3">
        <f t="shared" si="134"/>
        <v>5.0761421319796955</v>
      </c>
      <c r="F472">
        <v>2021</v>
      </c>
      <c r="G472">
        <f t="shared" si="136"/>
        <v>4</v>
      </c>
      <c r="J472">
        <f t="shared" si="131"/>
        <v>197</v>
      </c>
      <c r="K472">
        <v>5</v>
      </c>
      <c r="L472">
        <v>3</v>
      </c>
      <c r="Q472" t="s">
        <v>552</v>
      </c>
      <c r="R472" t="str">
        <f t="shared" si="135"/>
        <v/>
      </c>
      <c r="S472">
        <f t="shared" si="132"/>
        <v>0.39482432432432457</v>
      </c>
      <c r="V472" t="s">
        <v>186</v>
      </c>
      <c r="Y472">
        <v>2015</v>
      </c>
      <c r="Z472">
        <f>2025-AVERAGE($Y$292:$Y$488)</f>
        <v>10.796954314720779</v>
      </c>
      <c r="AE472">
        <v>0</v>
      </c>
      <c r="AF472" t="s">
        <v>186</v>
      </c>
      <c r="AG472">
        <v>2</v>
      </c>
      <c r="AI472">
        <f t="shared" si="133"/>
        <v>1.9086294416243654</v>
      </c>
      <c r="AK472" t="s">
        <v>1143</v>
      </c>
      <c r="AL472">
        <v>49</v>
      </c>
      <c r="AM472" t="s">
        <v>325</v>
      </c>
      <c r="AN472" t="s">
        <v>356</v>
      </c>
      <c r="AO472">
        <v>0.21199999999999999</v>
      </c>
    </row>
    <row r="473" spans="1:41">
      <c r="A473">
        <v>11</v>
      </c>
      <c r="B473" t="s">
        <v>357</v>
      </c>
      <c r="C473" t="s">
        <v>355</v>
      </c>
      <c r="D473" s="3">
        <f t="shared" si="134"/>
        <v>5.0761421319796955</v>
      </c>
      <c r="F473">
        <v>2021</v>
      </c>
      <c r="G473">
        <f t="shared" si="136"/>
        <v>4</v>
      </c>
      <c r="J473">
        <f t="shared" si="131"/>
        <v>197</v>
      </c>
      <c r="K473">
        <v>5</v>
      </c>
      <c r="L473">
        <v>3</v>
      </c>
      <c r="Q473" t="s">
        <v>552</v>
      </c>
      <c r="R473" t="str">
        <f t="shared" si="135"/>
        <v/>
      </c>
      <c r="S473">
        <f t="shared" si="132"/>
        <v>0.39482432432432457</v>
      </c>
      <c r="V473" t="s">
        <v>186</v>
      </c>
      <c r="Y473">
        <v>2014</v>
      </c>
      <c r="Z473">
        <f>2025-AVERAGE($Y$292:$Y$488)</f>
        <v>10.796954314720779</v>
      </c>
      <c r="AE473">
        <v>0</v>
      </c>
      <c r="AF473" t="s">
        <v>186</v>
      </c>
      <c r="AG473">
        <v>1</v>
      </c>
      <c r="AI473">
        <f t="shared" si="133"/>
        <v>1.9086294416243654</v>
      </c>
      <c r="AK473" t="s">
        <v>1143</v>
      </c>
      <c r="AL473">
        <v>49</v>
      </c>
      <c r="AM473" t="s">
        <v>325</v>
      </c>
      <c r="AN473" t="s">
        <v>356</v>
      </c>
      <c r="AO473">
        <v>0.21199999999999999</v>
      </c>
    </row>
    <row r="474" spans="1:41">
      <c r="A474">
        <v>11</v>
      </c>
      <c r="B474" t="s">
        <v>357</v>
      </c>
      <c r="C474" t="s">
        <v>355</v>
      </c>
      <c r="D474" s="3">
        <f t="shared" si="134"/>
        <v>5.0761421319796955</v>
      </c>
      <c r="F474">
        <v>2021</v>
      </c>
      <c r="G474">
        <f t="shared" si="136"/>
        <v>4</v>
      </c>
      <c r="J474">
        <f t="shared" si="131"/>
        <v>197</v>
      </c>
      <c r="K474">
        <v>5</v>
      </c>
      <c r="L474">
        <v>3</v>
      </c>
      <c r="Q474" t="s">
        <v>552</v>
      </c>
      <c r="R474" t="str">
        <f t="shared" si="135"/>
        <v/>
      </c>
      <c r="S474">
        <f t="shared" si="132"/>
        <v>0.39482432432432457</v>
      </c>
      <c r="V474" t="s">
        <v>186</v>
      </c>
      <c r="Y474">
        <v>2016</v>
      </c>
      <c r="Z474">
        <f>2025-AVERAGE($Y$292:$Y$488)</f>
        <v>10.796954314720779</v>
      </c>
      <c r="AE474">
        <v>0</v>
      </c>
      <c r="AF474" t="s">
        <v>186</v>
      </c>
      <c r="AG474">
        <v>1</v>
      </c>
      <c r="AI474">
        <f t="shared" si="133"/>
        <v>1.9086294416243654</v>
      </c>
      <c r="AK474" t="s">
        <v>1143</v>
      </c>
      <c r="AL474">
        <v>49</v>
      </c>
      <c r="AM474" t="s">
        <v>325</v>
      </c>
      <c r="AN474" t="s">
        <v>356</v>
      </c>
      <c r="AO474">
        <v>0.21199999999999999</v>
      </c>
    </row>
    <row r="475" spans="1:41">
      <c r="A475">
        <v>11</v>
      </c>
      <c r="B475" t="s">
        <v>357</v>
      </c>
      <c r="C475" t="s">
        <v>355</v>
      </c>
      <c r="D475" s="3">
        <f t="shared" si="134"/>
        <v>5.0761421319796955</v>
      </c>
      <c r="F475">
        <v>2021</v>
      </c>
      <c r="G475">
        <f t="shared" si="136"/>
        <v>4</v>
      </c>
      <c r="J475">
        <f t="shared" si="131"/>
        <v>197</v>
      </c>
      <c r="K475">
        <v>5</v>
      </c>
      <c r="L475">
        <v>3</v>
      </c>
      <c r="Q475" t="s">
        <v>552</v>
      </c>
      <c r="R475" t="str">
        <f t="shared" si="135"/>
        <v/>
      </c>
      <c r="S475">
        <f t="shared" si="132"/>
        <v>0.39482432432432457</v>
      </c>
      <c r="V475" t="s">
        <v>186</v>
      </c>
      <c r="Y475">
        <v>2014</v>
      </c>
      <c r="Z475">
        <f>2025-AVERAGE($Y$292:$Y$488)</f>
        <v>10.796954314720779</v>
      </c>
      <c r="AE475">
        <v>0</v>
      </c>
      <c r="AF475" t="s">
        <v>186</v>
      </c>
      <c r="AG475">
        <v>1</v>
      </c>
      <c r="AI475">
        <f t="shared" si="133"/>
        <v>1.9086294416243654</v>
      </c>
      <c r="AK475" t="s">
        <v>1143</v>
      </c>
      <c r="AL475">
        <v>49</v>
      </c>
      <c r="AM475" t="s">
        <v>325</v>
      </c>
      <c r="AN475" t="s">
        <v>356</v>
      </c>
      <c r="AO475">
        <v>0.21199999999999999</v>
      </c>
    </row>
    <row r="476" spans="1:41">
      <c r="A476">
        <v>11</v>
      </c>
      <c r="B476" t="s">
        <v>357</v>
      </c>
      <c r="C476" t="s">
        <v>355</v>
      </c>
      <c r="D476" s="3">
        <f t="shared" si="134"/>
        <v>5.0761421319796955</v>
      </c>
      <c r="F476">
        <v>2021</v>
      </c>
      <c r="G476">
        <f t="shared" si="136"/>
        <v>4</v>
      </c>
      <c r="J476">
        <f t="shared" si="131"/>
        <v>197</v>
      </c>
      <c r="K476">
        <v>5</v>
      </c>
      <c r="L476">
        <v>3</v>
      </c>
      <c r="Q476" t="s">
        <v>556</v>
      </c>
      <c r="R476">
        <f t="shared" si="135"/>
        <v>0.29699999999999999</v>
      </c>
      <c r="S476">
        <f t="shared" si="132"/>
        <v>0.39482432432432457</v>
      </c>
      <c r="V476" t="s">
        <v>186</v>
      </c>
      <c r="Y476">
        <v>2016</v>
      </c>
      <c r="Z476">
        <f>2025-AVERAGE($Y$292:$Y$488)</f>
        <v>10.796954314720779</v>
      </c>
      <c r="AE476">
        <v>0</v>
      </c>
      <c r="AF476" t="s">
        <v>186</v>
      </c>
      <c r="AG476">
        <v>1</v>
      </c>
      <c r="AI476">
        <f t="shared" si="133"/>
        <v>1.9086294416243654</v>
      </c>
      <c r="AK476" t="s">
        <v>1143</v>
      </c>
      <c r="AL476">
        <v>49</v>
      </c>
      <c r="AM476" t="s">
        <v>325</v>
      </c>
      <c r="AN476" t="s">
        <v>356</v>
      </c>
      <c r="AO476">
        <v>0.21199999999999999</v>
      </c>
    </row>
    <row r="477" spans="1:41">
      <c r="A477">
        <v>11</v>
      </c>
      <c r="B477" t="s">
        <v>357</v>
      </c>
      <c r="C477" t="s">
        <v>355</v>
      </c>
      <c r="D477" s="3">
        <f t="shared" si="134"/>
        <v>5.0761421319796955</v>
      </c>
      <c r="F477">
        <v>2021</v>
      </c>
      <c r="G477">
        <f t="shared" si="136"/>
        <v>4</v>
      </c>
      <c r="J477">
        <f t="shared" si="131"/>
        <v>197</v>
      </c>
      <c r="K477">
        <v>5</v>
      </c>
      <c r="L477">
        <v>3</v>
      </c>
      <c r="Q477" t="s">
        <v>555</v>
      </c>
      <c r="R477">
        <f t="shared" si="135"/>
        <v>0.73199999999999998</v>
      </c>
      <c r="S477">
        <f t="shared" si="132"/>
        <v>0.39482432432432457</v>
      </c>
      <c r="V477" t="s">
        <v>186</v>
      </c>
      <c r="Y477">
        <v>2012</v>
      </c>
      <c r="Z477">
        <f>2025-AVERAGE($Y$292:$Y$488)</f>
        <v>10.796954314720779</v>
      </c>
      <c r="AE477">
        <v>0</v>
      </c>
      <c r="AF477" t="s">
        <v>186</v>
      </c>
      <c r="AG477">
        <v>1</v>
      </c>
      <c r="AI477">
        <f t="shared" si="133"/>
        <v>1.9086294416243654</v>
      </c>
      <c r="AK477" t="s">
        <v>1143</v>
      </c>
      <c r="AL477">
        <v>49</v>
      </c>
      <c r="AM477" t="s">
        <v>325</v>
      </c>
      <c r="AN477" t="s">
        <v>356</v>
      </c>
      <c r="AO477">
        <v>0.21199999999999999</v>
      </c>
    </row>
    <row r="478" spans="1:41">
      <c r="A478">
        <v>11</v>
      </c>
      <c r="B478" t="s">
        <v>357</v>
      </c>
      <c r="C478" t="s">
        <v>355</v>
      </c>
      <c r="D478" s="3">
        <f t="shared" si="134"/>
        <v>5.0761421319796955</v>
      </c>
      <c r="F478">
        <v>2021</v>
      </c>
      <c r="G478">
        <f t="shared" si="136"/>
        <v>4</v>
      </c>
      <c r="J478">
        <f t="shared" si="131"/>
        <v>197</v>
      </c>
      <c r="K478">
        <v>5</v>
      </c>
      <c r="L478">
        <v>3</v>
      </c>
      <c r="Q478" t="s">
        <v>552</v>
      </c>
      <c r="R478" t="str">
        <f t="shared" si="135"/>
        <v/>
      </c>
      <c r="S478">
        <f t="shared" si="132"/>
        <v>0.39482432432432457</v>
      </c>
      <c r="V478" t="s">
        <v>186</v>
      </c>
      <c r="Y478">
        <v>2012</v>
      </c>
      <c r="Z478">
        <f>2025-AVERAGE($Y$292:$Y$488)</f>
        <v>10.796954314720779</v>
      </c>
      <c r="AE478">
        <v>0</v>
      </c>
      <c r="AF478" t="s">
        <v>186</v>
      </c>
      <c r="AG478">
        <v>2</v>
      </c>
      <c r="AI478">
        <f t="shared" si="133"/>
        <v>1.9086294416243654</v>
      </c>
      <c r="AK478" t="s">
        <v>1143</v>
      </c>
      <c r="AL478">
        <v>49</v>
      </c>
      <c r="AM478" t="s">
        <v>325</v>
      </c>
      <c r="AN478" t="s">
        <v>356</v>
      </c>
      <c r="AO478">
        <v>0.21199999999999999</v>
      </c>
    </row>
    <row r="479" spans="1:41">
      <c r="A479">
        <v>11</v>
      </c>
      <c r="B479" t="s">
        <v>357</v>
      </c>
      <c r="C479" t="s">
        <v>355</v>
      </c>
      <c r="D479" s="3">
        <f t="shared" si="134"/>
        <v>5.0761421319796955</v>
      </c>
      <c r="F479">
        <v>2021</v>
      </c>
      <c r="G479">
        <f t="shared" si="136"/>
        <v>4</v>
      </c>
      <c r="J479">
        <f t="shared" si="131"/>
        <v>197</v>
      </c>
      <c r="K479">
        <v>5</v>
      </c>
      <c r="L479">
        <v>3</v>
      </c>
      <c r="Q479" t="s">
        <v>554</v>
      </c>
      <c r="R479">
        <f t="shared" si="135"/>
        <v>0.503</v>
      </c>
      <c r="S479">
        <f t="shared" si="132"/>
        <v>0.39482432432432457</v>
      </c>
      <c r="V479" t="s">
        <v>186</v>
      </c>
      <c r="Y479">
        <v>2013</v>
      </c>
      <c r="Z479">
        <f>2025-AVERAGE($Y$292:$Y$488)</f>
        <v>10.796954314720779</v>
      </c>
      <c r="AE479">
        <v>0</v>
      </c>
      <c r="AF479" t="s">
        <v>186</v>
      </c>
      <c r="AG479">
        <v>1</v>
      </c>
      <c r="AI479">
        <f t="shared" si="133"/>
        <v>1.9086294416243654</v>
      </c>
      <c r="AK479" t="s">
        <v>1143</v>
      </c>
      <c r="AL479">
        <v>49</v>
      </c>
      <c r="AM479" t="s">
        <v>325</v>
      </c>
      <c r="AN479" t="s">
        <v>356</v>
      </c>
      <c r="AO479">
        <v>0.21199999999999999</v>
      </c>
    </row>
    <row r="480" spans="1:41">
      <c r="A480">
        <v>11</v>
      </c>
      <c r="B480" t="s">
        <v>357</v>
      </c>
      <c r="C480" t="s">
        <v>355</v>
      </c>
      <c r="D480" s="3">
        <f t="shared" si="134"/>
        <v>5.0761421319796955</v>
      </c>
      <c r="F480">
        <v>2021</v>
      </c>
      <c r="G480">
        <f t="shared" si="136"/>
        <v>4</v>
      </c>
      <c r="J480">
        <f t="shared" si="131"/>
        <v>197</v>
      </c>
      <c r="K480">
        <v>5</v>
      </c>
      <c r="L480">
        <v>3</v>
      </c>
      <c r="Q480" t="s">
        <v>556</v>
      </c>
      <c r="R480">
        <f t="shared" si="135"/>
        <v>0.29699999999999999</v>
      </c>
      <c r="S480">
        <f t="shared" si="132"/>
        <v>0.39482432432432457</v>
      </c>
      <c r="V480" t="s">
        <v>186</v>
      </c>
      <c r="Y480">
        <v>2016</v>
      </c>
      <c r="Z480">
        <f>2025-AVERAGE($Y$292:$Y$488)</f>
        <v>10.796954314720779</v>
      </c>
      <c r="AE480">
        <v>0</v>
      </c>
      <c r="AF480" t="s">
        <v>186</v>
      </c>
      <c r="AG480">
        <v>1</v>
      </c>
      <c r="AI480">
        <f t="shared" si="133"/>
        <v>1.9086294416243654</v>
      </c>
      <c r="AK480" t="s">
        <v>1143</v>
      </c>
      <c r="AL480">
        <v>49</v>
      </c>
      <c r="AM480" t="s">
        <v>325</v>
      </c>
      <c r="AN480" t="s">
        <v>356</v>
      </c>
      <c r="AO480">
        <v>0.21199999999999999</v>
      </c>
    </row>
    <row r="481" spans="1:41">
      <c r="A481">
        <v>11</v>
      </c>
      <c r="B481" t="s">
        <v>357</v>
      </c>
      <c r="C481" t="s">
        <v>355</v>
      </c>
      <c r="D481" s="3">
        <f t="shared" si="134"/>
        <v>5.0761421319796955</v>
      </c>
      <c r="F481">
        <v>2021</v>
      </c>
      <c r="G481">
        <f t="shared" si="136"/>
        <v>4</v>
      </c>
      <c r="J481">
        <f t="shared" si="131"/>
        <v>197</v>
      </c>
      <c r="K481">
        <v>5</v>
      </c>
      <c r="L481">
        <v>3</v>
      </c>
      <c r="Q481" t="s">
        <v>552</v>
      </c>
      <c r="R481" t="str">
        <f t="shared" si="135"/>
        <v/>
      </c>
      <c r="S481">
        <f t="shared" si="132"/>
        <v>0.39482432432432457</v>
      </c>
      <c r="T481" t="s">
        <v>557</v>
      </c>
      <c r="V481" t="s">
        <v>186</v>
      </c>
      <c r="Y481">
        <v>2016</v>
      </c>
      <c r="Z481">
        <f>2025-AVERAGE($Y$292:$Y$488)</f>
        <v>10.796954314720779</v>
      </c>
      <c r="AE481">
        <v>0</v>
      </c>
      <c r="AF481" t="s">
        <v>186</v>
      </c>
      <c r="AG481">
        <v>1</v>
      </c>
      <c r="AI481">
        <f t="shared" si="133"/>
        <v>1.9086294416243654</v>
      </c>
      <c r="AK481" t="s">
        <v>1143</v>
      </c>
      <c r="AL481">
        <v>49</v>
      </c>
      <c r="AM481" t="s">
        <v>325</v>
      </c>
      <c r="AN481" t="s">
        <v>356</v>
      </c>
      <c r="AO481">
        <v>0.21199999999999999</v>
      </c>
    </row>
    <row r="482" spans="1:41">
      <c r="A482">
        <v>11</v>
      </c>
      <c r="B482" t="s">
        <v>357</v>
      </c>
      <c r="C482" t="s">
        <v>355</v>
      </c>
      <c r="D482" s="3">
        <f t="shared" si="134"/>
        <v>5.0761421319796955</v>
      </c>
      <c r="F482">
        <v>2021</v>
      </c>
      <c r="G482">
        <f t="shared" si="136"/>
        <v>4</v>
      </c>
      <c r="J482">
        <f t="shared" si="131"/>
        <v>197</v>
      </c>
      <c r="K482">
        <v>5</v>
      </c>
      <c r="L482">
        <v>3</v>
      </c>
      <c r="Q482" t="s">
        <v>556</v>
      </c>
      <c r="R482">
        <f t="shared" si="135"/>
        <v>0.29799999999999999</v>
      </c>
      <c r="S482">
        <f t="shared" si="132"/>
        <v>0.39482432432432457</v>
      </c>
      <c r="V482" t="s">
        <v>186</v>
      </c>
      <c r="Y482">
        <v>2014</v>
      </c>
      <c r="Z482">
        <f>2025-AVERAGE($Y$292:$Y$488)</f>
        <v>10.796954314720779</v>
      </c>
      <c r="AE482">
        <v>0</v>
      </c>
      <c r="AF482" t="s">
        <v>186</v>
      </c>
      <c r="AG482">
        <v>2</v>
      </c>
      <c r="AI482">
        <f t="shared" si="133"/>
        <v>1.9086294416243654</v>
      </c>
      <c r="AK482" t="s">
        <v>1143</v>
      </c>
      <c r="AL482">
        <v>49</v>
      </c>
      <c r="AM482" t="s">
        <v>325</v>
      </c>
      <c r="AN482" t="s">
        <v>356</v>
      </c>
      <c r="AO482">
        <v>0.21199999999999999</v>
      </c>
    </row>
    <row r="483" spans="1:41">
      <c r="A483">
        <v>11</v>
      </c>
      <c r="B483" t="s">
        <v>357</v>
      </c>
      <c r="C483" t="s">
        <v>355</v>
      </c>
      <c r="D483" s="3">
        <f t="shared" si="134"/>
        <v>5.0761421319796955</v>
      </c>
      <c r="F483">
        <v>2021</v>
      </c>
      <c r="G483">
        <f t="shared" si="136"/>
        <v>4</v>
      </c>
      <c r="J483">
        <f t="shared" si="131"/>
        <v>197</v>
      </c>
      <c r="K483">
        <v>5</v>
      </c>
      <c r="L483">
        <v>3</v>
      </c>
      <c r="Q483" t="s">
        <v>554</v>
      </c>
      <c r="R483">
        <f t="shared" si="135"/>
        <v>0.31900000000000001</v>
      </c>
      <c r="S483">
        <f t="shared" si="132"/>
        <v>0.39482432432432457</v>
      </c>
      <c r="V483" t="s">
        <v>186</v>
      </c>
      <c r="Y483">
        <v>2014</v>
      </c>
      <c r="Z483">
        <f>2025-AVERAGE($Y$292:$Y$488)</f>
        <v>10.796954314720779</v>
      </c>
      <c r="AE483">
        <v>0</v>
      </c>
      <c r="AF483" t="s">
        <v>186</v>
      </c>
      <c r="AG483">
        <v>2</v>
      </c>
      <c r="AI483">
        <f t="shared" si="133"/>
        <v>1.9086294416243654</v>
      </c>
      <c r="AK483" t="s">
        <v>1143</v>
      </c>
      <c r="AL483">
        <v>49</v>
      </c>
      <c r="AM483" t="s">
        <v>325</v>
      </c>
      <c r="AN483" t="s">
        <v>356</v>
      </c>
      <c r="AO483">
        <v>0.21199999999999999</v>
      </c>
    </row>
    <row r="484" spans="1:41">
      <c r="A484">
        <v>11</v>
      </c>
      <c r="B484" t="s">
        <v>357</v>
      </c>
      <c r="C484" t="s">
        <v>355</v>
      </c>
      <c r="D484" s="3">
        <f t="shared" si="134"/>
        <v>5.0761421319796955</v>
      </c>
      <c r="F484">
        <v>2021</v>
      </c>
      <c r="G484">
        <f t="shared" si="136"/>
        <v>4</v>
      </c>
      <c r="J484">
        <f t="shared" si="131"/>
        <v>197</v>
      </c>
      <c r="K484">
        <v>5</v>
      </c>
      <c r="L484">
        <v>3</v>
      </c>
      <c r="Q484" t="s">
        <v>554</v>
      </c>
      <c r="R484">
        <f t="shared" ref="R484:R488" si="137">IF(AND(Q484="Dados", Y484=2012), 0.732,
IF(AND(Q484="Dados", Y484=2013), 0.469,
IF(AND(Q484="Dados", Y484=2014), 0.341,
IF(AND(Q484="Dados", Y484=2015), 0.518,
IF(AND(Q484="Dados", Y484=2016), 0.457,
IF(AND(Q484="Opinião Púbilca", Y484=2012), 0.358,
IF(AND(Q484="Opinião Púbilca", Y484=2013), 0.503,
IF(AND(Q484="Opinião Púbilca", Y484=2014), 0.319,
IF(AND(Q484="Opinião Púbilca", Y484=2015), 0.273,
IF(AND(Q484="Opinião Púbilca", Y484=2016), 0.369,
IF(AND(Q484="Revista Brasileira de Ciências Sociais", Y484=2012), 0.21,
IF(AND(Q484="Revista Brasileira de Ciências Sociais", Y484=2013), 0.279,
IF(AND(Q484="Revista Brasileira de Ciências Sociais", Y484=2014), 0.298,
IF(AND(Q484="Revista Brasileira de Ciências Sociais", Y484=2015), 0.153,
IF(AND(Q484="Revista Brasileira de Ciências Sociais", Y484=2016), 0.297,
"")))))))))))))))</f>
        <v>0.27300000000000002</v>
      </c>
      <c r="S484">
        <f t="shared" si="132"/>
        <v>0.39482432432432457</v>
      </c>
      <c r="V484" t="s">
        <v>186</v>
      </c>
      <c r="Y484">
        <v>2015</v>
      </c>
      <c r="Z484">
        <f>2025-AVERAGE($Y$292:$Y$488)</f>
        <v>10.796954314720779</v>
      </c>
      <c r="AE484">
        <v>0</v>
      </c>
      <c r="AF484" t="s">
        <v>186</v>
      </c>
      <c r="AG484">
        <v>1</v>
      </c>
      <c r="AI484">
        <f t="shared" si="133"/>
        <v>1.9086294416243654</v>
      </c>
      <c r="AK484" t="s">
        <v>1143</v>
      </c>
      <c r="AL484">
        <v>49</v>
      </c>
      <c r="AM484" t="s">
        <v>325</v>
      </c>
      <c r="AN484" t="s">
        <v>356</v>
      </c>
      <c r="AO484">
        <v>0.21199999999999999</v>
      </c>
    </row>
    <row r="485" spans="1:41">
      <c r="A485">
        <v>11</v>
      </c>
      <c r="B485" t="s">
        <v>357</v>
      </c>
      <c r="C485" t="s">
        <v>355</v>
      </c>
      <c r="D485" s="3">
        <f t="shared" si="134"/>
        <v>5.0761421319796955</v>
      </c>
      <c r="F485">
        <v>2021</v>
      </c>
      <c r="G485">
        <f t="shared" si="136"/>
        <v>4</v>
      </c>
      <c r="J485">
        <f t="shared" ref="J485:J488" si="138">COUNTA($Y$292:$Y$488)</f>
        <v>197</v>
      </c>
      <c r="K485">
        <v>5</v>
      </c>
      <c r="L485">
        <v>3</v>
      </c>
      <c r="Q485" t="s">
        <v>554</v>
      </c>
      <c r="R485">
        <f t="shared" si="137"/>
        <v>0.36899999999999999</v>
      </c>
      <c r="S485">
        <f t="shared" ref="S485:S488" si="139">AVERAGE($R$292:$R$488)</f>
        <v>0.39482432432432457</v>
      </c>
      <c r="V485" t="s">
        <v>186</v>
      </c>
      <c r="Y485">
        <v>2016</v>
      </c>
      <c r="Z485">
        <f>2025-AVERAGE($Y$292:$Y$488)</f>
        <v>10.796954314720779</v>
      </c>
      <c r="AE485">
        <v>0</v>
      </c>
      <c r="AF485" t="s">
        <v>186</v>
      </c>
      <c r="AG485">
        <v>2</v>
      </c>
      <c r="AI485">
        <f t="shared" ref="AI485:AI488" si="140">AVERAGE($AG$292:$AG$488)</f>
        <v>1.9086294416243654</v>
      </c>
      <c r="AK485" t="s">
        <v>1143</v>
      </c>
      <c r="AL485">
        <v>49</v>
      </c>
      <c r="AM485" t="s">
        <v>325</v>
      </c>
      <c r="AN485" t="s">
        <v>356</v>
      </c>
      <c r="AO485">
        <v>0.21199999999999999</v>
      </c>
    </row>
    <row r="486" spans="1:41">
      <c r="A486">
        <v>11</v>
      </c>
      <c r="B486" t="s">
        <v>357</v>
      </c>
      <c r="C486" t="s">
        <v>355</v>
      </c>
      <c r="D486" s="3">
        <f t="shared" si="134"/>
        <v>5.0761421319796955</v>
      </c>
      <c r="F486">
        <v>2021</v>
      </c>
      <c r="G486">
        <f t="shared" si="136"/>
        <v>4</v>
      </c>
      <c r="J486">
        <f t="shared" si="138"/>
        <v>197</v>
      </c>
      <c r="K486">
        <v>5</v>
      </c>
      <c r="L486">
        <v>3</v>
      </c>
      <c r="Q486" t="s">
        <v>554</v>
      </c>
      <c r="R486">
        <f t="shared" si="137"/>
        <v>0.35799999999999998</v>
      </c>
      <c r="S486">
        <f t="shared" si="139"/>
        <v>0.39482432432432457</v>
      </c>
      <c r="V486" t="s">
        <v>186</v>
      </c>
      <c r="Y486">
        <v>2012</v>
      </c>
      <c r="Z486">
        <f>2025-AVERAGE($Y$292:$Y$488)</f>
        <v>10.796954314720779</v>
      </c>
      <c r="AE486">
        <v>0</v>
      </c>
      <c r="AF486" t="s">
        <v>186</v>
      </c>
      <c r="AG486">
        <v>1</v>
      </c>
      <c r="AI486">
        <f t="shared" si="140"/>
        <v>1.9086294416243654</v>
      </c>
      <c r="AK486" t="s">
        <v>1143</v>
      </c>
      <c r="AL486">
        <v>49</v>
      </c>
      <c r="AM486" t="s">
        <v>325</v>
      </c>
      <c r="AN486" t="s">
        <v>356</v>
      </c>
      <c r="AO486">
        <v>0.21199999999999999</v>
      </c>
    </row>
    <row r="487" spans="1:41">
      <c r="A487">
        <v>11</v>
      </c>
      <c r="B487" t="s">
        <v>357</v>
      </c>
      <c r="C487" t="s">
        <v>355</v>
      </c>
      <c r="D487" s="3">
        <f t="shared" si="134"/>
        <v>5.0761421319796955</v>
      </c>
      <c r="F487">
        <v>2021</v>
      </c>
      <c r="G487">
        <f t="shared" si="136"/>
        <v>4</v>
      </c>
      <c r="J487">
        <f t="shared" si="138"/>
        <v>197</v>
      </c>
      <c r="K487">
        <v>5</v>
      </c>
      <c r="L487">
        <v>3</v>
      </c>
      <c r="Q487" t="s">
        <v>556</v>
      </c>
      <c r="R487">
        <f t="shared" si="137"/>
        <v>0.153</v>
      </c>
      <c r="S487">
        <f t="shared" si="139"/>
        <v>0.39482432432432457</v>
      </c>
      <c r="T487" t="s">
        <v>557</v>
      </c>
      <c r="V487" t="s">
        <v>186</v>
      </c>
      <c r="Y487">
        <v>2015</v>
      </c>
      <c r="Z487">
        <f>2025-AVERAGE($Y$292:$Y$488)</f>
        <v>10.796954314720779</v>
      </c>
      <c r="AE487">
        <v>0</v>
      </c>
      <c r="AF487" t="s">
        <v>186</v>
      </c>
      <c r="AG487">
        <v>1</v>
      </c>
      <c r="AI487">
        <f t="shared" si="140"/>
        <v>1.9086294416243654</v>
      </c>
      <c r="AK487" t="s">
        <v>1143</v>
      </c>
      <c r="AL487">
        <v>49</v>
      </c>
      <c r="AM487" t="s">
        <v>325</v>
      </c>
      <c r="AN487" t="s">
        <v>356</v>
      </c>
      <c r="AO487">
        <v>0.21199999999999999</v>
      </c>
    </row>
    <row r="488" spans="1:41">
      <c r="A488">
        <v>11</v>
      </c>
      <c r="B488" t="s">
        <v>357</v>
      </c>
      <c r="C488" t="s">
        <v>355</v>
      </c>
      <c r="D488" s="3">
        <f t="shared" si="134"/>
        <v>5.0761421319796955</v>
      </c>
      <c r="F488">
        <v>2021</v>
      </c>
      <c r="G488">
        <f t="shared" si="136"/>
        <v>4</v>
      </c>
      <c r="J488">
        <f t="shared" si="138"/>
        <v>197</v>
      </c>
      <c r="K488">
        <v>5</v>
      </c>
      <c r="L488">
        <v>3</v>
      </c>
      <c r="Q488" t="s">
        <v>552</v>
      </c>
      <c r="R488" t="str">
        <f t="shared" si="137"/>
        <v/>
      </c>
      <c r="S488">
        <f t="shared" si="139"/>
        <v>0.39482432432432457</v>
      </c>
      <c r="V488" t="s">
        <v>186</v>
      </c>
      <c r="Y488">
        <v>2012</v>
      </c>
      <c r="Z488">
        <f>2025-AVERAGE($Y$292:$Y$488)</f>
        <v>10.796954314720779</v>
      </c>
      <c r="AE488">
        <v>0</v>
      </c>
      <c r="AF488" t="s">
        <v>186</v>
      </c>
      <c r="AG488">
        <v>1</v>
      </c>
      <c r="AI488">
        <f t="shared" si="140"/>
        <v>1.9086294416243654</v>
      </c>
      <c r="AK488" t="s">
        <v>1143</v>
      </c>
      <c r="AL488">
        <v>49</v>
      </c>
      <c r="AM488" t="s">
        <v>325</v>
      </c>
      <c r="AN488" t="s">
        <v>356</v>
      </c>
      <c r="AO488">
        <v>0.21199999999999999</v>
      </c>
    </row>
    <row r="489" spans="1:41" ht="15.6">
      <c r="A489">
        <v>12</v>
      </c>
      <c r="B489" t="s">
        <v>1195</v>
      </c>
      <c r="C489" t="s">
        <v>358</v>
      </c>
      <c r="D489" s="3">
        <f>100*(10/13)</f>
        <v>76.923076923076934</v>
      </c>
      <c r="F489">
        <v>2014</v>
      </c>
      <c r="G489">
        <f t="shared" si="136"/>
        <v>11</v>
      </c>
      <c r="H489">
        <f>AVERAGE($AD$489:$AD$501)</f>
        <v>0.69307692307692303</v>
      </c>
      <c r="I489">
        <f>AVERAGE($AC$489:$AC$501)</f>
        <v>0.69916666666666671</v>
      </c>
      <c r="J489">
        <f>COUNTA($H$489:$H$501)</f>
        <v>13</v>
      </c>
      <c r="K489">
        <v>12</v>
      </c>
      <c r="L489">
        <v>52</v>
      </c>
      <c r="M489" s="12">
        <f>_xlfn.VAR.P($AD$489:$AD$501)</f>
        <v>0.50046745562130168</v>
      </c>
      <c r="N489">
        <f t="shared" ref="N489:N501" si="141">$O$489/SQRT($J$489)</f>
        <v>0.19620778931085783</v>
      </c>
      <c r="O489">
        <f>_xlfn.STDEV.P($AD$489:$AD$501)</f>
        <v>0.70743724500573313</v>
      </c>
      <c r="P489" t="s">
        <v>508</v>
      </c>
      <c r="Q489" t="s">
        <v>521</v>
      </c>
      <c r="R489">
        <v>2.5499999999999998</v>
      </c>
      <c r="S489">
        <f>AVERAGE($R$489:$R$501)</f>
        <v>3.1052857142857144</v>
      </c>
      <c r="U489">
        <v>17</v>
      </c>
      <c r="W489">
        <f>AVERAGE($U$489:$U$501)</f>
        <v>29.2</v>
      </c>
      <c r="Y489">
        <v>2009</v>
      </c>
      <c r="Z489">
        <f>2025-AVERAGE($Y$489:$Y$501)</f>
        <v>37</v>
      </c>
      <c r="AB489">
        <v>0.97222222222222221</v>
      </c>
      <c r="AC489">
        <v>0.23</v>
      </c>
      <c r="AD489" s="3">
        <v>0.27</v>
      </c>
      <c r="AE489">
        <v>0</v>
      </c>
      <c r="AF489" t="str">
        <f t="shared" ref="AF489:AF951" si="142">IF(AE489=1,"US","Non-US")</f>
        <v>Non-US</v>
      </c>
      <c r="AG489">
        <v>3</v>
      </c>
      <c r="AI489">
        <f>AVERAGE($AG$489:$AG$501)</f>
        <v>2.5384615384615383</v>
      </c>
      <c r="AK489" t="s">
        <v>112</v>
      </c>
      <c r="AL489">
        <v>38</v>
      </c>
      <c r="AM489" t="s">
        <v>115</v>
      </c>
      <c r="AN489" t="s">
        <v>359</v>
      </c>
      <c r="AO489">
        <v>1</v>
      </c>
    </row>
    <row r="490" spans="1:41" ht="15.6">
      <c r="A490">
        <v>12</v>
      </c>
      <c r="B490" t="s">
        <v>1195</v>
      </c>
      <c r="C490" t="s">
        <v>358</v>
      </c>
      <c r="D490" s="3">
        <f t="shared" ref="D490:D501" si="143">100*(10/13)</f>
        <v>76.923076923076934</v>
      </c>
      <c r="F490">
        <v>2014</v>
      </c>
      <c r="G490">
        <f t="shared" si="136"/>
        <v>11</v>
      </c>
      <c r="H490">
        <f t="shared" ref="H490:H501" si="144">AVERAGE($AD$489:$AD$501)</f>
        <v>0.69307692307692303</v>
      </c>
      <c r="I490">
        <f t="shared" ref="I490:I501" si="145">AVERAGE($AC$489:$AC$501)</f>
        <v>0.69916666666666671</v>
      </c>
      <c r="J490">
        <f t="shared" ref="J490:J500" si="146">COUNTA($H$489:$H$501)</f>
        <v>13</v>
      </c>
      <c r="K490">
        <v>12</v>
      </c>
      <c r="L490">
        <v>52</v>
      </c>
      <c r="M490" s="12">
        <f t="shared" ref="M490:M501" si="147">_xlfn.VAR.P($AD$489:$AD$501)</f>
        <v>0.50046745562130168</v>
      </c>
      <c r="N490">
        <f t="shared" si="141"/>
        <v>0.19620778931085783</v>
      </c>
      <c r="O490">
        <f t="shared" ref="O490:O501" si="148">_xlfn.STDEV.P($AD$489:$AD$501)</f>
        <v>0.70743724500573313</v>
      </c>
      <c r="P490" t="s">
        <v>509</v>
      </c>
      <c r="Q490" t="s">
        <v>111</v>
      </c>
      <c r="R490" t="s">
        <v>261</v>
      </c>
      <c r="S490">
        <f t="shared" ref="S490:S501" si="149">AVERAGE($R$489:$R$501)</f>
        <v>3.1052857142857144</v>
      </c>
      <c r="U490">
        <v>27</v>
      </c>
      <c r="W490">
        <f t="shared" ref="W490:W501" si="150">AVERAGE($U$489:$U$501)</f>
        <v>29.2</v>
      </c>
      <c r="Y490">
        <v>1981</v>
      </c>
      <c r="Z490">
        <f>2025-AVERAGE($Y$489:$Y$501)</f>
        <v>37</v>
      </c>
      <c r="AB490">
        <v>0.97</v>
      </c>
      <c r="AC490">
        <v>1.1299999999999999</v>
      </c>
      <c r="AD490" s="3">
        <v>1.96</v>
      </c>
      <c r="AE490">
        <v>0</v>
      </c>
      <c r="AF490" t="str">
        <f t="shared" si="142"/>
        <v>Non-US</v>
      </c>
      <c r="AG490">
        <v>2</v>
      </c>
      <c r="AI490">
        <f t="shared" ref="AI490:AI501" si="151">AVERAGE($AG$489:$AG$501)</f>
        <v>2.5384615384615383</v>
      </c>
      <c r="AK490" t="s">
        <v>112</v>
      </c>
      <c r="AL490">
        <v>38</v>
      </c>
      <c r="AM490" t="s">
        <v>115</v>
      </c>
      <c r="AN490" t="s">
        <v>359</v>
      </c>
      <c r="AO490">
        <v>1</v>
      </c>
    </row>
    <row r="491" spans="1:41" ht="15.6">
      <c r="A491">
        <v>12</v>
      </c>
      <c r="B491" t="s">
        <v>1195</v>
      </c>
      <c r="C491" t="s">
        <v>358</v>
      </c>
      <c r="D491" s="3">
        <f t="shared" si="143"/>
        <v>76.923076923076934</v>
      </c>
      <c r="F491">
        <v>2014</v>
      </c>
      <c r="G491">
        <f t="shared" si="136"/>
        <v>11</v>
      </c>
      <c r="H491">
        <f t="shared" si="144"/>
        <v>0.69307692307692303</v>
      </c>
      <c r="I491">
        <f t="shared" si="145"/>
        <v>0.69916666666666671</v>
      </c>
      <c r="J491">
        <f t="shared" si="146"/>
        <v>13</v>
      </c>
      <c r="K491">
        <v>12</v>
      </c>
      <c r="L491">
        <v>52</v>
      </c>
      <c r="M491" s="12">
        <f t="shared" si="147"/>
        <v>0.50046745562130168</v>
      </c>
      <c r="N491">
        <f t="shared" si="141"/>
        <v>0.19620778931085783</v>
      </c>
      <c r="O491">
        <f t="shared" si="148"/>
        <v>0.70743724500573313</v>
      </c>
      <c r="P491" t="s">
        <v>510</v>
      </c>
      <c r="Q491" t="s">
        <v>522</v>
      </c>
      <c r="R491" t="s">
        <v>261</v>
      </c>
      <c r="S491">
        <f t="shared" si="149"/>
        <v>3.1052857142857144</v>
      </c>
      <c r="U491">
        <v>18</v>
      </c>
      <c r="W491">
        <f t="shared" si="150"/>
        <v>29.2</v>
      </c>
      <c r="Y491">
        <v>1995</v>
      </c>
      <c r="Z491">
        <f>2025-AVERAGE($Y$489:$Y$501)</f>
        <v>37</v>
      </c>
      <c r="AB491">
        <v>1</v>
      </c>
      <c r="AC491">
        <v>0.93</v>
      </c>
      <c r="AD491" s="3">
        <v>1.9</v>
      </c>
      <c r="AE491">
        <v>0</v>
      </c>
      <c r="AF491" t="str">
        <f t="shared" si="142"/>
        <v>Non-US</v>
      </c>
      <c r="AG491">
        <v>2</v>
      </c>
      <c r="AI491">
        <f t="shared" si="151"/>
        <v>2.5384615384615383</v>
      </c>
      <c r="AK491" t="s">
        <v>112</v>
      </c>
      <c r="AL491">
        <v>38</v>
      </c>
      <c r="AM491" t="s">
        <v>115</v>
      </c>
      <c r="AN491" t="s">
        <v>359</v>
      </c>
      <c r="AO491">
        <v>1</v>
      </c>
    </row>
    <row r="492" spans="1:41" ht="15.6">
      <c r="A492">
        <v>12</v>
      </c>
      <c r="B492" t="s">
        <v>1195</v>
      </c>
      <c r="C492" t="s">
        <v>358</v>
      </c>
      <c r="D492" s="3">
        <f t="shared" si="143"/>
        <v>76.923076923076934</v>
      </c>
      <c r="F492">
        <v>2014</v>
      </c>
      <c r="G492">
        <f t="shared" si="136"/>
        <v>11</v>
      </c>
      <c r="H492">
        <f t="shared" si="144"/>
        <v>0.69307692307692303</v>
      </c>
      <c r="I492">
        <f t="shared" si="145"/>
        <v>0.69916666666666671</v>
      </c>
      <c r="J492">
        <f t="shared" si="146"/>
        <v>13</v>
      </c>
      <c r="K492">
        <v>12</v>
      </c>
      <c r="L492">
        <v>52</v>
      </c>
      <c r="M492" s="12">
        <f t="shared" si="147"/>
        <v>0.50046745562130168</v>
      </c>
      <c r="N492">
        <f t="shared" si="141"/>
        <v>0.19620778931085783</v>
      </c>
      <c r="O492">
        <f t="shared" si="148"/>
        <v>0.70743724500573313</v>
      </c>
      <c r="P492" t="s">
        <v>511</v>
      </c>
      <c r="Q492" t="s">
        <v>523</v>
      </c>
      <c r="R492">
        <v>0.54</v>
      </c>
      <c r="S492">
        <f t="shared" si="149"/>
        <v>3.1052857142857144</v>
      </c>
      <c r="U492">
        <v>27</v>
      </c>
      <c r="W492">
        <f t="shared" si="150"/>
        <v>29.2</v>
      </c>
      <c r="Y492">
        <v>2009</v>
      </c>
      <c r="Z492">
        <f>2025-AVERAGE($Y$489:$Y$501)</f>
        <v>37</v>
      </c>
      <c r="AB492">
        <v>5.7142857142857162E-2</v>
      </c>
      <c r="AC492">
        <v>0.69</v>
      </c>
      <c r="AD492" s="3">
        <v>0.61</v>
      </c>
      <c r="AE492">
        <v>0</v>
      </c>
      <c r="AF492" t="str">
        <f t="shared" si="142"/>
        <v>Non-US</v>
      </c>
      <c r="AG492">
        <v>2</v>
      </c>
      <c r="AI492">
        <f t="shared" si="151"/>
        <v>2.5384615384615383</v>
      </c>
      <c r="AK492" t="s">
        <v>112</v>
      </c>
      <c r="AL492">
        <v>38</v>
      </c>
      <c r="AM492" t="s">
        <v>115</v>
      </c>
      <c r="AN492" t="s">
        <v>359</v>
      </c>
      <c r="AO492">
        <v>1</v>
      </c>
    </row>
    <row r="493" spans="1:41" ht="15.6">
      <c r="A493">
        <v>12</v>
      </c>
      <c r="B493" t="s">
        <v>1195</v>
      </c>
      <c r="C493" t="s">
        <v>358</v>
      </c>
      <c r="D493" s="3">
        <f t="shared" si="143"/>
        <v>76.923076923076934</v>
      </c>
      <c r="F493">
        <v>2014</v>
      </c>
      <c r="G493">
        <f t="shared" si="136"/>
        <v>11</v>
      </c>
      <c r="H493">
        <f t="shared" si="144"/>
        <v>0.69307692307692303</v>
      </c>
      <c r="I493">
        <f t="shared" si="145"/>
        <v>0.69916666666666671</v>
      </c>
      <c r="J493">
        <f t="shared" si="146"/>
        <v>13</v>
      </c>
      <c r="K493">
        <v>12</v>
      </c>
      <c r="L493">
        <v>52</v>
      </c>
      <c r="M493" s="12">
        <f t="shared" si="147"/>
        <v>0.50046745562130168</v>
      </c>
      <c r="N493">
        <f t="shared" si="141"/>
        <v>0.19620778931085783</v>
      </c>
      <c r="O493">
        <f t="shared" si="148"/>
        <v>0.70743724500573313</v>
      </c>
      <c r="P493" t="s">
        <v>512</v>
      </c>
      <c r="Q493" t="s">
        <v>524</v>
      </c>
      <c r="R493" t="s">
        <v>261</v>
      </c>
      <c r="S493">
        <f t="shared" si="149"/>
        <v>3.1052857142857144</v>
      </c>
      <c r="U493">
        <v>7</v>
      </c>
      <c r="W493">
        <f t="shared" si="150"/>
        <v>29.2</v>
      </c>
      <c r="Y493">
        <v>1985</v>
      </c>
      <c r="Z493">
        <f>2025-AVERAGE($Y$489:$Y$501)</f>
        <v>37</v>
      </c>
      <c r="AB493">
        <v>0.16666666666666663</v>
      </c>
      <c r="AC493">
        <v>0.5</v>
      </c>
      <c r="AD493" s="3">
        <v>0.49</v>
      </c>
      <c r="AE493">
        <v>0</v>
      </c>
      <c r="AF493" t="str">
        <f t="shared" si="142"/>
        <v>Non-US</v>
      </c>
      <c r="AG493">
        <v>4</v>
      </c>
      <c r="AI493">
        <f t="shared" si="151"/>
        <v>2.5384615384615383</v>
      </c>
      <c r="AK493" t="s">
        <v>112</v>
      </c>
      <c r="AL493">
        <v>38</v>
      </c>
      <c r="AM493" t="s">
        <v>115</v>
      </c>
      <c r="AN493" t="s">
        <v>359</v>
      </c>
      <c r="AO493">
        <v>1</v>
      </c>
    </row>
    <row r="494" spans="1:41" ht="15.6">
      <c r="A494">
        <v>12</v>
      </c>
      <c r="B494" t="s">
        <v>1195</v>
      </c>
      <c r="C494" t="s">
        <v>358</v>
      </c>
      <c r="D494" s="3">
        <f t="shared" si="143"/>
        <v>76.923076923076934</v>
      </c>
      <c r="F494">
        <v>2014</v>
      </c>
      <c r="G494">
        <f t="shared" si="136"/>
        <v>11</v>
      </c>
      <c r="H494">
        <f t="shared" si="144"/>
        <v>0.69307692307692303</v>
      </c>
      <c r="I494">
        <f t="shared" si="145"/>
        <v>0.69916666666666671</v>
      </c>
      <c r="J494">
        <f t="shared" si="146"/>
        <v>13</v>
      </c>
      <c r="K494">
        <v>12</v>
      </c>
      <c r="L494">
        <v>52</v>
      </c>
      <c r="M494" s="12">
        <f t="shared" si="147"/>
        <v>0.50046745562130168</v>
      </c>
      <c r="N494">
        <f t="shared" si="141"/>
        <v>0.19620778931085783</v>
      </c>
      <c r="O494">
        <f t="shared" si="148"/>
        <v>0.70743724500573313</v>
      </c>
      <c r="P494" t="s">
        <v>513</v>
      </c>
      <c r="Q494" t="s">
        <v>525</v>
      </c>
      <c r="R494" t="s">
        <v>261</v>
      </c>
      <c r="S494">
        <f t="shared" si="149"/>
        <v>3.1052857142857144</v>
      </c>
      <c r="U494" t="s">
        <v>261</v>
      </c>
      <c r="W494">
        <f t="shared" si="150"/>
        <v>29.2</v>
      </c>
      <c r="Y494">
        <v>1950</v>
      </c>
      <c r="Z494">
        <f>2025-AVERAGE($Y$489:$Y$501)</f>
        <v>37</v>
      </c>
      <c r="AB494">
        <v>0.13888888888888884</v>
      </c>
      <c r="AC494">
        <v>0.16</v>
      </c>
      <c r="AD494" s="3">
        <v>0.3</v>
      </c>
      <c r="AE494">
        <v>0</v>
      </c>
      <c r="AF494" t="str">
        <f t="shared" si="142"/>
        <v>Non-US</v>
      </c>
      <c r="AG494">
        <v>2</v>
      </c>
      <c r="AI494">
        <f t="shared" si="151"/>
        <v>2.5384615384615383</v>
      </c>
      <c r="AK494" t="s">
        <v>112</v>
      </c>
      <c r="AL494">
        <v>38</v>
      </c>
      <c r="AM494" t="s">
        <v>115</v>
      </c>
      <c r="AN494" t="s">
        <v>359</v>
      </c>
      <c r="AO494">
        <v>1</v>
      </c>
    </row>
    <row r="495" spans="1:41" ht="15.6">
      <c r="A495">
        <v>12</v>
      </c>
      <c r="B495" t="s">
        <v>1195</v>
      </c>
      <c r="C495" t="s">
        <v>358</v>
      </c>
      <c r="D495" s="3">
        <f t="shared" si="143"/>
        <v>76.923076923076934</v>
      </c>
      <c r="F495">
        <v>2014</v>
      </c>
      <c r="G495">
        <f t="shared" si="136"/>
        <v>11</v>
      </c>
      <c r="H495">
        <f t="shared" si="144"/>
        <v>0.69307692307692303</v>
      </c>
      <c r="I495">
        <f t="shared" si="145"/>
        <v>0.69916666666666671</v>
      </c>
      <c r="J495">
        <f t="shared" si="146"/>
        <v>13</v>
      </c>
      <c r="K495">
        <v>12</v>
      </c>
      <c r="L495">
        <v>52</v>
      </c>
      <c r="M495" s="12">
        <f t="shared" si="147"/>
        <v>0.50046745562130168</v>
      </c>
      <c r="N495">
        <f t="shared" si="141"/>
        <v>0.19620778931085783</v>
      </c>
      <c r="O495">
        <f t="shared" si="148"/>
        <v>0.70743724500573313</v>
      </c>
      <c r="P495" t="s">
        <v>514</v>
      </c>
      <c r="Q495" t="s">
        <v>524</v>
      </c>
      <c r="R495" t="s">
        <v>261</v>
      </c>
      <c r="S495">
        <f t="shared" si="149"/>
        <v>3.1052857142857144</v>
      </c>
      <c r="U495" t="s">
        <v>261</v>
      </c>
      <c r="W495">
        <f t="shared" si="150"/>
        <v>29.2</v>
      </c>
      <c r="Y495">
        <v>1941</v>
      </c>
      <c r="Z495">
        <f>2025-AVERAGE($Y$489:$Y$501)</f>
        <v>37</v>
      </c>
      <c r="AB495">
        <v>0.2857142857142857</v>
      </c>
      <c r="AC495">
        <v>0.65</v>
      </c>
      <c r="AD495" s="3">
        <v>1.96</v>
      </c>
      <c r="AE495">
        <v>0</v>
      </c>
      <c r="AF495" t="str">
        <f t="shared" si="142"/>
        <v>Non-US</v>
      </c>
      <c r="AG495">
        <v>1</v>
      </c>
      <c r="AI495">
        <f t="shared" si="151"/>
        <v>2.5384615384615383</v>
      </c>
      <c r="AK495" t="s">
        <v>112</v>
      </c>
      <c r="AL495">
        <v>38</v>
      </c>
      <c r="AM495" t="s">
        <v>115</v>
      </c>
      <c r="AN495" t="s">
        <v>359</v>
      </c>
      <c r="AO495">
        <v>1</v>
      </c>
    </row>
    <row r="496" spans="1:41" ht="15.6">
      <c r="A496">
        <v>12</v>
      </c>
      <c r="B496" t="s">
        <v>1195</v>
      </c>
      <c r="C496" t="s">
        <v>358</v>
      </c>
      <c r="D496" s="3">
        <f t="shared" si="143"/>
        <v>76.923076923076934</v>
      </c>
      <c r="F496">
        <v>2014</v>
      </c>
      <c r="G496">
        <f t="shared" si="136"/>
        <v>11</v>
      </c>
      <c r="H496">
        <f t="shared" si="144"/>
        <v>0.69307692307692303</v>
      </c>
      <c r="I496">
        <f t="shared" si="145"/>
        <v>0.69916666666666671</v>
      </c>
      <c r="J496">
        <f t="shared" si="146"/>
        <v>13</v>
      </c>
      <c r="K496">
        <v>12</v>
      </c>
      <c r="L496">
        <v>52</v>
      </c>
      <c r="M496" s="12">
        <f t="shared" si="147"/>
        <v>0.50046745562130168</v>
      </c>
      <c r="N496">
        <f t="shared" si="141"/>
        <v>0.19620778931085783</v>
      </c>
      <c r="O496">
        <f t="shared" si="148"/>
        <v>0.70743724500573313</v>
      </c>
      <c r="P496" t="s">
        <v>515</v>
      </c>
      <c r="Q496" t="s">
        <v>526</v>
      </c>
      <c r="R496" t="s">
        <v>261</v>
      </c>
      <c r="S496">
        <f t="shared" si="149"/>
        <v>3.1052857142857144</v>
      </c>
      <c r="U496" t="s">
        <v>261</v>
      </c>
      <c r="W496">
        <f t="shared" si="150"/>
        <v>29.2</v>
      </c>
      <c r="Y496">
        <v>1936</v>
      </c>
      <c r="Z496">
        <f>2025-AVERAGE($Y$489:$Y$501)</f>
        <v>37</v>
      </c>
      <c r="AB496">
        <v>0.33333333333333337</v>
      </c>
      <c r="AC496" t="s">
        <v>261</v>
      </c>
      <c r="AD496" s="3">
        <v>0.32</v>
      </c>
      <c r="AE496">
        <v>0</v>
      </c>
      <c r="AF496" t="str">
        <f t="shared" si="142"/>
        <v>Non-US</v>
      </c>
      <c r="AG496">
        <v>2</v>
      </c>
      <c r="AI496">
        <f t="shared" si="151"/>
        <v>2.5384615384615383</v>
      </c>
      <c r="AK496" t="s">
        <v>112</v>
      </c>
      <c r="AL496">
        <v>38</v>
      </c>
      <c r="AM496" t="s">
        <v>115</v>
      </c>
      <c r="AN496" t="s">
        <v>359</v>
      </c>
      <c r="AO496">
        <v>1</v>
      </c>
    </row>
    <row r="497" spans="1:41" ht="15.6">
      <c r="A497">
        <v>12</v>
      </c>
      <c r="B497" t="s">
        <v>1195</v>
      </c>
      <c r="C497" t="s">
        <v>358</v>
      </c>
      <c r="D497" s="3">
        <f t="shared" si="143"/>
        <v>76.923076923076934</v>
      </c>
      <c r="F497">
        <v>2014</v>
      </c>
      <c r="G497">
        <f t="shared" si="136"/>
        <v>11</v>
      </c>
      <c r="H497">
        <f t="shared" si="144"/>
        <v>0.69307692307692303</v>
      </c>
      <c r="I497">
        <f t="shared" si="145"/>
        <v>0.69916666666666671</v>
      </c>
      <c r="J497">
        <f t="shared" si="146"/>
        <v>13</v>
      </c>
      <c r="K497">
        <v>12</v>
      </c>
      <c r="L497">
        <v>52</v>
      </c>
      <c r="M497" s="12">
        <f t="shared" si="147"/>
        <v>0.50046745562130168</v>
      </c>
      <c r="N497">
        <f t="shared" si="141"/>
        <v>0.19620778931085783</v>
      </c>
      <c r="O497">
        <f t="shared" si="148"/>
        <v>0.70743724500573313</v>
      </c>
      <c r="P497" t="s">
        <v>516</v>
      </c>
      <c r="Q497" t="s">
        <v>527</v>
      </c>
      <c r="R497">
        <v>3.8290000000000002</v>
      </c>
      <c r="S497">
        <f t="shared" si="149"/>
        <v>3.1052857142857144</v>
      </c>
      <c r="U497">
        <v>24</v>
      </c>
      <c r="W497">
        <f t="shared" si="150"/>
        <v>29.2</v>
      </c>
      <c r="Y497">
        <v>2011</v>
      </c>
      <c r="Z497">
        <f>2025-AVERAGE($Y$489:$Y$501)</f>
        <v>37</v>
      </c>
      <c r="AB497">
        <v>0.52777777777777779</v>
      </c>
      <c r="AC497">
        <v>0.5</v>
      </c>
      <c r="AD497" s="3">
        <v>0.03</v>
      </c>
      <c r="AE497">
        <v>0</v>
      </c>
      <c r="AF497" t="str">
        <f t="shared" si="142"/>
        <v>Non-US</v>
      </c>
      <c r="AG497">
        <v>3</v>
      </c>
      <c r="AI497">
        <f t="shared" si="151"/>
        <v>2.5384615384615383</v>
      </c>
      <c r="AK497" t="s">
        <v>112</v>
      </c>
      <c r="AL497">
        <v>38</v>
      </c>
      <c r="AM497" t="s">
        <v>115</v>
      </c>
      <c r="AN497" t="s">
        <v>359</v>
      </c>
      <c r="AO497">
        <v>1</v>
      </c>
    </row>
    <row r="498" spans="1:41" ht="15.6">
      <c r="A498">
        <v>12</v>
      </c>
      <c r="B498" t="s">
        <v>1195</v>
      </c>
      <c r="C498" t="s">
        <v>358</v>
      </c>
      <c r="D498" s="3">
        <f t="shared" si="143"/>
        <v>76.923076923076934</v>
      </c>
      <c r="F498">
        <v>2014</v>
      </c>
      <c r="G498">
        <f t="shared" si="136"/>
        <v>11</v>
      </c>
      <c r="H498">
        <f t="shared" si="144"/>
        <v>0.69307692307692303</v>
      </c>
      <c r="I498">
        <f t="shared" si="145"/>
        <v>0.69916666666666671</v>
      </c>
      <c r="J498">
        <f t="shared" si="146"/>
        <v>13</v>
      </c>
      <c r="K498">
        <v>12</v>
      </c>
      <c r="L498">
        <v>52</v>
      </c>
      <c r="M498" s="12">
        <f t="shared" si="147"/>
        <v>0.50046745562130168</v>
      </c>
      <c r="N498">
        <f t="shared" si="141"/>
        <v>0.19620778931085783</v>
      </c>
      <c r="O498">
        <f t="shared" si="148"/>
        <v>0.70743724500573313</v>
      </c>
      <c r="P498" t="s">
        <v>517</v>
      </c>
      <c r="Q498" t="s">
        <v>528</v>
      </c>
      <c r="R498">
        <v>3.7549999999999999</v>
      </c>
      <c r="S498">
        <f t="shared" si="149"/>
        <v>3.1052857142857144</v>
      </c>
      <c r="U498">
        <v>34</v>
      </c>
      <c r="W498">
        <f t="shared" si="150"/>
        <v>29.2</v>
      </c>
      <c r="Y498">
        <v>2013</v>
      </c>
      <c r="Z498">
        <f>2025-AVERAGE($Y$489:$Y$501)</f>
        <v>37</v>
      </c>
      <c r="AB498">
        <v>0.63888888888888884</v>
      </c>
      <c r="AC498">
        <v>0.8</v>
      </c>
      <c r="AD498" s="3">
        <v>-0.02</v>
      </c>
      <c r="AE498">
        <v>0</v>
      </c>
      <c r="AF498" t="str">
        <f t="shared" si="142"/>
        <v>Non-US</v>
      </c>
      <c r="AG498">
        <v>4</v>
      </c>
      <c r="AI498">
        <f t="shared" si="151"/>
        <v>2.5384615384615383</v>
      </c>
      <c r="AK498" t="s">
        <v>112</v>
      </c>
      <c r="AL498">
        <v>38</v>
      </c>
      <c r="AM498" t="s">
        <v>115</v>
      </c>
      <c r="AN498" t="s">
        <v>359</v>
      </c>
      <c r="AO498">
        <v>1</v>
      </c>
    </row>
    <row r="499" spans="1:41" ht="15.6">
      <c r="A499">
        <v>12</v>
      </c>
      <c r="B499" t="s">
        <v>1195</v>
      </c>
      <c r="C499" t="s">
        <v>358</v>
      </c>
      <c r="D499" s="3">
        <f t="shared" si="143"/>
        <v>76.923076923076934</v>
      </c>
      <c r="F499">
        <v>2014</v>
      </c>
      <c r="G499">
        <f t="shared" si="136"/>
        <v>11</v>
      </c>
      <c r="H499">
        <f t="shared" si="144"/>
        <v>0.69307692307692303</v>
      </c>
      <c r="I499">
        <f t="shared" si="145"/>
        <v>0.69916666666666671</v>
      </c>
      <c r="J499">
        <f t="shared" si="146"/>
        <v>13</v>
      </c>
      <c r="K499">
        <v>12</v>
      </c>
      <c r="L499">
        <v>52</v>
      </c>
      <c r="M499" s="12">
        <f t="shared" si="147"/>
        <v>0.50046745562130168</v>
      </c>
      <c r="N499">
        <f t="shared" si="141"/>
        <v>0.19620778931085783</v>
      </c>
      <c r="O499">
        <f t="shared" si="148"/>
        <v>0.70743724500573313</v>
      </c>
      <c r="P499" t="s">
        <v>518</v>
      </c>
      <c r="Q499" t="s">
        <v>521</v>
      </c>
      <c r="R499">
        <v>2.6850000000000001</v>
      </c>
      <c r="S499">
        <f t="shared" si="149"/>
        <v>3.1052857142857144</v>
      </c>
      <c r="U499">
        <v>54</v>
      </c>
      <c r="W499">
        <f t="shared" si="150"/>
        <v>29.2</v>
      </c>
      <c r="Y499">
        <v>2010</v>
      </c>
      <c r="Z499">
        <f>2025-AVERAGE($Y$489:$Y$501)</f>
        <v>37</v>
      </c>
      <c r="AB499">
        <v>0.5</v>
      </c>
      <c r="AC499">
        <v>0.86</v>
      </c>
      <c r="AD499" s="3">
        <v>0.13</v>
      </c>
      <c r="AE499">
        <v>0</v>
      </c>
      <c r="AF499" t="str">
        <f t="shared" si="142"/>
        <v>Non-US</v>
      </c>
      <c r="AG499">
        <v>2</v>
      </c>
      <c r="AI499">
        <f t="shared" si="151"/>
        <v>2.5384615384615383</v>
      </c>
      <c r="AK499" t="s">
        <v>112</v>
      </c>
      <c r="AL499">
        <v>38</v>
      </c>
      <c r="AM499" t="s">
        <v>115</v>
      </c>
      <c r="AN499" t="s">
        <v>359</v>
      </c>
      <c r="AO499">
        <v>1</v>
      </c>
    </row>
    <row r="500" spans="1:41" ht="15.6">
      <c r="A500">
        <v>12</v>
      </c>
      <c r="B500" t="s">
        <v>1195</v>
      </c>
      <c r="C500" t="s">
        <v>358</v>
      </c>
      <c r="D500" s="3">
        <f t="shared" si="143"/>
        <v>76.923076923076934</v>
      </c>
      <c r="F500">
        <v>2014</v>
      </c>
      <c r="G500">
        <f t="shared" si="136"/>
        <v>11</v>
      </c>
      <c r="H500">
        <f t="shared" si="144"/>
        <v>0.69307692307692303</v>
      </c>
      <c r="I500">
        <f t="shared" si="145"/>
        <v>0.69916666666666671</v>
      </c>
      <c r="J500">
        <f t="shared" si="146"/>
        <v>13</v>
      </c>
      <c r="K500">
        <v>12</v>
      </c>
      <c r="L500">
        <v>52</v>
      </c>
      <c r="M500" s="12">
        <f t="shared" si="147"/>
        <v>0.50046745562130168</v>
      </c>
      <c r="N500">
        <f t="shared" si="141"/>
        <v>0.19620778931085783</v>
      </c>
      <c r="O500">
        <f t="shared" si="148"/>
        <v>0.70743724500573313</v>
      </c>
      <c r="P500" t="s">
        <v>519</v>
      </c>
      <c r="Q500" t="s">
        <v>529</v>
      </c>
      <c r="R500">
        <v>4.1890000000000001</v>
      </c>
      <c r="S500">
        <f t="shared" si="149"/>
        <v>3.1052857142857144</v>
      </c>
      <c r="U500">
        <v>42</v>
      </c>
      <c r="W500">
        <f t="shared" si="150"/>
        <v>29.2</v>
      </c>
      <c r="Y500">
        <v>2002</v>
      </c>
      <c r="Z500">
        <f>2025-AVERAGE($Y$489:$Y$501)</f>
        <v>37</v>
      </c>
      <c r="AB500">
        <v>0.86111111111111116</v>
      </c>
      <c r="AC500">
        <v>1.01</v>
      </c>
      <c r="AD500" s="3">
        <v>0.53</v>
      </c>
      <c r="AE500">
        <v>0</v>
      </c>
      <c r="AF500" t="str">
        <f t="shared" si="142"/>
        <v>Non-US</v>
      </c>
      <c r="AG500">
        <v>3</v>
      </c>
      <c r="AI500">
        <f t="shared" si="151"/>
        <v>2.5384615384615383</v>
      </c>
      <c r="AK500" t="s">
        <v>112</v>
      </c>
      <c r="AL500">
        <v>38</v>
      </c>
      <c r="AM500" t="s">
        <v>115</v>
      </c>
      <c r="AN500" t="s">
        <v>359</v>
      </c>
      <c r="AO500">
        <v>1</v>
      </c>
    </row>
    <row r="501" spans="1:41" ht="15.6">
      <c r="A501">
        <v>12</v>
      </c>
      <c r="B501" t="s">
        <v>1195</v>
      </c>
      <c r="C501" t="s">
        <v>358</v>
      </c>
      <c r="D501" s="3">
        <f t="shared" si="143"/>
        <v>76.923076923076934</v>
      </c>
      <c r="F501">
        <v>2014</v>
      </c>
      <c r="G501">
        <f t="shared" si="136"/>
        <v>11</v>
      </c>
      <c r="H501">
        <f t="shared" si="144"/>
        <v>0.69307692307692303</v>
      </c>
      <c r="I501">
        <f t="shared" si="145"/>
        <v>0.69916666666666671</v>
      </c>
      <c r="J501">
        <f>COUNTA($H$489:$H$501)</f>
        <v>13</v>
      </c>
      <c r="K501">
        <v>12</v>
      </c>
      <c r="L501">
        <v>52</v>
      </c>
      <c r="M501" s="12">
        <f t="shared" si="147"/>
        <v>0.50046745562130168</v>
      </c>
      <c r="N501">
        <f t="shared" si="141"/>
        <v>0.19620778931085783</v>
      </c>
      <c r="O501">
        <f t="shared" si="148"/>
        <v>0.70743724500573313</v>
      </c>
      <c r="P501" t="s">
        <v>520</v>
      </c>
      <c r="Q501" t="s">
        <v>529</v>
      </c>
      <c r="R501">
        <v>4.1890000000000001</v>
      </c>
      <c r="S501">
        <f t="shared" si="149"/>
        <v>3.1052857142857144</v>
      </c>
      <c r="U501">
        <v>42</v>
      </c>
      <c r="W501">
        <f t="shared" si="150"/>
        <v>29.2</v>
      </c>
      <c r="Y501">
        <v>2002</v>
      </c>
      <c r="Z501">
        <f>2025-AVERAGE($Y$489:$Y$501)</f>
        <v>37</v>
      </c>
      <c r="AB501">
        <v>0.96</v>
      </c>
      <c r="AC501">
        <v>0.93</v>
      </c>
      <c r="AD501" s="3">
        <v>0.53</v>
      </c>
      <c r="AE501">
        <v>0</v>
      </c>
      <c r="AF501" t="str">
        <f t="shared" si="142"/>
        <v>Non-US</v>
      </c>
      <c r="AG501">
        <v>3</v>
      </c>
      <c r="AI501">
        <f t="shared" si="151"/>
        <v>2.5384615384615383</v>
      </c>
      <c r="AK501" t="s">
        <v>112</v>
      </c>
      <c r="AL501">
        <v>38</v>
      </c>
      <c r="AM501" t="s">
        <v>115</v>
      </c>
      <c r="AN501" t="s">
        <v>359</v>
      </c>
      <c r="AO501">
        <v>1</v>
      </c>
    </row>
    <row r="502" spans="1:41" ht="15.6">
      <c r="A502">
        <v>13</v>
      </c>
      <c r="B502" t="s">
        <v>1196</v>
      </c>
      <c r="C502" t="s">
        <v>360</v>
      </c>
      <c r="D502" s="3">
        <v>47</v>
      </c>
      <c r="E502" s="3">
        <f>100*(12/15)</f>
        <v>80</v>
      </c>
      <c r="F502">
        <v>2022</v>
      </c>
      <c r="G502">
        <f t="shared" si="136"/>
        <v>3</v>
      </c>
      <c r="H502">
        <f>AVERAGE($AD$502:$AD$516)</f>
        <v>0.38006666666666672</v>
      </c>
      <c r="I502">
        <f>AVERAGE($AC$502:$AC$516)</f>
        <v>0.60799999999999998</v>
      </c>
      <c r="J502">
        <f>COUNTA($AD$502:$AD$516)</f>
        <v>15</v>
      </c>
      <c r="K502">
        <v>10</v>
      </c>
      <c r="L502">
        <v>68</v>
      </c>
      <c r="M502" s="12">
        <f>_xlfn.VAR.P($AD$502:$AD$516)</f>
        <v>9.353606222222223E-2</v>
      </c>
      <c r="N502">
        <f t="shared" ref="N502:N516" si="152">$O$502/SQRT($J$502)</f>
        <v>7.8966685896531594E-2</v>
      </c>
      <c r="O502">
        <f>_xlfn.STDEV.P($AD$502:$AD$516)</f>
        <v>0.30583665938245896</v>
      </c>
      <c r="P502" t="s">
        <v>531</v>
      </c>
      <c r="Q502" t="s">
        <v>535</v>
      </c>
      <c r="R502">
        <v>1.284</v>
      </c>
      <c r="S502">
        <f>AVERAGE($R$502:$R$516)</f>
        <v>2.1628571428571428</v>
      </c>
      <c r="U502">
        <v>48</v>
      </c>
      <c r="W502">
        <f>AVERAGE($U$502:$U$516)</f>
        <v>33.866666666666667</v>
      </c>
      <c r="Y502">
        <v>2018</v>
      </c>
      <c r="Z502">
        <f>2025-AVERAGE($Y$502:$Y$516)</f>
        <v>20.599999999999909</v>
      </c>
      <c r="AB502">
        <v>1.9E-2</v>
      </c>
      <c r="AC502">
        <v>0.52</v>
      </c>
      <c r="AD502" s="3">
        <v>0.3</v>
      </c>
      <c r="AE502">
        <v>0</v>
      </c>
      <c r="AF502" t="str">
        <f t="shared" si="142"/>
        <v>Non-US</v>
      </c>
      <c r="AG502">
        <v>2</v>
      </c>
      <c r="AI502">
        <f>AVERAGE($AG$502:$AG$516)</f>
        <v>2.8</v>
      </c>
      <c r="AK502" t="s">
        <v>112</v>
      </c>
      <c r="AL502">
        <v>68</v>
      </c>
      <c r="AM502" t="s">
        <v>140</v>
      </c>
      <c r="AN502" t="s">
        <v>361</v>
      </c>
      <c r="AO502">
        <v>0.222</v>
      </c>
    </row>
    <row r="503" spans="1:41" ht="15.6">
      <c r="A503">
        <v>13</v>
      </c>
      <c r="B503" t="s">
        <v>1196</v>
      </c>
      <c r="C503" t="s">
        <v>360</v>
      </c>
      <c r="D503" s="3">
        <v>47</v>
      </c>
      <c r="E503" s="3">
        <f t="shared" ref="E503:E516" si="153">100*(12/15)</f>
        <v>80</v>
      </c>
      <c r="F503">
        <v>2022</v>
      </c>
      <c r="G503">
        <f t="shared" si="136"/>
        <v>3</v>
      </c>
      <c r="H503">
        <f t="shared" ref="H503:H516" si="154">AVERAGE($AD$502:$AD$516)</f>
        <v>0.38006666666666672</v>
      </c>
      <c r="I503">
        <f t="shared" ref="I503:I516" si="155">AVERAGE($AC$502:$AC$516)</f>
        <v>0.60799999999999998</v>
      </c>
      <c r="J503">
        <f t="shared" ref="J503:J515" si="156">COUNTA($AD$502:$AD$516)</f>
        <v>15</v>
      </c>
      <c r="K503">
        <v>10</v>
      </c>
      <c r="L503">
        <v>68</v>
      </c>
      <c r="M503" s="12">
        <f t="shared" ref="M503:M516" si="157">_xlfn.VAR.P($AD$502:$AD$516)</f>
        <v>9.353606222222223E-2</v>
      </c>
      <c r="N503">
        <f t="shared" si="152"/>
        <v>7.8966685896531594E-2</v>
      </c>
      <c r="O503">
        <f t="shared" ref="O503:O516" si="158">_xlfn.STDEV.P($AD$502:$AD$516)</f>
        <v>0.30583665938245896</v>
      </c>
      <c r="P503" t="s">
        <v>532</v>
      </c>
      <c r="Q503" t="s">
        <v>536</v>
      </c>
      <c r="R503" t="s">
        <v>261</v>
      </c>
      <c r="S503">
        <f t="shared" ref="S503:S516" si="159">AVERAGE($R$502:$R$516)</f>
        <v>2.1628571428571428</v>
      </c>
      <c r="U503">
        <v>20</v>
      </c>
      <c r="W503">
        <f t="shared" ref="W503:W516" si="160">AVERAGE($U$502:$U$516)</f>
        <v>33.866666666666667</v>
      </c>
      <c r="Y503">
        <v>1990</v>
      </c>
      <c r="Z503">
        <f>2025-AVERAGE($Y$502:$Y$516)</f>
        <v>20.599999999999909</v>
      </c>
      <c r="AA503" t="s">
        <v>427</v>
      </c>
      <c r="AB503" t="s">
        <v>427</v>
      </c>
      <c r="AC503">
        <v>0.41</v>
      </c>
      <c r="AD503" s="3">
        <v>0.78</v>
      </c>
      <c r="AE503">
        <v>0</v>
      </c>
      <c r="AF503" t="str">
        <f t="shared" si="142"/>
        <v>Non-US</v>
      </c>
      <c r="AG503">
        <v>1</v>
      </c>
      <c r="AI503">
        <f t="shared" ref="AI503:AI516" si="161">AVERAGE($AG$502:$AG$516)</f>
        <v>2.8</v>
      </c>
      <c r="AK503" t="s">
        <v>112</v>
      </c>
      <c r="AL503">
        <v>68</v>
      </c>
      <c r="AM503" t="s">
        <v>140</v>
      </c>
      <c r="AN503" t="s">
        <v>361</v>
      </c>
      <c r="AO503">
        <v>0.222</v>
      </c>
    </row>
    <row r="504" spans="1:41" ht="15.6">
      <c r="A504">
        <v>13</v>
      </c>
      <c r="B504" t="s">
        <v>1196</v>
      </c>
      <c r="C504" t="s">
        <v>360</v>
      </c>
      <c r="D504" s="3">
        <v>47</v>
      </c>
      <c r="E504" s="3">
        <f t="shared" si="153"/>
        <v>80</v>
      </c>
      <c r="F504">
        <v>2022</v>
      </c>
      <c r="G504">
        <f t="shared" si="136"/>
        <v>3</v>
      </c>
      <c r="H504">
        <f t="shared" si="154"/>
        <v>0.38006666666666672</v>
      </c>
      <c r="I504">
        <f t="shared" si="155"/>
        <v>0.60799999999999998</v>
      </c>
      <c r="J504">
        <f t="shared" si="156"/>
        <v>15</v>
      </c>
      <c r="K504">
        <v>10</v>
      </c>
      <c r="L504">
        <v>68</v>
      </c>
      <c r="M504" s="12">
        <f t="shared" si="157"/>
        <v>9.353606222222223E-2</v>
      </c>
      <c r="N504">
        <f t="shared" si="152"/>
        <v>7.8966685896531594E-2</v>
      </c>
      <c r="O504">
        <f t="shared" si="158"/>
        <v>0.30583665938245896</v>
      </c>
      <c r="P504" t="s">
        <v>533</v>
      </c>
      <c r="Q504" t="s">
        <v>537</v>
      </c>
      <c r="R504" t="s">
        <v>261</v>
      </c>
      <c r="S504">
        <f t="shared" si="159"/>
        <v>2.1628571428571428</v>
      </c>
      <c r="U504">
        <v>17</v>
      </c>
      <c r="W504">
        <f t="shared" si="160"/>
        <v>33.866666666666667</v>
      </c>
      <c r="Y504">
        <v>1995</v>
      </c>
      <c r="Z504">
        <f>2025-AVERAGE($Y$502:$Y$516)</f>
        <v>20.599999999999909</v>
      </c>
      <c r="AA504" t="s">
        <v>427</v>
      </c>
      <c r="AB504">
        <v>1.0999999999999999E-2</v>
      </c>
      <c r="AC504">
        <v>0.87</v>
      </c>
      <c r="AD504" s="3">
        <v>0.2</v>
      </c>
      <c r="AE504">
        <v>0</v>
      </c>
      <c r="AF504" t="str">
        <f t="shared" si="142"/>
        <v>Non-US</v>
      </c>
      <c r="AG504">
        <v>1</v>
      </c>
      <c r="AI504">
        <f t="shared" si="161"/>
        <v>2.8</v>
      </c>
      <c r="AK504" t="s">
        <v>112</v>
      </c>
      <c r="AL504">
        <v>68</v>
      </c>
      <c r="AM504" t="s">
        <v>140</v>
      </c>
      <c r="AN504" t="s">
        <v>361</v>
      </c>
      <c r="AO504">
        <v>0.222</v>
      </c>
    </row>
    <row r="505" spans="1:41" ht="15.6">
      <c r="A505">
        <v>13</v>
      </c>
      <c r="B505" t="s">
        <v>1196</v>
      </c>
      <c r="C505" t="s">
        <v>360</v>
      </c>
      <c r="D505" s="3">
        <v>47</v>
      </c>
      <c r="E505" s="3">
        <f t="shared" si="153"/>
        <v>80</v>
      </c>
      <c r="F505">
        <v>2022</v>
      </c>
      <c r="G505">
        <f t="shared" si="136"/>
        <v>3</v>
      </c>
      <c r="H505">
        <f t="shared" si="154"/>
        <v>0.38006666666666672</v>
      </c>
      <c r="I505">
        <f t="shared" si="155"/>
        <v>0.60799999999999998</v>
      </c>
      <c r="J505">
        <f t="shared" si="156"/>
        <v>15</v>
      </c>
      <c r="K505">
        <v>10</v>
      </c>
      <c r="L505">
        <v>68</v>
      </c>
      <c r="M505" s="12">
        <f t="shared" si="157"/>
        <v>9.353606222222223E-2</v>
      </c>
      <c r="N505">
        <f t="shared" si="152"/>
        <v>7.8966685896531594E-2</v>
      </c>
      <c r="O505">
        <f t="shared" si="158"/>
        <v>0.30583665938245896</v>
      </c>
      <c r="P505" t="s">
        <v>534</v>
      </c>
      <c r="Q505" t="s">
        <v>523</v>
      </c>
      <c r="R505" t="s">
        <v>261</v>
      </c>
      <c r="S505">
        <f t="shared" si="159"/>
        <v>2.1628571428571428</v>
      </c>
      <c r="U505">
        <v>33</v>
      </c>
      <c r="W505">
        <f t="shared" si="160"/>
        <v>33.866666666666667</v>
      </c>
      <c r="Y505">
        <v>2006</v>
      </c>
      <c r="Z505">
        <f>2025-AVERAGE($Y$502:$Y$516)</f>
        <v>20.599999999999909</v>
      </c>
      <c r="AA505" t="s">
        <v>427</v>
      </c>
      <c r="AB505">
        <v>9.7299999999999998E-2</v>
      </c>
      <c r="AC505">
        <v>0.5</v>
      </c>
      <c r="AD505" s="3">
        <v>0.32600000000000001</v>
      </c>
      <c r="AE505">
        <v>0</v>
      </c>
      <c r="AF505" t="str">
        <f t="shared" si="142"/>
        <v>Non-US</v>
      </c>
      <c r="AG505">
        <v>3</v>
      </c>
      <c r="AI505">
        <f t="shared" si="161"/>
        <v>2.8</v>
      </c>
      <c r="AK505" t="s">
        <v>112</v>
      </c>
      <c r="AL505">
        <v>68</v>
      </c>
      <c r="AM505" t="s">
        <v>140</v>
      </c>
      <c r="AN505" t="s">
        <v>361</v>
      </c>
      <c r="AO505">
        <v>0.222</v>
      </c>
    </row>
    <row r="506" spans="1:41" ht="15.6">
      <c r="A506">
        <v>13</v>
      </c>
      <c r="B506" t="s">
        <v>1196</v>
      </c>
      <c r="C506" t="s">
        <v>360</v>
      </c>
      <c r="D506" s="3">
        <v>47</v>
      </c>
      <c r="E506" s="3">
        <f t="shared" si="153"/>
        <v>80</v>
      </c>
      <c r="F506">
        <v>2022</v>
      </c>
      <c r="G506">
        <f t="shared" si="136"/>
        <v>3</v>
      </c>
      <c r="H506">
        <f t="shared" si="154"/>
        <v>0.38006666666666672</v>
      </c>
      <c r="I506">
        <f t="shared" si="155"/>
        <v>0.60799999999999998</v>
      </c>
      <c r="J506">
        <f t="shared" si="156"/>
        <v>15</v>
      </c>
      <c r="K506">
        <v>10</v>
      </c>
      <c r="L506">
        <v>68</v>
      </c>
      <c r="M506" s="12">
        <f t="shared" si="157"/>
        <v>9.353606222222223E-2</v>
      </c>
      <c r="N506">
        <f t="shared" si="152"/>
        <v>7.8966685896531594E-2</v>
      </c>
      <c r="O506">
        <f t="shared" si="158"/>
        <v>0.30583665938245896</v>
      </c>
      <c r="P506" t="s">
        <v>538</v>
      </c>
      <c r="Q506" t="s">
        <v>523</v>
      </c>
      <c r="R506">
        <v>1.601</v>
      </c>
      <c r="S506">
        <f t="shared" si="159"/>
        <v>2.1628571428571428</v>
      </c>
      <c r="U506">
        <v>36</v>
      </c>
      <c r="W506">
        <f t="shared" si="160"/>
        <v>33.866666666666667</v>
      </c>
      <c r="Y506">
        <v>2018</v>
      </c>
      <c r="Z506">
        <f>2025-AVERAGE($Y$502:$Y$516)</f>
        <v>20.599999999999909</v>
      </c>
      <c r="AA506">
        <v>1.095E-2</v>
      </c>
      <c r="AB506">
        <v>0.113</v>
      </c>
      <c r="AC506">
        <v>0.14000000000000001</v>
      </c>
      <c r="AD506" s="3">
        <v>0.27</v>
      </c>
      <c r="AE506">
        <v>0</v>
      </c>
      <c r="AF506" t="str">
        <f t="shared" si="142"/>
        <v>Non-US</v>
      </c>
      <c r="AG506">
        <v>6</v>
      </c>
      <c r="AI506">
        <f t="shared" si="161"/>
        <v>2.8</v>
      </c>
      <c r="AK506" t="s">
        <v>112</v>
      </c>
      <c r="AL506">
        <v>68</v>
      </c>
      <c r="AM506" t="s">
        <v>140</v>
      </c>
      <c r="AN506" t="s">
        <v>361</v>
      </c>
      <c r="AO506">
        <v>0.222</v>
      </c>
    </row>
    <row r="507" spans="1:41" ht="15.6">
      <c r="A507">
        <v>13</v>
      </c>
      <c r="B507" t="s">
        <v>1196</v>
      </c>
      <c r="C507" t="s">
        <v>360</v>
      </c>
      <c r="D507" s="3">
        <v>47</v>
      </c>
      <c r="E507" s="3">
        <f t="shared" si="153"/>
        <v>80</v>
      </c>
      <c r="F507">
        <v>2022</v>
      </c>
      <c r="G507">
        <f t="shared" si="136"/>
        <v>3</v>
      </c>
      <c r="H507">
        <f t="shared" si="154"/>
        <v>0.38006666666666672</v>
      </c>
      <c r="I507">
        <f t="shared" si="155"/>
        <v>0.60799999999999998</v>
      </c>
      <c r="J507">
        <f t="shared" si="156"/>
        <v>15</v>
      </c>
      <c r="K507">
        <v>10</v>
      </c>
      <c r="L507">
        <v>68</v>
      </c>
      <c r="M507" s="12">
        <f t="shared" si="157"/>
        <v>9.353606222222223E-2</v>
      </c>
      <c r="N507">
        <f t="shared" si="152"/>
        <v>7.8966685896531594E-2</v>
      </c>
      <c r="O507">
        <f t="shared" si="158"/>
        <v>0.30583665938245896</v>
      </c>
      <c r="P507" t="s">
        <v>539</v>
      </c>
      <c r="Q507" t="s">
        <v>523</v>
      </c>
      <c r="R507">
        <v>1.409</v>
      </c>
      <c r="S507">
        <f t="shared" si="159"/>
        <v>2.1628571428571428</v>
      </c>
      <c r="U507">
        <v>69</v>
      </c>
      <c r="W507">
        <f t="shared" si="160"/>
        <v>33.866666666666667</v>
      </c>
      <c r="Y507">
        <v>2017</v>
      </c>
      <c r="Z507">
        <f>2025-AVERAGE($Y$502:$Y$516)</f>
        <v>20.599999999999909</v>
      </c>
      <c r="AA507" t="s">
        <v>427</v>
      </c>
      <c r="AB507">
        <v>3.0000000000000001E-3</v>
      </c>
      <c r="AC507">
        <v>0.25</v>
      </c>
      <c r="AD507" s="3">
        <v>0.1</v>
      </c>
      <c r="AE507">
        <v>0</v>
      </c>
      <c r="AF507" t="str">
        <f t="shared" si="142"/>
        <v>Non-US</v>
      </c>
      <c r="AG507">
        <v>2</v>
      </c>
      <c r="AI507">
        <f t="shared" si="161"/>
        <v>2.8</v>
      </c>
      <c r="AK507" t="s">
        <v>112</v>
      </c>
      <c r="AL507">
        <v>68</v>
      </c>
      <c r="AM507" t="s">
        <v>140</v>
      </c>
      <c r="AN507" t="s">
        <v>361</v>
      </c>
      <c r="AO507">
        <v>0.222</v>
      </c>
    </row>
    <row r="508" spans="1:41" ht="15.6">
      <c r="A508">
        <v>13</v>
      </c>
      <c r="B508" t="s">
        <v>1196</v>
      </c>
      <c r="C508" t="s">
        <v>360</v>
      </c>
      <c r="D508" s="3">
        <v>47</v>
      </c>
      <c r="E508" s="3">
        <f t="shared" si="153"/>
        <v>80</v>
      </c>
      <c r="F508">
        <v>2022</v>
      </c>
      <c r="G508">
        <f t="shared" si="136"/>
        <v>3</v>
      </c>
      <c r="H508">
        <f t="shared" si="154"/>
        <v>0.38006666666666672</v>
      </c>
      <c r="I508">
        <f t="shared" si="155"/>
        <v>0.60799999999999998</v>
      </c>
      <c r="J508">
        <f t="shared" si="156"/>
        <v>15</v>
      </c>
      <c r="K508">
        <v>10</v>
      </c>
      <c r="L508">
        <v>68</v>
      </c>
      <c r="M508" s="12">
        <f t="shared" si="157"/>
        <v>9.353606222222223E-2</v>
      </c>
      <c r="N508">
        <f t="shared" si="152"/>
        <v>7.8966685896531594E-2</v>
      </c>
      <c r="O508">
        <f t="shared" si="158"/>
        <v>0.30583665938245896</v>
      </c>
      <c r="P508" t="s">
        <v>540</v>
      </c>
      <c r="Q508" t="s">
        <v>523</v>
      </c>
      <c r="R508" t="s">
        <v>261</v>
      </c>
      <c r="S508">
        <f t="shared" si="159"/>
        <v>2.1628571428571428</v>
      </c>
      <c r="U508">
        <v>32</v>
      </c>
      <c r="W508">
        <f t="shared" si="160"/>
        <v>33.866666666666667</v>
      </c>
      <c r="Y508">
        <v>2007</v>
      </c>
      <c r="Z508">
        <f>2025-AVERAGE($Y$502:$Y$516)</f>
        <v>20.599999999999909</v>
      </c>
      <c r="AA508">
        <v>6.8999999999999999E-3</v>
      </c>
      <c r="AB508">
        <v>1.4999999999999999E-2</v>
      </c>
      <c r="AC508">
        <v>0.98</v>
      </c>
      <c r="AD508" s="3">
        <v>0.18</v>
      </c>
      <c r="AE508">
        <v>0</v>
      </c>
      <c r="AF508" t="str">
        <f t="shared" si="142"/>
        <v>Non-US</v>
      </c>
      <c r="AG508">
        <v>2</v>
      </c>
      <c r="AI508">
        <f t="shared" si="161"/>
        <v>2.8</v>
      </c>
      <c r="AK508" t="s">
        <v>112</v>
      </c>
      <c r="AL508">
        <v>68</v>
      </c>
      <c r="AM508" t="s">
        <v>140</v>
      </c>
      <c r="AN508" t="s">
        <v>361</v>
      </c>
      <c r="AO508">
        <v>0.222</v>
      </c>
    </row>
    <row r="509" spans="1:41" ht="15.6">
      <c r="A509">
        <v>13</v>
      </c>
      <c r="B509" t="s">
        <v>1196</v>
      </c>
      <c r="C509" t="s">
        <v>360</v>
      </c>
      <c r="D509" s="3">
        <v>47</v>
      </c>
      <c r="E509" s="3">
        <f t="shared" si="153"/>
        <v>80</v>
      </c>
      <c r="F509">
        <v>2022</v>
      </c>
      <c r="G509">
        <f t="shared" si="136"/>
        <v>3</v>
      </c>
      <c r="H509">
        <f t="shared" si="154"/>
        <v>0.38006666666666672</v>
      </c>
      <c r="I509">
        <f t="shared" si="155"/>
        <v>0.60799999999999998</v>
      </c>
      <c r="J509">
        <f t="shared" si="156"/>
        <v>15</v>
      </c>
      <c r="K509">
        <v>10</v>
      </c>
      <c r="L509">
        <v>68</v>
      </c>
      <c r="M509" s="12">
        <f t="shared" si="157"/>
        <v>9.353606222222223E-2</v>
      </c>
      <c r="N509">
        <f t="shared" si="152"/>
        <v>7.8966685896531594E-2</v>
      </c>
      <c r="O509">
        <f t="shared" si="158"/>
        <v>0.30583665938245896</v>
      </c>
      <c r="P509" t="s">
        <v>541</v>
      </c>
      <c r="Q509" t="s">
        <v>542</v>
      </c>
      <c r="R509">
        <v>0.47499999999999998</v>
      </c>
      <c r="S509">
        <f t="shared" si="159"/>
        <v>2.1628571428571428</v>
      </c>
      <c r="U509">
        <v>39</v>
      </c>
      <c r="W509">
        <f t="shared" si="160"/>
        <v>33.866666666666667</v>
      </c>
      <c r="Y509">
        <v>2017</v>
      </c>
      <c r="Z509">
        <f>2025-AVERAGE($Y$502:$Y$516)</f>
        <v>20.599999999999909</v>
      </c>
      <c r="AA509" t="s">
        <v>427</v>
      </c>
      <c r="AB509">
        <v>5.0000000000000001E-3</v>
      </c>
      <c r="AC509">
        <v>0.52</v>
      </c>
      <c r="AD509" s="3">
        <v>0.4</v>
      </c>
      <c r="AE509">
        <v>0</v>
      </c>
      <c r="AF509" t="str">
        <f t="shared" si="142"/>
        <v>Non-US</v>
      </c>
      <c r="AG509">
        <v>5</v>
      </c>
      <c r="AI509">
        <f t="shared" si="161"/>
        <v>2.8</v>
      </c>
      <c r="AK509" t="s">
        <v>112</v>
      </c>
      <c r="AL509">
        <v>68</v>
      </c>
      <c r="AM509" t="s">
        <v>140</v>
      </c>
      <c r="AN509" t="s">
        <v>361</v>
      </c>
      <c r="AO509">
        <v>0.222</v>
      </c>
    </row>
    <row r="510" spans="1:41" ht="15.6">
      <c r="A510">
        <v>13</v>
      </c>
      <c r="B510" t="s">
        <v>1196</v>
      </c>
      <c r="C510" t="s">
        <v>360</v>
      </c>
      <c r="D510" s="3">
        <v>47</v>
      </c>
      <c r="E510" s="3">
        <f t="shared" si="153"/>
        <v>80</v>
      </c>
      <c r="F510">
        <v>2022</v>
      </c>
      <c r="G510">
        <f t="shared" si="136"/>
        <v>3</v>
      </c>
      <c r="H510">
        <f t="shared" si="154"/>
        <v>0.38006666666666672</v>
      </c>
      <c r="I510">
        <f t="shared" si="155"/>
        <v>0.60799999999999998</v>
      </c>
      <c r="J510">
        <f t="shared" si="156"/>
        <v>15</v>
      </c>
      <c r="K510">
        <v>10</v>
      </c>
      <c r="L510">
        <v>68</v>
      </c>
      <c r="M510" s="12">
        <f t="shared" si="157"/>
        <v>9.353606222222223E-2</v>
      </c>
      <c r="N510">
        <f t="shared" si="152"/>
        <v>7.8966685896531594E-2</v>
      </c>
      <c r="O510">
        <f t="shared" si="158"/>
        <v>0.30583665938245896</v>
      </c>
      <c r="P510" t="s">
        <v>543</v>
      </c>
      <c r="Q510" t="s">
        <v>544</v>
      </c>
      <c r="R510">
        <v>1.24</v>
      </c>
      <c r="S510">
        <f t="shared" si="159"/>
        <v>2.1628571428571428</v>
      </c>
      <c r="U510">
        <v>38</v>
      </c>
      <c r="W510">
        <f t="shared" si="160"/>
        <v>33.866666666666667</v>
      </c>
      <c r="Y510">
        <v>2010</v>
      </c>
      <c r="Z510">
        <f>2025-AVERAGE($Y$502:$Y$516)</f>
        <v>20.599999999999909</v>
      </c>
      <c r="AA510">
        <v>0.17299999999999999</v>
      </c>
      <c r="AB510">
        <v>0.45466666999999999</v>
      </c>
      <c r="AC510">
        <v>0.48</v>
      </c>
      <c r="AD510" s="3">
        <v>0.08</v>
      </c>
      <c r="AE510">
        <v>0</v>
      </c>
      <c r="AF510" t="str">
        <f t="shared" si="142"/>
        <v>Non-US</v>
      </c>
      <c r="AG510">
        <v>6</v>
      </c>
      <c r="AI510">
        <f t="shared" si="161"/>
        <v>2.8</v>
      </c>
      <c r="AK510" t="s">
        <v>112</v>
      </c>
      <c r="AL510">
        <v>68</v>
      </c>
      <c r="AM510" t="s">
        <v>140</v>
      </c>
      <c r="AN510" t="s">
        <v>361</v>
      </c>
      <c r="AO510">
        <v>0.222</v>
      </c>
    </row>
    <row r="511" spans="1:41" ht="15.6">
      <c r="A511">
        <v>13</v>
      </c>
      <c r="B511" t="s">
        <v>1196</v>
      </c>
      <c r="C511" t="s">
        <v>360</v>
      </c>
      <c r="D511" s="3">
        <v>47</v>
      </c>
      <c r="E511" s="3">
        <f t="shared" si="153"/>
        <v>80</v>
      </c>
      <c r="F511">
        <v>2022</v>
      </c>
      <c r="G511">
        <f t="shared" si="136"/>
        <v>3</v>
      </c>
      <c r="H511">
        <f t="shared" si="154"/>
        <v>0.38006666666666672</v>
      </c>
      <c r="I511">
        <f t="shared" si="155"/>
        <v>0.60799999999999998</v>
      </c>
      <c r="J511">
        <f t="shared" si="156"/>
        <v>15</v>
      </c>
      <c r="K511">
        <v>10</v>
      </c>
      <c r="L511">
        <v>68</v>
      </c>
      <c r="M511" s="12">
        <f t="shared" si="157"/>
        <v>9.353606222222223E-2</v>
      </c>
      <c r="N511">
        <f t="shared" si="152"/>
        <v>7.8966685896531594E-2</v>
      </c>
      <c r="O511">
        <f t="shared" si="158"/>
        <v>0.30583665938245896</v>
      </c>
      <c r="P511" t="s">
        <v>545</v>
      </c>
      <c r="Q511" t="s">
        <v>535</v>
      </c>
      <c r="R511" t="s">
        <v>261</v>
      </c>
      <c r="S511">
        <f t="shared" si="159"/>
        <v>2.1628571428571428</v>
      </c>
      <c r="U511">
        <v>26</v>
      </c>
      <c r="W511">
        <f t="shared" si="160"/>
        <v>33.866666666666667</v>
      </c>
      <c r="Y511">
        <v>1998</v>
      </c>
      <c r="Z511">
        <f>2025-AVERAGE($Y$502:$Y$516)</f>
        <v>20.599999999999909</v>
      </c>
      <c r="AA511">
        <v>2.4995E-2</v>
      </c>
      <c r="AB511">
        <v>0.28494999999999998</v>
      </c>
      <c r="AC511">
        <v>0.64</v>
      </c>
      <c r="AD511" s="3">
        <v>0.43</v>
      </c>
      <c r="AE511">
        <v>0</v>
      </c>
      <c r="AF511" t="str">
        <f t="shared" si="142"/>
        <v>Non-US</v>
      </c>
      <c r="AG511">
        <v>1</v>
      </c>
      <c r="AI511">
        <f t="shared" si="161"/>
        <v>2.8</v>
      </c>
      <c r="AK511" t="s">
        <v>112</v>
      </c>
      <c r="AL511">
        <v>68</v>
      </c>
      <c r="AM511" t="s">
        <v>140</v>
      </c>
      <c r="AN511" t="s">
        <v>361</v>
      </c>
      <c r="AO511">
        <v>0.222</v>
      </c>
    </row>
    <row r="512" spans="1:41" ht="15.6">
      <c r="A512">
        <v>13</v>
      </c>
      <c r="B512" t="s">
        <v>1196</v>
      </c>
      <c r="C512" t="s">
        <v>360</v>
      </c>
      <c r="D512" s="3">
        <v>47</v>
      </c>
      <c r="E512" s="3">
        <f t="shared" si="153"/>
        <v>80</v>
      </c>
      <c r="F512">
        <v>2022</v>
      </c>
      <c r="G512">
        <f t="shared" si="136"/>
        <v>3</v>
      </c>
      <c r="H512">
        <f t="shared" si="154"/>
        <v>0.38006666666666672</v>
      </c>
      <c r="I512">
        <f t="shared" si="155"/>
        <v>0.60799999999999998</v>
      </c>
      <c r="J512">
        <f t="shared" si="156"/>
        <v>15</v>
      </c>
      <c r="K512">
        <v>10</v>
      </c>
      <c r="L512">
        <v>68</v>
      </c>
      <c r="M512" s="12">
        <f t="shared" si="157"/>
        <v>9.353606222222223E-2</v>
      </c>
      <c r="N512">
        <f t="shared" si="152"/>
        <v>7.8966685896531594E-2</v>
      </c>
      <c r="O512">
        <f t="shared" si="158"/>
        <v>0.30583665938245896</v>
      </c>
      <c r="P512" t="s">
        <v>546</v>
      </c>
      <c r="Q512" t="s">
        <v>111</v>
      </c>
      <c r="R512" t="s">
        <v>261</v>
      </c>
      <c r="S512">
        <f t="shared" si="159"/>
        <v>2.1628571428571428</v>
      </c>
      <c r="U512">
        <v>27</v>
      </c>
      <c r="W512">
        <f t="shared" si="160"/>
        <v>33.866666666666667</v>
      </c>
      <c r="Y512">
        <v>1981</v>
      </c>
      <c r="Z512">
        <f>2025-AVERAGE($Y$502:$Y$516)</f>
        <v>20.599999999999909</v>
      </c>
      <c r="AB512">
        <v>0.2445</v>
      </c>
      <c r="AC512">
        <v>0.8</v>
      </c>
      <c r="AD512" s="3">
        <v>0.23</v>
      </c>
      <c r="AE512">
        <v>0</v>
      </c>
      <c r="AF512" t="str">
        <f t="shared" si="142"/>
        <v>Non-US</v>
      </c>
      <c r="AG512">
        <v>2</v>
      </c>
      <c r="AI512">
        <f t="shared" si="161"/>
        <v>2.8</v>
      </c>
      <c r="AK512" t="s">
        <v>112</v>
      </c>
      <c r="AL512">
        <v>68</v>
      </c>
      <c r="AM512" t="s">
        <v>140</v>
      </c>
      <c r="AN512" t="s">
        <v>361</v>
      </c>
      <c r="AO512">
        <v>0.222</v>
      </c>
    </row>
    <row r="513" spans="1:41" ht="15.6">
      <c r="A513">
        <v>13</v>
      </c>
      <c r="B513" t="s">
        <v>1196</v>
      </c>
      <c r="C513" t="s">
        <v>360</v>
      </c>
      <c r="D513" s="3">
        <v>47</v>
      </c>
      <c r="E513" s="3">
        <f t="shared" si="153"/>
        <v>80</v>
      </c>
      <c r="F513">
        <v>2022</v>
      </c>
      <c r="G513">
        <f t="shared" si="136"/>
        <v>3</v>
      </c>
      <c r="H513">
        <f t="shared" si="154"/>
        <v>0.38006666666666672</v>
      </c>
      <c r="I513">
        <f t="shared" si="155"/>
        <v>0.60799999999999998</v>
      </c>
      <c r="J513">
        <f t="shared" si="156"/>
        <v>15</v>
      </c>
      <c r="K513">
        <v>10</v>
      </c>
      <c r="L513">
        <v>68</v>
      </c>
      <c r="M513" s="12">
        <f t="shared" si="157"/>
        <v>9.353606222222223E-2</v>
      </c>
      <c r="N513">
        <f t="shared" si="152"/>
        <v>7.8966685896531594E-2</v>
      </c>
      <c r="O513">
        <f t="shared" si="158"/>
        <v>0.30583665938245896</v>
      </c>
      <c r="P513" t="s">
        <v>547</v>
      </c>
      <c r="Q513" t="s">
        <v>527</v>
      </c>
      <c r="R513">
        <v>3.419</v>
      </c>
      <c r="S513">
        <f t="shared" si="159"/>
        <v>2.1628571428571428</v>
      </c>
      <c r="U513">
        <v>24</v>
      </c>
      <c r="W513">
        <f t="shared" si="160"/>
        <v>33.866666666666667</v>
      </c>
      <c r="Y513">
        <v>2006</v>
      </c>
      <c r="Z513">
        <f>2025-AVERAGE($Y$502:$Y$516)</f>
        <v>20.599999999999909</v>
      </c>
      <c r="AA513" t="s">
        <v>427</v>
      </c>
      <c r="AB513" t="s">
        <v>427</v>
      </c>
      <c r="AC513">
        <v>1.0900000000000001</v>
      </c>
      <c r="AD513" s="3">
        <v>0.79</v>
      </c>
      <c r="AE513">
        <v>0</v>
      </c>
      <c r="AF513" t="str">
        <f t="shared" si="142"/>
        <v>Non-US</v>
      </c>
      <c r="AG513">
        <v>6</v>
      </c>
      <c r="AI513">
        <f t="shared" si="161"/>
        <v>2.8</v>
      </c>
      <c r="AK513" t="s">
        <v>112</v>
      </c>
      <c r="AL513">
        <v>68</v>
      </c>
      <c r="AM513" t="s">
        <v>140</v>
      </c>
      <c r="AN513" t="s">
        <v>361</v>
      </c>
      <c r="AO513">
        <v>0.222</v>
      </c>
    </row>
    <row r="514" spans="1:41" ht="15.6">
      <c r="A514">
        <v>13</v>
      </c>
      <c r="B514" t="s">
        <v>1196</v>
      </c>
      <c r="C514" t="s">
        <v>360</v>
      </c>
      <c r="D514" s="3">
        <v>47</v>
      </c>
      <c r="E514" s="3">
        <f t="shared" si="153"/>
        <v>80</v>
      </c>
      <c r="F514">
        <v>2022</v>
      </c>
      <c r="G514">
        <f t="shared" si="136"/>
        <v>3</v>
      </c>
      <c r="H514">
        <f t="shared" si="154"/>
        <v>0.38006666666666672</v>
      </c>
      <c r="I514">
        <f t="shared" si="155"/>
        <v>0.60799999999999998</v>
      </c>
      <c r="J514">
        <f t="shared" si="156"/>
        <v>15</v>
      </c>
      <c r="K514">
        <v>10</v>
      </c>
      <c r="L514">
        <v>68</v>
      </c>
      <c r="M514" s="12">
        <f t="shared" si="157"/>
        <v>9.353606222222223E-2</v>
      </c>
      <c r="N514">
        <f t="shared" si="152"/>
        <v>7.8966685896531594E-2</v>
      </c>
      <c r="O514">
        <f t="shared" si="158"/>
        <v>0.30583665938245896</v>
      </c>
      <c r="P514" t="s">
        <v>548</v>
      </c>
      <c r="Q514" t="s">
        <v>535</v>
      </c>
      <c r="R514" t="s">
        <v>261</v>
      </c>
      <c r="S514">
        <f t="shared" si="159"/>
        <v>2.1628571428571428</v>
      </c>
      <c r="U514">
        <v>26</v>
      </c>
      <c r="W514">
        <f t="shared" si="160"/>
        <v>33.866666666666667</v>
      </c>
      <c r="Y514">
        <v>1998</v>
      </c>
      <c r="Z514">
        <f>2025-AVERAGE($Y$502:$Y$516)</f>
        <v>20.599999999999909</v>
      </c>
      <c r="AA514" t="s">
        <v>416</v>
      </c>
      <c r="AB514" t="s">
        <v>427</v>
      </c>
      <c r="AC514">
        <v>0.7</v>
      </c>
      <c r="AD514" s="3">
        <v>0.62</v>
      </c>
      <c r="AE514">
        <v>0</v>
      </c>
      <c r="AF514" t="str">
        <f t="shared" si="142"/>
        <v>Non-US</v>
      </c>
      <c r="AG514">
        <v>1</v>
      </c>
      <c r="AI514">
        <f t="shared" si="161"/>
        <v>2.8</v>
      </c>
      <c r="AK514" t="s">
        <v>112</v>
      </c>
      <c r="AL514">
        <v>68</v>
      </c>
      <c r="AM514" t="s">
        <v>140</v>
      </c>
      <c r="AN514" t="s">
        <v>361</v>
      </c>
      <c r="AO514">
        <v>0.222</v>
      </c>
    </row>
    <row r="515" spans="1:41" ht="15.6">
      <c r="A515">
        <v>13</v>
      </c>
      <c r="B515" t="s">
        <v>1196</v>
      </c>
      <c r="C515" t="s">
        <v>360</v>
      </c>
      <c r="D515" s="3">
        <v>47</v>
      </c>
      <c r="E515" s="3">
        <f t="shared" si="153"/>
        <v>80</v>
      </c>
      <c r="F515">
        <v>2022</v>
      </c>
      <c r="G515">
        <f t="shared" si="136"/>
        <v>3</v>
      </c>
      <c r="H515">
        <f t="shared" si="154"/>
        <v>0.38006666666666672</v>
      </c>
      <c r="I515">
        <f t="shared" si="155"/>
        <v>0.60799999999999998</v>
      </c>
      <c r="J515">
        <f t="shared" si="156"/>
        <v>15</v>
      </c>
      <c r="K515">
        <v>10</v>
      </c>
      <c r="L515">
        <v>68</v>
      </c>
      <c r="M515" s="12">
        <f t="shared" si="157"/>
        <v>9.353606222222223E-2</v>
      </c>
      <c r="N515">
        <f t="shared" si="152"/>
        <v>7.8966685896531594E-2</v>
      </c>
      <c r="O515">
        <f t="shared" si="158"/>
        <v>0.30583665938245896</v>
      </c>
      <c r="P515" t="s">
        <v>549</v>
      </c>
      <c r="Q515" t="s">
        <v>522</v>
      </c>
      <c r="R515" t="s">
        <v>261</v>
      </c>
      <c r="S515">
        <f t="shared" si="159"/>
        <v>2.1628571428571428</v>
      </c>
      <c r="U515">
        <v>18</v>
      </c>
      <c r="W515">
        <f t="shared" si="160"/>
        <v>33.866666666666667</v>
      </c>
      <c r="Y515">
        <v>1995</v>
      </c>
      <c r="Z515">
        <f>2025-AVERAGE($Y$502:$Y$516)</f>
        <v>20.599999999999909</v>
      </c>
      <c r="AB515" t="s">
        <v>427</v>
      </c>
      <c r="AC515">
        <v>0.95</v>
      </c>
      <c r="AD515" s="3">
        <v>1.0900000000000001</v>
      </c>
      <c r="AE515">
        <v>0</v>
      </c>
      <c r="AF515" t="str">
        <f t="shared" si="142"/>
        <v>Non-US</v>
      </c>
      <c r="AG515">
        <v>2</v>
      </c>
      <c r="AI515">
        <f t="shared" si="161"/>
        <v>2.8</v>
      </c>
      <c r="AK515" t="s">
        <v>112</v>
      </c>
      <c r="AL515">
        <v>68</v>
      </c>
      <c r="AM515" t="s">
        <v>140</v>
      </c>
      <c r="AN515" t="s">
        <v>361</v>
      </c>
      <c r="AO515">
        <v>0.222</v>
      </c>
    </row>
    <row r="516" spans="1:41" ht="15.6">
      <c r="A516">
        <v>13</v>
      </c>
      <c r="B516" t="s">
        <v>1196</v>
      </c>
      <c r="C516" t="s">
        <v>360</v>
      </c>
      <c r="D516" s="3">
        <v>47</v>
      </c>
      <c r="E516" s="3">
        <f t="shared" si="153"/>
        <v>80</v>
      </c>
      <c r="F516">
        <v>2022</v>
      </c>
      <c r="G516">
        <f t="shared" si="136"/>
        <v>3</v>
      </c>
      <c r="H516">
        <f t="shared" si="154"/>
        <v>0.38006666666666672</v>
      </c>
      <c r="I516">
        <f t="shared" si="155"/>
        <v>0.60799999999999998</v>
      </c>
      <c r="J516">
        <v>15</v>
      </c>
      <c r="K516">
        <v>10</v>
      </c>
      <c r="L516">
        <v>68</v>
      </c>
      <c r="M516" s="12">
        <f t="shared" si="157"/>
        <v>9.353606222222223E-2</v>
      </c>
      <c r="N516">
        <f t="shared" si="152"/>
        <v>7.8966685896531594E-2</v>
      </c>
      <c r="O516">
        <f t="shared" si="158"/>
        <v>0.30583665938245896</v>
      </c>
      <c r="P516" t="s">
        <v>550</v>
      </c>
      <c r="Q516" t="s">
        <v>551</v>
      </c>
      <c r="R516">
        <v>5.7119999999999997</v>
      </c>
      <c r="S516">
        <f t="shared" si="159"/>
        <v>2.1628571428571428</v>
      </c>
      <c r="U516">
        <v>55</v>
      </c>
      <c r="W516">
        <f t="shared" si="160"/>
        <v>33.866666666666667</v>
      </c>
      <c r="Y516">
        <v>2010</v>
      </c>
      <c r="Z516">
        <f>2025-AVERAGE($Y$502:$Y$516)</f>
        <v>20.599999999999909</v>
      </c>
      <c r="AA516" t="s">
        <v>414</v>
      </c>
      <c r="AB516">
        <v>0.14599999999999999</v>
      </c>
      <c r="AC516">
        <v>0.27</v>
      </c>
      <c r="AD516" s="3">
        <v>-9.5000000000000001E-2</v>
      </c>
      <c r="AE516">
        <v>0</v>
      </c>
      <c r="AF516" t="str">
        <f t="shared" si="142"/>
        <v>Non-US</v>
      </c>
      <c r="AG516">
        <v>2</v>
      </c>
      <c r="AI516">
        <f t="shared" si="161"/>
        <v>2.8</v>
      </c>
      <c r="AK516" t="s">
        <v>112</v>
      </c>
      <c r="AL516">
        <v>68</v>
      </c>
      <c r="AM516" t="s">
        <v>140</v>
      </c>
      <c r="AN516" t="s">
        <v>361</v>
      </c>
      <c r="AO516">
        <v>0.222</v>
      </c>
    </row>
    <row r="517" spans="1:41" ht="15.6">
      <c r="A517">
        <v>14</v>
      </c>
      <c r="B517" t="s">
        <v>363</v>
      </c>
      <c r="C517" t="s">
        <v>362</v>
      </c>
      <c r="E517" s="3">
        <f>100*(61/176)</f>
        <v>34.659090909090914</v>
      </c>
      <c r="F517">
        <v>2023</v>
      </c>
      <c r="G517">
        <f t="shared" si="136"/>
        <v>2</v>
      </c>
      <c r="H517">
        <v>0.28000000000000003</v>
      </c>
      <c r="I517">
        <v>0.61</v>
      </c>
      <c r="J517">
        <f>COUNTA($P$517:$P$692)</f>
        <v>176</v>
      </c>
      <c r="K517">
        <v>41</v>
      </c>
      <c r="L517">
        <v>3</v>
      </c>
      <c r="M517" s="12">
        <f>_xlfn.VAR.P($AD$517:$AD$692)</f>
        <v>0.49233458707602862</v>
      </c>
      <c r="N517">
        <f t="shared" ref="N517:N548" si="162">$O$517/SQRT($J$517)</f>
        <v>5.2890033166812497E-2</v>
      </c>
      <c r="O517">
        <f>_xlfn.STDEV.P($AD$517:$AD$692)</f>
        <v>0.70166558065507856</v>
      </c>
      <c r="P517" t="s">
        <v>628</v>
      </c>
      <c r="S517">
        <f>AVERAGE($R$517:$R$692)</f>
        <v>3.9677614678899062</v>
      </c>
      <c r="W517">
        <f>AVERAGE($U$517:$U$692)</f>
        <v>42.185483870967744</v>
      </c>
      <c r="Y517">
        <v>2008</v>
      </c>
      <c r="Z517">
        <f>2025-AVERAGE($Y$517:$Y$692)</f>
        <v>11.48863636363626</v>
      </c>
      <c r="AA517">
        <v>1.3981830009912599E-4</v>
      </c>
      <c r="AB517">
        <v>0.56246146595423197</v>
      </c>
      <c r="AC517">
        <v>2.0499999999999998</v>
      </c>
      <c r="AD517" s="3">
        <v>-0.24</v>
      </c>
      <c r="AE517">
        <v>0</v>
      </c>
      <c r="AF517" t="str">
        <f t="shared" si="142"/>
        <v>Non-US</v>
      </c>
      <c r="AI517">
        <f>AVERAGE($AG$517:$AG$692)</f>
        <v>3.2903225806451615</v>
      </c>
      <c r="AJ517">
        <f>AVERAGE($AH$517:$AH$692)</f>
        <v>1.048</v>
      </c>
      <c r="AK517" t="s">
        <v>112</v>
      </c>
      <c r="AL517">
        <v>40</v>
      </c>
      <c r="AM517" t="s">
        <v>140</v>
      </c>
      <c r="AN517" t="s">
        <v>364</v>
      </c>
      <c r="AO517">
        <v>0.78700000000000003</v>
      </c>
    </row>
    <row r="518" spans="1:41" ht="15.6">
      <c r="A518">
        <v>14</v>
      </c>
      <c r="B518" t="s">
        <v>363</v>
      </c>
      <c r="C518" t="s">
        <v>362</v>
      </c>
      <c r="E518" s="3">
        <f t="shared" ref="E518:E581" si="163">100*(61/176)</f>
        <v>34.659090909090914</v>
      </c>
      <c r="F518">
        <v>2023</v>
      </c>
      <c r="G518">
        <f t="shared" si="136"/>
        <v>2</v>
      </c>
      <c r="H518">
        <v>0.28000000000000003</v>
      </c>
      <c r="I518">
        <v>0.61</v>
      </c>
      <c r="J518">
        <f t="shared" ref="J518:J581" si="164">COUNTA($P$517:$P$692)</f>
        <v>176</v>
      </c>
      <c r="K518">
        <v>41</v>
      </c>
      <c r="L518">
        <v>3</v>
      </c>
      <c r="M518" s="12">
        <f t="shared" ref="M518:M581" si="165">_xlfn.VAR.P($AD$517:$AD$692)</f>
        <v>0.49233458707602862</v>
      </c>
      <c r="N518">
        <f t="shared" si="162"/>
        <v>5.2890033166812497E-2</v>
      </c>
      <c r="O518">
        <f t="shared" ref="O518:O581" si="166">_xlfn.STDEV.P($AD$517:$AD$692)</f>
        <v>0.70166558065507856</v>
      </c>
      <c r="P518" t="s">
        <v>629</v>
      </c>
      <c r="Q518" t="s">
        <v>473</v>
      </c>
      <c r="S518">
        <f t="shared" ref="S518:S581" si="167">AVERAGE($R$517:$R$692)</f>
        <v>3.9677614678899062</v>
      </c>
      <c r="U518">
        <v>29</v>
      </c>
      <c r="W518">
        <f t="shared" ref="W518:W581" si="168">AVERAGE($U$517:$U$692)</f>
        <v>42.185483870967744</v>
      </c>
      <c r="Y518">
        <v>2011</v>
      </c>
      <c r="Z518">
        <f>2025-AVERAGE($Y$517:$Y$692)</f>
        <v>11.48863636363626</v>
      </c>
      <c r="AA518" t="s">
        <v>261</v>
      </c>
      <c r="AB518" t="s">
        <v>261</v>
      </c>
      <c r="AC518" t="s">
        <v>261</v>
      </c>
      <c r="AE518">
        <v>0</v>
      </c>
      <c r="AF518" t="str">
        <f t="shared" si="142"/>
        <v>Non-US</v>
      </c>
      <c r="AG518">
        <v>2</v>
      </c>
      <c r="AH518">
        <v>2</v>
      </c>
      <c r="AI518">
        <f t="shared" ref="AI518:AI581" si="169">AVERAGE($AG$517:$AG$692)</f>
        <v>3.2903225806451615</v>
      </c>
      <c r="AJ518">
        <f t="shared" ref="AJ518:AJ581" si="170">AVERAGE($AH$517:$AH$692)</f>
        <v>1.048</v>
      </c>
      <c r="AK518" t="s">
        <v>112</v>
      </c>
      <c r="AL518">
        <v>40</v>
      </c>
      <c r="AM518" t="s">
        <v>140</v>
      </c>
      <c r="AN518" t="s">
        <v>364</v>
      </c>
      <c r="AO518">
        <v>0.78700000000000003</v>
      </c>
    </row>
    <row r="519" spans="1:41" ht="15.6">
      <c r="A519">
        <v>14</v>
      </c>
      <c r="B519" t="s">
        <v>363</v>
      </c>
      <c r="C519" t="s">
        <v>362</v>
      </c>
      <c r="E519" s="3">
        <f t="shared" si="163"/>
        <v>34.659090909090914</v>
      </c>
      <c r="F519">
        <v>2023</v>
      </c>
      <c r="G519">
        <f t="shared" si="136"/>
        <v>2</v>
      </c>
      <c r="H519">
        <v>0.28000000000000003</v>
      </c>
      <c r="I519">
        <v>0.61</v>
      </c>
      <c r="J519">
        <f t="shared" si="164"/>
        <v>176</v>
      </c>
      <c r="K519">
        <v>41</v>
      </c>
      <c r="L519">
        <v>3</v>
      </c>
      <c r="M519" s="12">
        <f t="shared" si="165"/>
        <v>0.49233458707602862</v>
      </c>
      <c r="N519">
        <f t="shared" si="162"/>
        <v>5.2890033166812497E-2</v>
      </c>
      <c r="O519">
        <f>_xlfn.STDEV.P($AD$517:$AD$692)</f>
        <v>0.70166558065507856</v>
      </c>
      <c r="P519" t="s">
        <v>630</v>
      </c>
      <c r="S519">
        <f t="shared" si="167"/>
        <v>3.9677614678899062</v>
      </c>
      <c r="W519">
        <f t="shared" si="168"/>
        <v>42.185483870967744</v>
      </c>
      <c r="Y519">
        <v>2006</v>
      </c>
      <c r="Z519">
        <f>2025-AVERAGE($Y$517:$Y$692)</f>
        <v>11.48863636363626</v>
      </c>
      <c r="AA519" t="s">
        <v>261</v>
      </c>
      <c r="AB519" t="s">
        <v>261</v>
      </c>
      <c r="AC519" t="s">
        <v>261</v>
      </c>
      <c r="AE519">
        <v>0</v>
      </c>
      <c r="AF519" t="str">
        <f t="shared" si="142"/>
        <v>Non-US</v>
      </c>
      <c r="AI519">
        <f t="shared" si="169"/>
        <v>3.2903225806451615</v>
      </c>
      <c r="AJ519">
        <f t="shared" si="170"/>
        <v>1.048</v>
      </c>
      <c r="AK519" t="s">
        <v>112</v>
      </c>
      <c r="AL519">
        <v>40</v>
      </c>
      <c r="AM519" t="s">
        <v>140</v>
      </c>
      <c r="AN519" t="s">
        <v>364</v>
      </c>
      <c r="AO519">
        <v>0.78700000000000003</v>
      </c>
    </row>
    <row r="520" spans="1:41" ht="15.6">
      <c r="A520">
        <v>14</v>
      </c>
      <c r="B520" t="s">
        <v>363</v>
      </c>
      <c r="C520" t="s">
        <v>362</v>
      </c>
      <c r="E520" s="3">
        <f t="shared" si="163"/>
        <v>34.659090909090914</v>
      </c>
      <c r="F520">
        <v>2023</v>
      </c>
      <c r="G520">
        <f t="shared" si="136"/>
        <v>2</v>
      </c>
      <c r="H520">
        <v>0.28000000000000003</v>
      </c>
      <c r="I520">
        <v>0.61</v>
      </c>
      <c r="J520">
        <f t="shared" si="164"/>
        <v>176</v>
      </c>
      <c r="K520">
        <v>41</v>
      </c>
      <c r="L520">
        <v>3</v>
      </c>
      <c r="M520" s="12">
        <f t="shared" si="165"/>
        <v>0.49233458707602862</v>
      </c>
      <c r="N520">
        <f t="shared" si="162"/>
        <v>5.2890033166812497E-2</v>
      </c>
      <c r="O520">
        <f t="shared" si="166"/>
        <v>0.70166558065507856</v>
      </c>
      <c r="P520" t="s">
        <v>631</v>
      </c>
      <c r="Q520" t="s">
        <v>527</v>
      </c>
      <c r="S520">
        <f t="shared" si="167"/>
        <v>3.9677614678899062</v>
      </c>
      <c r="U520">
        <v>29</v>
      </c>
      <c r="V520" t="s">
        <v>138</v>
      </c>
      <c r="W520">
        <f t="shared" si="168"/>
        <v>42.185483870967744</v>
      </c>
      <c r="Y520">
        <v>2007</v>
      </c>
      <c r="Z520">
        <f>2025-AVERAGE($Y$517:$Y$692)</f>
        <v>11.48863636363626</v>
      </c>
      <c r="AA520">
        <v>4.9479504937721603E-9</v>
      </c>
      <c r="AB520">
        <v>0.232036496781515</v>
      </c>
      <c r="AC520" t="s">
        <v>261</v>
      </c>
      <c r="AD520" s="3">
        <v>-0.05</v>
      </c>
      <c r="AE520">
        <v>0</v>
      </c>
      <c r="AF520" t="str">
        <f t="shared" si="142"/>
        <v>Non-US</v>
      </c>
      <c r="AG520">
        <v>2</v>
      </c>
      <c r="AH520">
        <v>1</v>
      </c>
      <c r="AI520">
        <f t="shared" si="169"/>
        <v>3.2903225806451615</v>
      </c>
      <c r="AJ520">
        <f t="shared" si="170"/>
        <v>1.048</v>
      </c>
      <c r="AK520" t="s">
        <v>112</v>
      </c>
      <c r="AL520">
        <v>40</v>
      </c>
      <c r="AM520" t="s">
        <v>140</v>
      </c>
      <c r="AN520" t="s">
        <v>364</v>
      </c>
      <c r="AO520">
        <v>0.78700000000000003</v>
      </c>
    </row>
    <row r="521" spans="1:41" ht="15.6">
      <c r="A521">
        <v>14</v>
      </c>
      <c r="B521" t="s">
        <v>363</v>
      </c>
      <c r="C521" t="s">
        <v>362</v>
      </c>
      <c r="E521" s="3">
        <f t="shared" si="163"/>
        <v>34.659090909090914</v>
      </c>
      <c r="F521">
        <v>2023</v>
      </c>
      <c r="G521">
        <f t="shared" si="136"/>
        <v>2</v>
      </c>
      <c r="H521">
        <v>0.28000000000000003</v>
      </c>
      <c r="I521">
        <v>0.61</v>
      </c>
      <c r="J521">
        <f t="shared" si="164"/>
        <v>176</v>
      </c>
      <c r="K521">
        <v>41</v>
      </c>
      <c r="L521">
        <v>3</v>
      </c>
      <c r="M521" s="12">
        <f t="shared" si="165"/>
        <v>0.49233458707602862</v>
      </c>
      <c r="N521">
        <f t="shared" si="162"/>
        <v>5.2890033166812497E-2</v>
      </c>
      <c r="O521">
        <f t="shared" si="166"/>
        <v>0.70166558065507856</v>
      </c>
      <c r="P521" t="s">
        <v>632</v>
      </c>
      <c r="Q521" t="s">
        <v>527</v>
      </c>
      <c r="S521">
        <f t="shared" si="167"/>
        <v>3.9677614678899062</v>
      </c>
      <c r="W521">
        <f t="shared" si="168"/>
        <v>42.185483870967744</v>
      </c>
      <c r="Y521">
        <v>2007</v>
      </c>
      <c r="Z521">
        <f>2025-AVERAGE($Y$517:$Y$692)</f>
        <v>11.48863636363626</v>
      </c>
      <c r="AA521">
        <v>1.35064850415034E-8</v>
      </c>
      <c r="AB521">
        <v>6.18253867610742E-2</v>
      </c>
      <c r="AC521" t="s">
        <v>261</v>
      </c>
      <c r="AD521" s="3">
        <v>-0.1</v>
      </c>
      <c r="AE521">
        <v>0</v>
      </c>
      <c r="AF521" t="str">
        <f t="shared" si="142"/>
        <v>Non-US</v>
      </c>
      <c r="AG521">
        <v>2</v>
      </c>
      <c r="AH521">
        <v>3</v>
      </c>
      <c r="AI521">
        <f t="shared" si="169"/>
        <v>3.2903225806451615</v>
      </c>
      <c r="AJ521">
        <f t="shared" si="170"/>
        <v>1.048</v>
      </c>
      <c r="AK521" t="s">
        <v>112</v>
      </c>
      <c r="AL521">
        <v>40</v>
      </c>
      <c r="AM521" t="s">
        <v>140</v>
      </c>
      <c r="AN521" t="s">
        <v>364</v>
      </c>
      <c r="AO521">
        <v>0.78700000000000003</v>
      </c>
    </row>
    <row r="522" spans="1:41" ht="15.6">
      <c r="A522">
        <v>14</v>
      </c>
      <c r="B522" t="s">
        <v>363</v>
      </c>
      <c r="C522" t="s">
        <v>362</v>
      </c>
      <c r="E522" s="3">
        <f t="shared" si="163"/>
        <v>34.659090909090914</v>
      </c>
      <c r="F522">
        <v>2023</v>
      </c>
      <c r="G522">
        <f t="shared" si="136"/>
        <v>2</v>
      </c>
      <c r="H522">
        <v>0.28000000000000003</v>
      </c>
      <c r="I522">
        <v>0.61</v>
      </c>
      <c r="J522">
        <f t="shared" si="164"/>
        <v>176</v>
      </c>
      <c r="K522">
        <v>41</v>
      </c>
      <c r="L522">
        <v>3</v>
      </c>
      <c r="M522" s="12">
        <f t="shared" si="165"/>
        <v>0.49233458707602862</v>
      </c>
      <c r="N522">
        <f t="shared" si="162"/>
        <v>5.2890033166812497E-2</v>
      </c>
      <c r="O522">
        <f t="shared" si="166"/>
        <v>0.70166558065507856</v>
      </c>
      <c r="P522" t="s">
        <v>633</v>
      </c>
      <c r="S522">
        <f t="shared" si="167"/>
        <v>3.9677614678899062</v>
      </c>
      <c r="W522">
        <f t="shared" si="168"/>
        <v>42.185483870967744</v>
      </c>
      <c r="Y522">
        <v>2008</v>
      </c>
      <c r="Z522">
        <f>2025-AVERAGE($Y$517:$Y$692)</f>
        <v>11.48863636363626</v>
      </c>
      <c r="AA522">
        <v>2.9495239982113499E-3</v>
      </c>
      <c r="AB522">
        <v>0.46605449515145397</v>
      </c>
      <c r="AC522">
        <v>0.72999999999999898</v>
      </c>
      <c r="AD522" s="3">
        <v>0.1</v>
      </c>
      <c r="AE522">
        <v>0</v>
      </c>
      <c r="AF522" t="str">
        <f t="shared" si="142"/>
        <v>Non-US</v>
      </c>
      <c r="AI522">
        <f t="shared" si="169"/>
        <v>3.2903225806451615</v>
      </c>
      <c r="AJ522">
        <f t="shared" si="170"/>
        <v>1.048</v>
      </c>
      <c r="AK522" t="s">
        <v>112</v>
      </c>
      <c r="AL522">
        <v>40</v>
      </c>
      <c r="AM522" t="s">
        <v>140</v>
      </c>
      <c r="AN522" t="s">
        <v>364</v>
      </c>
      <c r="AO522">
        <v>0.78700000000000003</v>
      </c>
    </row>
    <row r="523" spans="1:41" ht="15.6">
      <c r="A523">
        <v>14</v>
      </c>
      <c r="B523" t="s">
        <v>363</v>
      </c>
      <c r="C523" t="s">
        <v>362</v>
      </c>
      <c r="E523" s="3">
        <f t="shared" si="163"/>
        <v>34.659090909090914</v>
      </c>
      <c r="F523">
        <v>2023</v>
      </c>
      <c r="G523">
        <f t="shared" si="136"/>
        <v>2</v>
      </c>
      <c r="H523">
        <v>0.28000000000000003</v>
      </c>
      <c r="I523">
        <v>0.61</v>
      </c>
      <c r="J523">
        <f t="shared" si="164"/>
        <v>176</v>
      </c>
      <c r="K523">
        <v>41</v>
      </c>
      <c r="L523">
        <v>3</v>
      </c>
      <c r="M523" s="12">
        <f t="shared" si="165"/>
        <v>0.49233458707602862</v>
      </c>
      <c r="N523">
        <f t="shared" si="162"/>
        <v>5.2890033166812497E-2</v>
      </c>
      <c r="O523">
        <f t="shared" si="166"/>
        <v>0.70166558065507856</v>
      </c>
      <c r="P523" t="s">
        <v>567</v>
      </c>
      <c r="Q523" t="s">
        <v>743</v>
      </c>
      <c r="S523">
        <f t="shared" si="167"/>
        <v>3.9677614678899062</v>
      </c>
      <c r="U523">
        <v>38</v>
      </c>
      <c r="W523">
        <f t="shared" si="168"/>
        <v>42.185483870967744</v>
      </c>
      <c r="Y523">
        <v>2013</v>
      </c>
      <c r="Z523">
        <f>2025-AVERAGE($Y$517:$Y$692)</f>
        <v>11.48863636363626</v>
      </c>
      <c r="AA523">
        <v>0.51805351402725597</v>
      </c>
      <c r="AB523">
        <v>0.53247499771232298</v>
      </c>
      <c r="AC523" t="s">
        <v>261</v>
      </c>
      <c r="AD523" s="3">
        <v>0.16</v>
      </c>
      <c r="AE523">
        <v>0</v>
      </c>
      <c r="AF523" t="str">
        <f t="shared" si="142"/>
        <v>Non-US</v>
      </c>
      <c r="AG523">
        <v>4</v>
      </c>
      <c r="AH523">
        <v>1</v>
      </c>
      <c r="AI523">
        <f t="shared" si="169"/>
        <v>3.2903225806451615</v>
      </c>
      <c r="AJ523">
        <f t="shared" si="170"/>
        <v>1.048</v>
      </c>
      <c r="AK523" t="s">
        <v>112</v>
      </c>
      <c r="AL523">
        <v>40</v>
      </c>
      <c r="AM523" t="s">
        <v>140</v>
      </c>
      <c r="AN523" t="s">
        <v>364</v>
      </c>
      <c r="AO523">
        <v>0.78700000000000003</v>
      </c>
    </row>
    <row r="524" spans="1:41" ht="15.6">
      <c r="A524">
        <v>14</v>
      </c>
      <c r="B524" t="s">
        <v>363</v>
      </c>
      <c r="C524" t="s">
        <v>362</v>
      </c>
      <c r="E524" s="3">
        <f t="shared" si="163"/>
        <v>34.659090909090914</v>
      </c>
      <c r="F524">
        <v>2023</v>
      </c>
      <c r="G524">
        <f t="shared" si="136"/>
        <v>2</v>
      </c>
      <c r="H524">
        <v>0.28000000000000003</v>
      </c>
      <c r="I524">
        <v>0.61</v>
      </c>
      <c r="J524">
        <f t="shared" si="164"/>
        <v>176</v>
      </c>
      <c r="K524">
        <v>41</v>
      </c>
      <c r="L524">
        <v>3</v>
      </c>
      <c r="M524" s="12">
        <f t="shared" si="165"/>
        <v>0.49233458707602862</v>
      </c>
      <c r="N524">
        <f t="shared" si="162"/>
        <v>5.2890033166812497E-2</v>
      </c>
      <c r="O524">
        <f t="shared" si="166"/>
        <v>0.70166558065507856</v>
      </c>
      <c r="P524" t="s">
        <v>634</v>
      </c>
      <c r="S524">
        <f t="shared" si="167"/>
        <v>3.9677614678899062</v>
      </c>
      <c r="W524">
        <f t="shared" si="168"/>
        <v>42.185483870967744</v>
      </c>
      <c r="Y524">
        <v>2015</v>
      </c>
      <c r="Z524">
        <f>2025-AVERAGE($Y$517:$Y$692)</f>
        <v>11.48863636363626</v>
      </c>
      <c r="AA524">
        <v>2.62375852155827E-8</v>
      </c>
      <c r="AB524" t="s">
        <v>261</v>
      </c>
      <c r="AC524">
        <v>11.5</v>
      </c>
      <c r="AD524" s="3">
        <v>0.15</v>
      </c>
      <c r="AE524">
        <v>0</v>
      </c>
      <c r="AF524" t="str">
        <f t="shared" si="142"/>
        <v>Non-US</v>
      </c>
      <c r="AI524">
        <f t="shared" si="169"/>
        <v>3.2903225806451615</v>
      </c>
      <c r="AJ524">
        <f t="shared" si="170"/>
        <v>1.048</v>
      </c>
      <c r="AK524" t="s">
        <v>112</v>
      </c>
      <c r="AL524">
        <v>40</v>
      </c>
      <c r="AM524" t="s">
        <v>140</v>
      </c>
      <c r="AN524" t="s">
        <v>364</v>
      </c>
      <c r="AO524">
        <v>0.78700000000000003</v>
      </c>
    </row>
    <row r="525" spans="1:41" ht="15.6">
      <c r="A525">
        <v>14</v>
      </c>
      <c r="B525" t="s">
        <v>363</v>
      </c>
      <c r="C525" t="s">
        <v>362</v>
      </c>
      <c r="E525" s="3">
        <f t="shared" si="163"/>
        <v>34.659090909090914</v>
      </c>
      <c r="F525">
        <v>2023</v>
      </c>
      <c r="G525">
        <f t="shared" si="136"/>
        <v>2</v>
      </c>
      <c r="H525">
        <v>0.28000000000000003</v>
      </c>
      <c r="I525">
        <v>0.61</v>
      </c>
      <c r="J525">
        <f t="shared" si="164"/>
        <v>176</v>
      </c>
      <c r="K525">
        <v>41</v>
      </c>
      <c r="L525">
        <v>3</v>
      </c>
      <c r="M525" s="12">
        <f t="shared" si="165"/>
        <v>0.49233458707602862</v>
      </c>
      <c r="N525">
        <f t="shared" si="162"/>
        <v>5.2890033166812497E-2</v>
      </c>
      <c r="O525">
        <f t="shared" si="166"/>
        <v>0.70166558065507856</v>
      </c>
      <c r="P525" t="s">
        <v>635</v>
      </c>
      <c r="Q525" t="s">
        <v>527</v>
      </c>
      <c r="R525">
        <v>4.4050000000000002</v>
      </c>
      <c r="S525">
        <f t="shared" si="167"/>
        <v>3.9677614678899062</v>
      </c>
      <c r="U525">
        <v>32</v>
      </c>
      <c r="V525" t="s">
        <v>138</v>
      </c>
      <c r="W525">
        <f t="shared" si="168"/>
        <v>42.185483870967744</v>
      </c>
      <c r="Y525">
        <v>2016</v>
      </c>
      <c r="Z525">
        <f>2025-AVERAGE($Y$517:$Y$692)</f>
        <v>11.48863636363626</v>
      </c>
      <c r="AA525" t="s">
        <v>261</v>
      </c>
      <c r="AB525" t="s">
        <v>261</v>
      </c>
      <c r="AC525" t="s">
        <v>261</v>
      </c>
      <c r="AE525">
        <v>0</v>
      </c>
      <c r="AF525" t="str">
        <f t="shared" si="142"/>
        <v>Non-US</v>
      </c>
      <c r="AG525">
        <v>5</v>
      </c>
      <c r="AH525">
        <v>1</v>
      </c>
      <c r="AI525">
        <f t="shared" si="169"/>
        <v>3.2903225806451615</v>
      </c>
      <c r="AJ525">
        <f t="shared" si="170"/>
        <v>1.048</v>
      </c>
      <c r="AK525" t="s">
        <v>112</v>
      </c>
      <c r="AL525">
        <v>40</v>
      </c>
      <c r="AM525" t="s">
        <v>140</v>
      </c>
      <c r="AN525" t="s">
        <v>364</v>
      </c>
      <c r="AO525">
        <v>0.78700000000000003</v>
      </c>
    </row>
    <row r="526" spans="1:41" ht="15.6">
      <c r="A526">
        <v>14</v>
      </c>
      <c r="B526" t="s">
        <v>363</v>
      </c>
      <c r="C526" t="s">
        <v>362</v>
      </c>
      <c r="E526" s="3">
        <f t="shared" si="163"/>
        <v>34.659090909090914</v>
      </c>
      <c r="F526">
        <v>2023</v>
      </c>
      <c r="G526">
        <f t="shared" si="136"/>
        <v>2</v>
      </c>
      <c r="H526">
        <v>0.28000000000000003</v>
      </c>
      <c r="I526">
        <v>0.61</v>
      </c>
      <c r="J526">
        <f t="shared" si="164"/>
        <v>176</v>
      </c>
      <c r="K526">
        <v>41</v>
      </c>
      <c r="L526">
        <v>3</v>
      </c>
      <c r="M526" s="12">
        <f t="shared" si="165"/>
        <v>0.49233458707602862</v>
      </c>
      <c r="N526">
        <f t="shared" si="162"/>
        <v>5.2890033166812497E-2</v>
      </c>
      <c r="O526">
        <f t="shared" si="166"/>
        <v>0.70166558065507856</v>
      </c>
      <c r="P526" t="s">
        <v>636</v>
      </c>
      <c r="S526">
        <f t="shared" si="167"/>
        <v>3.9677614678899062</v>
      </c>
      <c r="W526">
        <f t="shared" si="168"/>
        <v>42.185483870967744</v>
      </c>
      <c r="Y526">
        <v>2007</v>
      </c>
      <c r="Z526">
        <f>2025-AVERAGE($Y$517:$Y$692)</f>
        <v>11.48863636363626</v>
      </c>
      <c r="AA526">
        <v>0</v>
      </c>
      <c r="AB526">
        <v>0.31949202403834998</v>
      </c>
      <c r="AC526">
        <v>0.55999999999999905</v>
      </c>
      <c r="AD526" s="3">
        <v>0.1</v>
      </c>
      <c r="AE526">
        <v>0</v>
      </c>
      <c r="AF526" t="str">
        <f t="shared" si="142"/>
        <v>Non-US</v>
      </c>
      <c r="AI526">
        <f t="shared" si="169"/>
        <v>3.2903225806451615</v>
      </c>
      <c r="AJ526">
        <f t="shared" si="170"/>
        <v>1.048</v>
      </c>
      <c r="AK526" t="s">
        <v>112</v>
      </c>
      <c r="AL526">
        <v>40</v>
      </c>
      <c r="AM526" t="s">
        <v>140</v>
      </c>
      <c r="AN526" t="s">
        <v>364</v>
      </c>
      <c r="AO526">
        <v>0.78700000000000003</v>
      </c>
    </row>
    <row r="527" spans="1:41" ht="15.6">
      <c r="A527">
        <v>14</v>
      </c>
      <c r="B527" t="s">
        <v>363</v>
      </c>
      <c r="C527" t="s">
        <v>362</v>
      </c>
      <c r="E527" s="3">
        <f t="shared" si="163"/>
        <v>34.659090909090914</v>
      </c>
      <c r="F527">
        <v>2023</v>
      </c>
      <c r="G527">
        <f t="shared" si="136"/>
        <v>2</v>
      </c>
      <c r="H527">
        <v>0.28000000000000003</v>
      </c>
      <c r="I527">
        <v>0.61</v>
      </c>
      <c r="J527">
        <f t="shared" si="164"/>
        <v>176</v>
      </c>
      <c r="K527">
        <v>41</v>
      </c>
      <c r="L527">
        <v>3</v>
      </c>
      <c r="M527" s="12">
        <f t="shared" si="165"/>
        <v>0.49233458707602862</v>
      </c>
      <c r="N527">
        <f t="shared" si="162"/>
        <v>5.2890033166812497E-2</v>
      </c>
      <c r="O527">
        <f t="shared" si="166"/>
        <v>0.70166558065507856</v>
      </c>
      <c r="P527" t="s">
        <v>637</v>
      </c>
      <c r="Q527" t="s">
        <v>747</v>
      </c>
      <c r="S527">
        <f t="shared" si="167"/>
        <v>3.9677614678899062</v>
      </c>
      <c r="U527">
        <v>27</v>
      </c>
      <c r="V527" t="s">
        <v>138</v>
      </c>
      <c r="W527">
        <f t="shared" si="168"/>
        <v>42.185483870967744</v>
      </c>
      <c r="Y527">
        <v>2013</v>
      </c>
      <c r="Z527">
        <f>2025-AVERAGE($Y$517:$Y$692)</f>
        <v>11.48863636363626</v>
      </c>
      <c r="AA527">
        <v>1.33867381869947E-2</v>
      </c>
      <c r="AB527">
        <v>4.02218906166799E-22</v>
      </c>
      <c r="AC527" t="s">
        <v>261</v>
      </c>
      <c r="AD527" s="3">
        <v>0.8</v>
      </c>
      <c r="AE527">
        <v>0</v>
      </c>
      <c r="AF527" t="str">
        <f t="shared" si="142"/>
        <v>Non-US</v>
      </c>
      <c r="AG527">
        <v>3</v>
      </c>
      <c r="AH527">
        <v>2</v>
      </c>
      <c r="AI527">
        <f t="shared" si="169"/>
        <v>3.2903225806451615</v>
      </c>
      <c r="AJ527">
        <f t="shared" si="170"/>
        <v>1.048</v>
      </c>
      <c r="AK527" t="s">
        <v>112</v>
      </c>
      <c r="AL527">
        <v>40</v>
      </c>
      <c r="AM527" t="s">
        <v>140</v>
      </c>
      <c r="AN527" t="s">
        <v>364</v>
      </c>
      <c r="AO527">
        <v>0.78700000000000003</v>
      </c>
    </row>
    <row r="528" spans="1:41" ht="15.6">
      <c r="A528">
        <v>14</v>
      </c>
      <c r="B528" t="s">
        <v>363</v>
      </c>
      <c r="C528" t="s">
        <v>362</v>
      </c>
      <c r="E528" s="3">
        <f t="shared" si="163"/>
        <v>34.659090909090914</v>
      </c>
      <c r="F528">
        <v>2023</v>
      </c>
      <c r="G528">
        <f t="shared" si="136"/>
        <v>2</v>
      </c>
      <c r="H528">
        <v>0.28000000000000003</v>
      </c>
      <c r="I528">
        <v>0.61</v>
      </c>
      <c r="J528">
        <f t="shared" si="164"/>
        <v>176</v>
      </c>
      <c r="K528">
        <v>41</v>
      </c>
      <c r="L528">
        <v>3</v>
      </c>
      <c r="M528" s="12">
        <f t="shared" si="165"/>
        <v>0.49233458707602862</v>
      </c>
      <c r="N528">
        <f t="shared" si="162"/>
        <v>5.2890033166812497E-2</v>
      </c>
      <c r="O528">
        <f t="shared" si="166"/>
        <v>0.70166558065507856</v>
      </c>
      <c r="P528" t="s">
        <v>638</v>
      </c>
      <c r="Q528" t="s">
        <v>748</v>
      </c>
      <c r="S528">
        <f t="shared" si="167"/>
        <v>3.9677614678899062</v>
      </c>
      <c r="U528">
        <v>53</v>
      </c>
      <c r="V528" t="s">
        <v>138</v>
      </c>
      <c r="W528">
        <f t="shared" si="168"/>
        <v>42.185483870967744</v>
      </c>
      <c r="Y528">
        <v>2000</v>
      </c>
      <c r="Z528">
        <f>2025-AVERAGE($Y$517:$Y$692)</f>
        <v>11.48863636363626</v>
      </c>
      <c r="AA528" t="s">
        <v>261</v>
      </c>
      <c r="AB528" t="s">
        <v>261</v>
      </c>
      <c r="AC528" t="s">
        <v>261</v>
      </c>
      <c r="AE528">
        <v>0</v>
      </c>
      <c r="AF528" t="str">
        <f t="shared" si="142"/>
        <v>Non-US</v>
      </c>
      <c r="AG528">
        <v>6</v>
      </c>
      <c r="AH528">
        <v>1</v>
      </c>
      <c r="AI528">
        <f t="shared" si="169"/>
        <v>3.2903225806451615</v>
      </c>
      <c r="AJ528">
        <f t="shared" si="170"/>
        <v>1.048</v>
      </c>
      <c r="AK528" t="s">
        <v>112</v>
      </c>
      <c r="AL528">
        <v>40</v>
      </c>
      <c r="AM528" t="s">
        <v>140</v>
      </c>
      <c r="AN528" t="s">
        <v>364</v>
      </c>
      <c r="AO528">
        <v>0.78700000000000003</v>
      </c>
    </row>
    <row r="529" spans="1:41" ht="15.6">
      <c r="A529">
        <v>14</v>
      </c>
      <c r="B529" t="s">
        <v>363</v>
      </c>
      <c r="C529" t="s">
        <v>362</v>
      </c>
      <c r="E529" s="3">
        <f t="shared" si="163"/>
        <v>34.659090909090914</v>
      </c>
      <c r="F529">
        <v>2023</v>
      </c>
      <c r="G529">
        <f t="shared" si="136"/>
        <v>2</v>
      </c>
      <c r="H529">
        <v>0.28000000000000003</v>
      </c>
      <c r="I529">
        <v>0.61</v>
      </c>
      <c r="J529">
        <f t="shared" si="164"/>
        <v>176</v>
      </c>
      <c r="K529">
        <v>41</v>
      </c>
      <c r="L529">
        <v>3</v>
      </c>
      <c r="M529" s="12">
        <f t="shared" si="165"/>
        <v>0.49233458707602862</v>
      </c>
      <c r="N529">
        <f t="shared" si="162"/>
        <v>5.2890033166812497E-2</v>
      </c>
      <c r="O529">
        <f t="shared" si="166"/>
        <v>0.70166558065507856</v>
      </c>
      <c r="P529" t="s">
        <v>639</v>
      </c>
      <c r="S529">
        <f t="shared" si="167"/>
        <v>3.9677614678899062</v>
      </c>
      <c r="W529">
        <f t="shared" si="168"/>
        <v>42.185483870967744</v>
      </c>
      <c r="Y529">
        <v>2008</v>
      </c>
      <c r="Z529">
        <f>2025-AVERAGE($Y$517:$Y$692)</f>
        <v>11.48863636363626</v>
      </c>
      <c r="AA529">
        <v>4.2594130967567E-2</v>
      </c>
      <c r="AB529" t="s">
        <v>261</v>
      </c>
      <c r="AC529">
        <v>0.26915322580645101</v>
      </c>
      <c r="AD529" s="3">
        <v>-0.15151515151515099</v>
      </c>
      <c r="AE529">
        <v>0</v>
      </c>
      <c r="AF529" t="str">
        <f t="shared" si="142"/>
        <v>Non-US</v>
      </c>
      <c r="AI529">
        <f t="shared" si="169"/>
        <v>3.2903225806451615</v>
      </c>
      <c r="AJ529">
        <f t="shared" si="170"/>
        <v>1.048</v>
      </c>
      <c r="AK529" t="s">
        <v>112</v>
      </c>
      <c r="AL529">
        <v>40</v>
      </c>
      <c r="AM529" t="s">
        <v>140</v>
      </c>
      <c r="AN529" t="s">
        <v>364</v>
      </c>
      <c r="AO529">
        <v>0.78700000000000003</v>
      </c>
    </row>
    <row r="530" spans="1:41" ht="15.6">
      <c r="A530">
        <v>14</v>
      </c>
      <c r="B530" t="s">
        <v>363</v>
      </c>
      <c r="C530" t="s">
        <v>362</v>
      </c>
      <c r="E530" s="3">
        <f t="shared" si="163"/>
        <v>34.659090909090914</v>
      </c>
      <c r="F530">
        <v>2023</v>
      </c>
      <c r="G530">
        <f t="shared" ref="G530:G593" si="171">2025-F530</f>
        <v>2</v>
      </c>
      <c r="H530">
        <v>0.28000000000000003</v>
      </c>
      <c r="I530">
        <v>0.61</v>
      </c>
      <c r="J530">
        <f t="shared" si="164"/>
        <v>176</v>
      </c>
      <c r="K530">
        <v>41</v>
      </c>
      <c r="L530">
        <v>3</v>
      </c>
      <c r="M530" s="12">
        <f t="shared" si="165"/>
        <v>0.49233458707602862</v>
      </c>
      <c r="N530">
        <f t="shared" si="162"/>
        <v>5.2890033166812497E-2</v>
      </c>
      <c r="O530">
        <f t="shared" si="166"/>
        <v>0.70166558065507856</v>
      </c>
      <c r="P530" t="s">
        <v>640</v>
      </c>
      <c r="Q530" t="s">
        <v>745</v>
      </c>
      <c r="R530" t="s">
        <v>261</v>
      </c>
      <c r="S530">
        <f t="shared" si="167"/>
        <v>3.9677614678899062</v>
      </c>
      <c r="U530">
        <v>93</v>
      </c>
      <c r="V530" t="s">
        <v>138</v>
      </c>
      <c r="W530">
        <f t="shared" si="168"/>
        <v>42.185483870967744</v>
      </c>
      <c r="Y530">
        <v>2011</v>
      </c>
      <c r="Z530">
        <f>2025-AVERAGE($Y$517:$Y$692)</f>
        <v>11.48863636363626</v>
      </c>
      <c r="AA530" t="s">
        <v>261</v>
      </c>
      <c r="AB530" t="s">
        <v>261</v>
      </c>
      <c r="AC530" t="s">
        <v>261</v>
      </c>
      <c r="AD530" s="3">
        <v>-5.3307399999999998E-2</v>
      </c>
      <c r="AE530">
        <v>0</v>
      </c>
      <c r="AF530" t="str">
        <f t="shared" si="142"/>
        <v>Non-US</v>
      </c>
      <c r="AG530">
        <v>5</v>
      </c>
      <c r="AH530">
        <v>1</v>
      </c>
      <c r="AI530">
        <f t="shared" si="169"/>
        <v>3.2903225806451615</v>
      </c>
      <c r="AJ530">
        <f t="shared" si="170"/>
        <v>1.048</v>
      </c>
      <c r="AK530" t="s">
        <v>112</v>
      </c>
      <c r="AL530">
        <v>40</v>
      </c>
      <c r="AM530" t="s">
        <v>140</v>
      </c>
      <c r="AN530" t="s">
        <v>364</v>
      </c>
      <c r="AO530">
        <v>0.78700000000000003</v>
      </c>
    </row>
    <row r="531" spans="1:41" ht="15.6">
      <c r="A531">
        <v>14</v>
      </c>
      <c r="B531" t="s">
        <v>363</v>
      </c>
      <c r="C531" t="s">
        <v>362</v>
      </c>
      <c r="E531" s="3">
        <f t="shared" si="163"/>
        <v>34.659090909090914</v>
      </c>
      <c r="F531">
        <v>2023</v>
      </c>
      <c r="G531">
        <f t="shared" si="171"/>
        <v>2</v>
      </c>
      <c r="H531">
        <v>0.28000000000000003</v>
      </c>
      <c r="I531">
        <v>0.61</v>
      </c>
      <c r="J531">
        <f t="shared" si="164"/>
        <v>176</v>
      </c>
      <c r="K531">
        <v>41</v>
      </c>
      <c r="L531">
        <v>3</v>
      </c>
      <c r="M531" s="12">
        <f t="shared" si="165"/>
        <v>0.49233458707602862</v>
      </c>
      <c r="N531">
        <f t="shared" si="162"/>
        <v>5.2890033166812497E-2</v>
      </c>
      <c r="O531">
        <f t="shared" si="166"/>
        <v>0.70166558065507856</v>
      </c>
      <c r="P531" t="s">
        <v>641</v>
      </c>
      <c r="Q531" t="s">
        <v>766</v>
      </c>
      <c r="R531">
        <v>3.9540000000000002</v>
      </c>
      <c r="S531">
        <f t="shared" si="167"/>
        <v>3.9677614678899062</v>
      </c>
      <c r="U531">
        <v>63</v>
      </c>
      <c r="V531" t="s">
        <v>138</v>
      </c>
      <c r="W531">
        <f t="shared" si="168"/>
        <v>42.185483870967744</v>
      </c>
      <c r="Y531">
        <v>2010</v>
      </c>
      <c r="Z531">
        <f>2025-AVERAGE($Y$517:$Y$692)</f>
        <v>11.48863636363626</v>
      </c>
      <c r="AA531" t="s">
        <v>261</v>
      </c>
      <c r="AB531" t="s">
        <v>261</v>
      </c>
      <c r="AC531" t="s">
        <v>261</v>
      </c>
      <c r="AE531">
        <v>0</v>
      </c>
      <c r="AF531" t="str">
        <f t="shared" si="142"/>
        <v>Non-US</v>
      </c>
      <c r="AG531">
        <v>6</v>
      </c>
      <c r="AH531">
        <v>1</v>
      </c>
      <c r="AI531">
        <f t="shared" si="169"/>
        <v>3.2903225806451615</v>
      </c>
      <c r="AJ531">
        <f t="shared" si="170"/>
        <v>1.048</v>
      </c>
      <c r="AK531" t="s">
        <v>112</v>
      </c>
      <c r="AL531">
        <v>40</v>
      </c>
      <c r="AM531" t="s">
        <v>140</v>
      </c>
      <c r="AN531" t="s">
        <v>364</v>
      </c>
      <c r="AO531">
        <v>0.78700000000000003</v>
      </c>
    </row>
    <row r="532" spans="1:41" ht="15.6">
      <c r="A532">
        <v>14</v>
      </c>
      <c r="B532" t="s">
        <v>363</v>
      </c>
      <c r="C532" t="s">
        <v>362</v>
      </c>
      <c r="E532" s="3">
        <f t="shared" si="163"/>
        <v>34.659090909090914</v>
      </c>
      <c r="F532">
        <v>2023</v>
      </c>
      <c r="G532">
        <f t="shared" si="171"/>
        <v>2</v>
      </c>
      <c r="H532">
        <v>0.28000000000000003</v>
      </c>
      <c r="I532">
        <v>0.61</v>
      </c>
      <c r="J532">
        <f t="shared" si="164"/>
        <v>176</v>
      </c>
      <c r="K532">
        <v>41</v>
      </c>
      <c r="L532">
        <v>3</v>
      </c>
      <c r="M532" s="12">
        <f t="shared" si="165"/>
        <v>0.49233458707602862</v>
      </c>
      <c r="N532">
        <f t="shared" si="162"/>
        <v>5.2890033166812497E-2</v>
      </c>
      <c r="O532">
        <f t="shared" si="166"/>
        <v>0.70166558065507856</v>
      </c>
      <c r="P532" t="s">
        <v>568</v>
      </c>
      <c r="Q532" t="s">
        <v>767</v>
      </c>
      <c r="R532" t="s">
        <v>261</v>
      </c>
      <c r="S532">
        <f t="shared" si="167"/>
        <v>3.9677614678899062</v>
      </c>
      <c r="U532">
        <v>41</v>
      </c>
      <c r="V532" t="s">
        <v>764</v>
      </c>
      <c r="W532">
        <f t="shared" si="168"/>
        <v>42.185483870967744</v>
      </c>
      <c r="Y532">
        <v>2018</v>
      </c>
      <c r="Z532">
        <f>2025-AVERAGE($Y$517:$Y$692)</f>
        <v>11.48863636363626</v>
      </c>
      <c r="AA532">
        <v>0.864192074020108</v>
      </c>
      <c r="AB532" t="s">
        <v>261</v>
      </c>
      <c r="AC532">
        <v>0.86050000000000004</v>
      </c>
      <c r="AD532" s="3">
        <v>0.80820000000000003</v>
      </c>
      <c r="AE532">
        <v>0</v>
      </c>
      <c r="AF532" t="str">
        <f t="shared" si="142"/>
        <v>Non-US</v>
      </c>
      <c r="AG532">
        <v>3</v>
      </c>
      <c r="AH532">
        <v>1</v>
      </c>
      <c r="AI532">
        <f t="shared" si="169"/>
        <v>3.2903225806451615</v>
      </c>
      <c r="AJ532">
        <f t="shared" si="170"/>
        <v>1.048</v>
      </c>
      <c r="AK532" t="s">
        <v>112</v>
      </c>
      <c r="AL532">
        <v>40</v>
      </c>
      <c r="AM532" t="s">
        <v>140</v>
      </c>
      <c r="AN532" t="s">
        <v>364</v>
      </c>
      <c r="AO532">
        <v>0.78700000000000003</v>
      </c>
    </row>
    <row r="533" spans="1:41" ht="15.6">
      <c r="A533">
        <v>14</v>
      </c>
      <c r="B533" t="s">
        <v>363</v>
      </c>
      <c r="C533" t="s">
        <v>362</v>
      </c>
      <c r="E533" s="3">
        <f t="shared" si="163"/>
        <v>34.659090909090914</v>
      </c>
      <c r="F533">
        <v>2023</v>
      </c>
      <c r="G533">
        <f t="shared" si="171"/>
        <v>2</v>
      </c>
      <c r="H533">
        <v>0.28000000000000003</v>
      </c>
      <c r="I533">
        <v>0.61</v>
      </c>
      <c r="J533">
        <f t="shared" si="164"/>
        <v>176</v>
      </c>
      <c r="K533">
        <v>41</v>
      </c>
      <c r="L533">
        <v>3</v>
      </c>
      <c r="M533" s="12">
        <f t="shared" si="165"/>
        <v>0.49233458707602862</v>
      </c>
      <c r="N533">
        <f t="shared" si="162"/>
        <v>5.2890033166812497E-2</v>
      </c>
      <c r="O533">
        <f t="shared" si="166"/>
        <v>0.70166558065507856</v>
      </c>
      <c r="P533" t="s">
        <v>642</v>
      </c>
      <c r="Q533" t="s">
        <v>527</v>
      </c>
      <c r="R533">
        <v>4.1189999999999998</v>
      </c>
      <c r="S533">
        <f t="shared" si="167"/>
        <v>3.9677614678899062</v>
      </c>
      <c r="U533">
        <v>36</v>
      </c>
      <c r="V533" t="s">
        <v>138</v>
      </c>
      <c r="W533">
        <f t="shared" si="168"/>
        <v>42.185483870967744</v>
      </c>
      <c r="Y533">
        <v>2013</v>
      </c>
      <c r="Z533">
        <f>2025-AVERAGE($Y$517:$Y$692)</f>
        <v>11.48863636363626</v>
      </c>
      <c r="AA533" t="s">
        <v>261</v>
      </c>
      <c r="AB533">
        <v>0.124705614184336</v>
      </c>
      <c r="AC533" t="s">
        <v>261</v>
      </c>
      <c r="AE533">
        <v>0</v>
      </c>
      <c r="AF533" t="str">
        <f t="shared" si="142"/>
        <v>Non-US</v>
      </c>
      <c r="AG533">
        <v>2</v>
      </c>
      <c r="AH533">
        <v>1</v>
      </c>
      <c r="AI533">
        <f t="shared" si="169"/>
        <v>3.2903225806451615</v>
      </c>
      <c r="AJ533">
        <f t="shared" si="170"/>
        <v>1.048</v>
      </c>
      <c r="AK533" t="s">
        <v>112</v>
      </c>
      <c r="AL533">
        <v>40</v>
      </c>
      <c r="AM533" t="s">
        <v>140</v>
      </c>
      <c r="AN533" t="s">
        <v>364</v>
      </c>
      <c r="AO533">
        <v>0.78700000000000003</v>
      </c>
    </row>
    <row r="534" spans="1:41" ht="15.6">
      <c r="A534">
        <v>14</v>
      </c>
      <c r="B534" t="s">
        <v>363</v>
      </c>
      <c r="C534" t="s">
        <v>362</v>
      </c>
      <c r="E534" s="3">
        <f t="shared" si="163"/>
        <v>34.659090909090914</v>
      </c>
      <c r="F534">
        <v>2023</v>
      </c>
      <c r="G534">
        <f t="shared" si="171"/>
        <v>2</v>
      </c>
      <c r="H534">
        <v>0.28000000000000003</v>
      </c>
      <c r="I534">
        <v>0.61</v>
      </c>
      <c r="J534">
        <f t="shared" si="164"/>
        <v>176</v>
      </c>
      <c r="K534">
        <v>41</v>
      </c>
      <c r="L534">
        <v>3</v>
      </c>
      <c r="M534" s="12">
        <f t="shared" si="165"/>
        <v>0.49233458707602862</v>
      </c>
      <c r="N534">
        <f t="shared" si="162"/>
        <v>5.2890033166812497E-2</v>
      </c>
      <c r="O534">
        <f t="shared" si="166"/>
        <v>0.70166558065507856</v>
      </c>
      <c r="P534" t="s">
        <v>643</v>
      </c>
      <c r="S534">
        <f t="shared" si="167"/>
        <v>3.9677614678899062</v>
      </c>
      <c r="W534">
        <f t="shared" si="168"/>
        <v>42.185483870967744</v>
      </c>
      <c r="Y534">
        <v>2008</v>
      </c>
      <c r="Z534">
        <f>2025-AVERAGE($Y$517:$Y$692)</f>
        <v>11.48863636363626</v>
      </c>
      <c r="AA534">
        <v>7.6868273922532301E-3</v>
      </c>
      <c r="AB534" t="s">
        <v>261</v>
      </c>
      <c r="AC534">
        <v>0.5</v>
      </c>
      <c r="AD534" s="3">
        <v>0.105263157894736</v>
      </c>
      <c r="AE534">
        <v>0</v>
      </c>
      <c r="AF534" t="str">
        <f t="shared" si="142"/>
        <v>Non-US</v>
      </c>
      <c r="AI534">
        <f t="shared" si="169"/>
        <v>3.2903225806451615</v>
      </c>
      <c r="AJ534">
        <f t="shared" si="170"/>
        <v>1.048</v>
      </c>
      <c r="AK534" t="s">
        <v>112</v>
      </c>
      <c r="AL534">
        <v>40</v>
      </c>
      <c r="AM534" t="s">
        <v>140</v>
      </c>
      <c r="AN534" t="s">
        <v>364</v>
      </c>
      <c r="AO534">
        <v>0.78700000000000003</v>
      </c>
    </row>
    <row r="535" spans="1:41" ht="15.6">
      <c r="A535">
        <v>14</v>
      </c>
      <c r="B535" t="s">
        <v>363</v>
      </c>
      <c r="C535" t="s">
        <v>362</v>
      </c>
      <c r="E535" s="3">
        <f t="shared" si="163"/>
        <v>34.659090909090914</v>
      </c>
      <c r="F535">
        <v>2023</v>
      </c>
      <c r="G535">
        <f t="shared" si="171"/>
        <v>2</v>
      </c>
      <c r="H535">
        <v>0.28000000000000003</v>
      </c>
      <c r="I535">
        <v>0.61</v>
      </c>
      <c r="J535">
        <f t="shared" si="164"/>
        <v>176</v>
      </c>
      <c r="K535">
        <v>41</v>
      </c>
      <c r="L535">
        <v>3</v>
      </c>
      <c r="M535" s="12">
        <f t="shared" si="165"/>
        <v>0.49233458707602862</v>
      </c>
      <c r="N535">
        <f t="shared" si="162"/>
        <v>5.2890033166812497E-2</v>
      </c>
      <c r="O535">
        <f t="shared" si="166"/>
        <v>0.70166558065507856</v>
      </c>
      <c r="P535" t="s">
        <v>644</v>
      </c>
      <c r="S535">
        <f t="shared" si="167"/>
        <v>3.9677614678899062</v>
      </c>
      <c r="W535">
        <f t="shared" si="168"/>
        <v>42.185483870967744</v>
      </c>
      <c r="Y535">
        <v>2014</v>
      </c>
      <c r="Z535">
        <f>2025-AVERAGE($Y$517:$Y$692)</f>
        <v>11.48863636363626</v>
      </c>
      <c r="AA535">
        <v>2.1015552656118801E-2</v>
      </c>
      <c r="AB535">
        <v>0.81004985615762604</v>
      </c>
      <c r="AC535" t="s">
        <v>261</v>
      </c>
      <c r="AD535" s="3">
        <v>-0.12</v>
      </c>
      <c r="AE535">
        <v>0</v>
      </c>
      <c r="AF535" t="str">
        <f t="shared" si="142"/>
        <v>Non-US</v>
      </c>
      <c r="AI535">
        <f t="shared" si="169"/>
        <v>3.2903225806451615</v>
      </c>
      <c r="AJ535">
        <f t="shared" si="170"/>
        <v>1.048</v>
      </c>
      <c r="AK535" t="s">
        <v>112</v>
      </c>
      <c r="AL535">
        <v>40</v>
      </c>
      <c r="AM535" t="s">
        <v>140</v>
      </c>
      <c r="AN535" t="s">
        <v>364</v>
      </c>
      <c r="AO535">
        <v>0.78700000000000003</v>
      </c>
    </row>
    <row r="536" spans="1:41" ht="15.6">
      <c r="A536">
        <v>14</v>
      </c>
      <c r="B536" t="s">
        <v>363</v>
      </c>
      <c r="C536" t="s">
        <v>362</v>
      </c>
      <c r="E536" s="3">
        <f t="shared" si="163"/>
        <v>34.659090909090914</v>
      </c>
      <c r="F536">
        <v>2023</v>
      </c>
      <c r="G536">
        <f t="shared" si="171"/>
        <v>2</v>
      </c>
      <c r="H536">
        <v>0.28000000000000003</v>
      </c>
      <c r="I536">
        <v>0.61</v>
      </c>
      <c r="J536">
        <f t="shared" si="164"/>
        <v>176</v>
      </c>
      <c r="K536">
        <v>41</v>
      </c>
      <c r="L536">
        <v>3</v>
      </c>
      <c r="M536" s="12">
        <f t="shared" si="165"/>
        <v>0.49233458707602862</v>
      </c>
      <c r="N536">
        <f t="shared" si="162"/>
        <v>5.2890033166812497E-2</v>
      </c>
      <c r="O536">
        <f t="shared" si="166"/>
        <v>0.70166558065507856</v>
      </c>
      <c r="P536" t="s">
        <v>645</v>
      </c>
      <c r="Q536" t="s">
        <v>768</v>
      </c>
      <c r="R536">
        <v>15.098000000000001</v>
      </c>
      <c r="S536">
        <f t="shared" si="167"/>
        <v>3.9677614678899062</v>
      </c>
      <c r="U536">
        <v>139</v>
      </c>
      <c r="V536" t="s">
        <v>138</v>
      </c>
      <c r="W536">
        <f t="shared" si="168"/>
        <v>42.185483870967744</v>
      </c>
      <c r="Y536">
        <v>2020</v>
      </c>
      <c r="Z536">
        <f>2025-AVERAGE($Y$517:$Y$692)</f>
        <v>11.48863636363626</v>
      </c>
      <c r="AA536">
        <v>6.7768013423119505E-13</v>
      </c>
      <c r="AB536">
        <v>0.35763445711805902</v>
      </c>
      <c r="AC536">
        <v>0.87</v>
      </c>
      <c r="AD536" s="3">
        <v>-9.0000000000000704E-2</v>
      </c>
      <c r="AE536">
        <v>0</v>
      </c>
      <c r="AF536" t="str">
        <f t="shared" si="142"/>
        <v>Non-US</v>
      </c>
      <c r="AG536">
        <v>4</v>
      </c>
      <c r="AH536">
        <v>1</v>
      </c>
      <c r="AI536">
        <f t="shared" si="169"/>
        <v>3.2903225806451615</v>
      </c>
      <c r="AJ536">
        <f t="shared" si="170"/>
        <v>1.048</v>
      </c>
      <c r="AK536" t="s">
        <v>112</v>
      </c>
      <c r="AL536">
        <v>40</v>
      </c>
      <c r="AM536" t="s">
        <v>140</v>
      </c>
      <c r="AN536" t="s">
        <v>364</v>
      </c>
      <c r="AO536">
        <v>0.78700000000000003</v>
      </c>
    </row>
    <row r="537" spans="1:41" ht="15.6">
      <c r="A537">
        <v>14</v>
      </c>
      <c r="B537" t="s">
        <v>363</v>
      </c>
      <c r="C537" t="s">
        <v>362</v>
      </c>
      <c r="E537" s="3">
        <f t="shared" si="163"/>
        <v>34.659090909090914</v>
      </c>
      <c r="F537">
        <v>2023</v>
      </c>
      <c r="G537">
        <f t="shared" si="171"/>
        <v>2</v>
      </c>
      <c r="H537">
        <v>0.28000000000000003</v>
      </c>
      <c r="I537">
        <v>0.61</v>
      </c>
      <c r="J537">
        <f t="shared" si="164"/>
        <v>176</v>
      </c>
      <c r="K537">
        <v>41</v>
      </c>
      <c r="L537">
        <v>3</v>
      </c>
      <c r="M537" s="12">
        <f t="shared" si="165"/>
        <v>0.49233458707602862</v>
      </c>
      <c r="N537">
        <f t="shared" si="162"/>
        <v>5.2890033166812497E-2</v>
      </c>
      <c r="O537">
        <f t="shared" si="166"/>
        <v>0.70166558065507856</v>
      </c>
      <c r="P537" t="s">
        <v>646</v>
      </c>
      <c r="Q537" t="s">
        <v>529</v>
      </c>
      <c r="R537">
        <v>5.5780000000000003</v>
      </c>
      <c r="S537">
        <f t="shared" si="167"/>
        <v>3.9677614678899062</v>
      </c>
      <c r="U537">
        <v>69</v>
      </c>
      <c r="V537" t="s">
        <v>138</v>
      </c>
      <c r="W537">
        <f t="shared" si="168"/>
        <v>42.185483870967744</v>
      </c>
      <c r="Y537">
        <v>2014</v>
      </c>
      <c r="Z537">
        <f>2025-AVERAGE($Y$517:$Y$692)</f>
        <v>11.48863636363626</v>
      </c>
      <c r="AA537">
        <v>0</v>
      </c>
      <c r="AB537">
        <v>0.640831197761496</v>
      </c>
      <c r="AC537" t="s">
        <v>261</v>
      </c>
      <c r="AD537" s="3">
        <v>-0.1</v>
      </c>
      <c r="AE537">
        <v>0</v>
      </c>
      <c r="AF537" t="str">
        <f t="shared" si="142"/>
        <v>Non-US</v>
      </c>
      <c r="AG537">
        <v>5</v>
      </c>
      <c r="AH537">
        <v>1</v>
      </c>
      <c r="AI537">
        <f t="shared" si="169"/>
        <v>3.2903225806451615</v>
      </c>
      <c r="AJ537">
        <f t="shared" si="170"/>
        <v>1.048</v>
      </c>
      <c r="AK537" t="s">
        <v>112</v>
      </c>
      <c r="AL537">
        <v>40</v>
      </c>
      <c r="AM537" t="s">
        <v>140</v>
      </c>
      <c r="AN537" t="s">
        <v>364</v>
      </c>
      <c r="AO537">
        <v>0.78700000000000003</v>
      </c>
    </row>
    <row r="538" spans="1:41" ht="15.6">
      <c r="A538">
        <v>14</v>
      </c>
      <c r="B538" t="s">
        <v>363</v>
      </c>
      <c r="C538" t="s">
        <v>362</v>
      </c>
      <c r="E538" s="3">
        <f t="shared" si="163"/>
        <v>34.659090909090914</v>
      </c>
      <c r="F538">
        <v>2023</v>
      </c>
      <c r="G538">
        <f t="shared" si="171"/>
        <v>2</v>
      </c>
      <c r="H538">
        <v>0.28000000000000003</v>
      </c>
      <c r="I538">
        <v>0.61</v>
      </c>
      <c r="J538">
        <f t="shared" si="164"/>
        <v>176</v>
      </c>
      <c r="K538">
        <v>41</v>
      </c>
      <c r="L538">
        <v>3</v>
      </c>
      <c r="M538" s="12">
        <f t="shared" si="165"/>
        <v>0.49233458707602862</v>
      </c>
      <c r="N538">
        <f t="shared" si="162"/>
        <v>5.2890033166812497E-2</v>
      </c>
      <c r="O538">
        <f t="shared" si="166"/>
        <v>0.70166558065507856</v>
      </c>
      <c r="P538" t="s">
        <v>647</v>
      </c>
      <c r="Q538" t="s">
        <v>751</v>
      </c>
      <c r="R538">
        <v>1.591</v>
      </c>
      <c r="S538">
        <f t="shared" si="167"/>
        <v>3.9677614678899062</v>
      </c>
      <c r="U538">
        <v>50</v>
      </c>
      <c r="V538" t="s">
        <v>138</v>
      </c>
      <c r="W538">
        <f t="shared" si="168"/>
        <v>42.185483870967744</v>
      </c>
      <c r="Y538">
        <v>2019</v>
      </c>
      <c r="Z538">
        <f>2025-AVERAGE($Y$517:$Y$692)</f>
        <v>11.48863636363626</v>
      </c>
      <c r="AA538" t="s">
        <v>261</v>
      </c>
      <c r="AB538">
        <v>0.80721259525098699</v>
      </c>
      <c r="AC538" t="s">
        <v>261</v>
      </c>
      <c r="AE538">
        <v>0</v>
      </c>
      <c r="AF538" t="str">
        <f t="shared" si="142"/>
        <v>Non-US</v>
      </c>
      <c r="AG538">
        <v>3</v>
      </c>
      <c r="AH538">
        <v>1</v>
      </c>
      <c r="AI538">
        <f t="shared" si="169"/>
        <v>3.2903225806451615</v>
      </c>
      <c r="AJ538">
        <f t="shared" si="170"/>
        <v>1.048</v>
      </c>
      <c r="AK538" t="s">
        <v>112</v>
      </c>
      <c r="AL538">
        <v>40</v>
      </c>
      <c r="AM538" t="s">
        <v>140</v>
      </c>
      <c r="AN538" t="s">
        <v>364</v>
      </c>
      <c r="AO538">
        <v>0.78700000000000003</v>
      </c>
    </row>
    <row r="539" spans="1:41" ht="15.6">
      <c r="A539">
        <v>14</v>
      </c>
      <c r="B539" t="s">
        <v>363</v>
      </c>
      <c r="C539" t="s">
        <v>362</v>
      </c>
      <c r="E539" s="3">
        <f t="shared" si="163"/>
        <v>34.659090909090914</v>
      </c>
      <c r="F539">
        <v>2023</v>
      </c>
      <c r="G539">
        <f t="shared" si="171"/>
        <v>2</v>
      </c>
      <c r="H539">
        <v>0.28000000000000003</v>
      </c>
      <c r="I539">
        <v>0.61</v>
      </c>
      <c r="J539">
        <f t="shared" si="164"/>
        <v>176</v>
      </c>
      <c r="K539">
        <v>41</v>
      </c>
      <c r="L539">
        <v>3</v>
      </c>
      <c r="M539" s="12">
        <f t="shared" si="165"/>
        <v>0.49233458707602862</v>
      </c>
      <c r="N539">
        <f t="shared" si="162"/>
        <v>5.2890033166812497E-2</v>
      </c>
      <c r="O539">
        <f t="shared" si="166"/>
        <v>0.70166558065507856</v>
      </c>
      <c r="P539" t="s">
        <v>648</v>
      </c>
      <c r="Q539" t="s">
        <v>527</v>
      </c>
      <c r="R539">
        <v>3.419</v>
      </c>
      <c r="S539">
        <f t="shared" si="167"/>
        <v>3.9677614678899062</v>
      </c>
      <c r="U539">
        <v>32</v>
      </c>
      <c r="V539" t="s">
        <v>138</v>
      </c>
      <c r="W539">
        <f t="shared" si="168"/>
        <v>42.185483870967744</v>
      </c>
      <c r="Y539">
        <v>2006</v>
      </c>
      <c r="Z539">
        <f>2025-AVERAGE($Y$517:$Y$692)</f>
        <v>11.48863636363626</v>
      </c>
      <c r="AA539" t="s">
        <v>261</v>
      </c>
      <c r="AB539" t="s">
        <v>261</v>
      </c>
      <c r="AC539" t="s">
        <v>261</v>
      </c>
      <c r="AE539">
        <v>0</v>
      </c>
      <c r="AF539" t="str">
        <f t="shared" si="142"/>
        <v>Non-US</v>
      </c>
      <c r="AG539">
        <v>2</v>
      </c>
      <c r="AH539">
        <v>1</v>
      </c>
      <c r="AI539">
        <f t="shared" si="169"/>
        <v>3.2903225806451615</v>
      </c>
      <c r="AJ539">
        <f t="shared" si="170"/>
        <v>1.048</v>
      </c>
      <c r="AK539" t="s">
        <v>112</v>
      </c>
      <c r="AL539">
        <v>40</v>
      </c>
      <c r="AM539" t="s">
        <v>140</v>
      </c>
      <c r="AN539" t="s">
        <v>364</v>
      </c>
      <c r="AO539">
        <v>0.78700000000000003</v>
      </c>
    </row>
    <row r="540" spans="1:41" ht="15.6">
      <c r="A540">
        <v>14</v>
      </c>
      <c r="B540" t="s">
        <v>363</v>
      </c>
      <c r="C540" t="s">
        <v>362</v>
      </c>
      <c r="E540" s="3">
        <f t="shared" si="163"/>
        <v>34.659090909090914</v>
      </c>
      <c r="F540">
        <v>2023</v>
      </c>
      <c r="G540">
        <f t="shared" si="171"/>
        <v>2</v>
      </c>
      <c r="H540">
        <v>0.28000000000000003</v>
      </c>
      <c r="I540">
        <v>0.61</v>
      </c>
      <c r="J540">
        <f t="shared" si="164"/>
        <v>176</v>
      </c>
      <c r="K540">
        <v>41</v>
      </c>
      <c r="L540">
        <v>3</v>
      </c>
      <c r="M540" s="12">
        <f t="shared" si="165"/>
        <v>0.49233458707602862</v>
      </c>
      <c r="N540">
        <f t="shared" si="162"/>
        <v>5.2890033166812497E-2</v>
      </c>
      <c r="O540">
        <f t="shared" si="166"/>
        <v>0.70166558065507856</v>
      </c>
      <c r="P540" t="s">
        <v>649</v>
      </c>
      <c r="S540">
        <f t="shared" si="167"/>
        <v>3.9677614678899062</v>
      </c>
      <c r="W540">
        <f t="shared" si="168"/>
        <v>42.185483870967744</v>
      </c>
      <c r="Y540">
        <v>2008</v>
      </c>
      <c r="Z540">
        <f>2025-AVERAGE($Y$517:$Y$692)</f>
        <v>11.48863636363626</v>
      </c>
      <c r="AA540">
        <v>1.8663206767799399E-5</v>
      </c>
      <c r="AB540">
        <v>6.9228468607580602E-3</v>
      </c>
      <c r="AC540">
        <v>0.33999999999999903</v>
      </c>
      <c r="AD540" s="3">
        <v>-0.73</v>
      </c>
      <c r="AE540">
        <v>0</v>
      </c>
      <c r="AF540" t="str">
        <f t="shared" si="142"/>
        <v>Non-US</v>
      </c>
      <c r="AI540">
        <f t="shared" si="169"/>
        <v>3.2903225806451615</v>
      </c>
      <c r="AJ540">
        <f t="shared" si="170"/>
        <v>1.048</v>
      </c>
      <c r="AK540" t="s">
        <v>112</v>
      </c>
      <c r="AL540">
        <v>40</v>
      </c>
      <c r="AM540" t="s">
        <v>140</v>
      </c>
      <c r="AN540" t="s">
        <v>364</v>
      </c>
      <c r="AO540">
        <v>0.78700000000000003</v>
      </c>
    </row>
    <row r="541" spans="1:41" ht="15.6">
      <c r="A541">
        <v>14</v>
      </c>
      <c r="B541" t="s">
        <v>363</v>
      </c>
      <c r="C541" t="s">
        <v>362</v>
      </c>
      <c r="E541" s="3">
        <f t="shared" si="163"/>
        <v>34.659090909090914</v>
      </c>
      <c r="F541">
        <v>2023</v>
      </c>
      <c r="G541">
        <f t="shared" si="171"/>
        <v>2</v>
      </c>
      <c r="H541">
        <v>0.28000000000000003</v>
      </c>
      <c r="I541">
        <v>0.61</v>
      </c>
      <c r="J541">
        <f t="shared" si="164"/>
        <v>176</v>
      </c>
      <c r="K541">
        <v>41</v>
      </c>
      <c r="L541">
        <v>3</v>
      </c>
      <c r="M541" s="12">
        <f t="shared" si="165"/>
        <v>0.49233458707602862</v>
      </c>
      <c r="N541">
        <f t="shared" si="162"/>
        <v>5.2890033166812497E-2</v>
      </c>
      <c r="O541">
        <f t="shared" si="166"/>
        <v>0.70166558065507856</v>
      </c>
      <c r="P541" t="s">
        <v>569</v>
      </c>
      <c r="S541">
        <f t="shared" si="167"/>
        <v>3.9677614678899062</v>
      </c>
      <c r="W541">
        <f t="shared" si="168"/>
        <v>42.185483870967744</v>
      </c>
      <c r="Y541">
        <v>2018</v>
      </c>
      <c r="Z541">
        <f>2025-AVERAGE($Y$517:$Y$692)</f>
        <v>11.48863636363626</v>
      </c>
      <c r="AA541">
        <v>0.82720934952673397</v>
      </c>
      <c r="AB541" t="s">
        <v>261</v>
      </c>
      <c r="AC541">
        <v>7.0000000000000007E-2</v>
      </c>
      <c r="AD541" s="3">
        <v>6.0999999999999999E-2</v>
      </c>
      <c r="AE541">
        <v>0</v>
      </c>
      <c r="AF541" t="str">
        <f t="shared" si="142"/>
        <v>Non-US</v>
      </c>
      <c r="AI541">
        <f t="shared" si="169"/>
        <v>3.2903225806451615</v>
      </c>
      <c r="AJ541">
        <f t="shared" si="170"/>
        <v>1.048</v>
      </c>
      <c r="AK541" t="s">
        <v>112</v>
      </c>
      <c r="AL541">
        <v>40</v>
      </c>
      <c r="AM541" t="s">
        <v>140</v>
      </c>
      <c r="AN541" t="s">
        <v>364</v>
      </c>
      <c r="AO541">
        <v>0.78700000000000003</v>
      </c>
    </row>
    <row r="542" spans="1:41" ht="15.6">
      <c r="A542">
        <v>14</v>
      </c>
      <c r="B542" t="s">
        <v>363</v>
      </c>
      <c r="C542" t="s">
        <v>362</v>
      </c>
      <c r="E542" s="3">
        <f t="shared" si="163"/>
        <v>34.659090909090914</v>
      </c>
      <c r="F542">
        <v>2023</v>
      </c>
      <c r="G542">
        <f t="shared" si="171"/>
        <v>2</v>
      </c>
      <c r="H542">
        <v>0.28000000000000003</v>
      </c>
      <c r="I542">
        <v>0.61</v>
      </c>
      <c r="J542">
        <f t="shared" si="164"/>
        <v>176</v>
      </c>
      <c r="K542">
        <v>41</v>
      </c>
      <c r="L542">
        <v>3</v>
      </c>
      <c r="M542" s="12">
        <f t="shared" si="165"/>
        <v>0.49233458707602862</v>
      </c>
      <c r="N542">
        <f t="shared" si="162"/>
        <v>5.2890033166812497E-2</v>
      </c>
      <c r="O542">
        <f t="shared" si="166"/>
        <v>0.70166558065507856</v>
      </c>
      <c r="P542" t="s">
        <v>650</v>
      </c>
      <c r="S542">
        <f t="shared" si="167"/>
        <v>3.9677614678899062</v>
      </c>
      <c r="W542">
        <f t="shared" si="168"/>
        <v>42.185483870967744</v>
      </c>
      <c r="Y542">
        <v>2006</v>
      </c>
      <c r="Z542">
        <f>2025-AVERAGE($Y$517:$Y$692)</f>
        <v>11.48863636363626</v>
      </c>
      <c r="AA542">
        <v>0</v>
      </c>
      <c r="AB542">
        <v>2.81747341040883E-2</v>
      </c>
      <c r="AC542" t="s">
        <v>261</v>
      </c>
      <c r="AD542" s="3">
        <v>0.4</v>
      </c>
      <c r="AE542">
        <v>0</v>
      </c>
      <c r="AF542" t="str">
        <f t="shared" si="142"/>
        <v>Non-US</v>
      </c>
      <c r="AI542">
        <f t="shared" si="169"/>
        <v>3.2903225806451615</v>
      </c>
      <c r="AJ542">
        <f t="shared" si="170"/>
        <v>1.048</v>
      </c>
      <c r="AK542" t="s">
        <v>112</v>
      </c>
      <c r="AL542">
        <v>40</v>
      </c>
      <c r="AM542" t="s">
        <v>140</v>
      </c>
      <c r="AN542" t="s">
        <v>364</v>
      </c>
      <c r="AO542">
        <v>0.78700000000000003</v>
      </c>
    </row>
    <row r="543" spans="1:41" ht="15.6">
      <c r="A543">
        <v>14</v>
      </c>
      <c r="B543" t="s">
        <v>363</v>
      </c>
      <c r="C543" t="s">
        <v>362</v>
      </c>
      <c r="E543" s="3">
        <f t="shared" si="163"/>
        <v>34.659090909090914</v>
      </c>
      <c r="F543">
        <v>2023</v>
      </c>
      <c r="G543">
        <f t="shared" si="171"/>
        <v>2</v>
      </c>
      <c r="H543">
        <v>0.28000000000000003</v>
      </c>
      <c r="I543">
        <v>0.61</v>
      </c>
      <c r="J543">
        <f t="shared" si="164"/>
        <v>176</v>
      </c>
      <c r="K543">
        <v>41</v>
      </c>
      <c r="L543">
        <v>3</v>
      </c>
      <c r="M543" s="12">
        <f t="shared" si="165"/>
        <v>0.49233458707602862</v>
      </c>
      <c r="N543">
        <f t="shared" si="162"/>
        <v>5.2890033166812497E-2</v>
      </c>
      <c r="O543">
        <f t="shared" si="166"/>
        <v>0.70166558065507856</v>
      </c>
      <c r="P543" t="s">
        <v>651</v>
      </c>
      <c r="Q543" t="s">
        <v>769</v>
      </c>
      <c r="R543">
        <v>6.8710000000000004</v>
      </c>
      <c r="S543">
        <f t="shared" si="167"/>
        <v>3.9677614678899062</v>
      </c>
      <c r="U543">
        <v>98</v>
      </c>
      <c r="V543" t="s">
        <v>138</v>
      </c>
      <c r="W543">
        <f t="shared" si="168"/>
        <v>42.185483870967744</v>
      </c>
      <c r="Y543">
        <v>2022</v>
      </c>
      <c r="Z543">
        <f>2025-AVERAGE($Y$517:$Y$692)</f>
        <v>11.48863636363626</v>
      </c>
      <c r="AA543">
        <v>0</v>
      </c>
      <c r="AB543">
        <v>0.42419730515000897</v>
      </c>
      <c r="AC543" t="s">
        <v>261</v>
      </c>
      <c r="AD543" s="3">
        <v>-0.15</v>
      </c>
      <c r="AE543">
        <v>0</v>
      </c>
      <c r="AF543" t="str">
        <f t="shared" si="142"/>
        <v>Non-US</v>
      </c>
      <c r="AG543">
        <v>2</v>
      </c>
      <c r="AH543">
        <v>1</v>
      </c>
      <c r="AI543">
        <f t="shared" si="169"/>
        <v>3.2903225806451615</v>
      </c>
      <c r="AJ543">
        <f t="shared" si="170"/>
        <v>1.048</v>
      </c>
      <c r="AK543" t="s">
        <v>112</v>
      </c>
      <c r="AL543">
        <v>40</v>
      </c>
      <c r="AM543" t="s">
        <v>140</v>
      </c>
      <c r="AN543" t="s">
        <v>364</v>
      </c>
      <c r="AO543">
        <v>0.78700000000000003</v>
      </c>
    </row>
    <row r="544" spans="1:41" ht="15.6">
      <c r="A544">
        <v>14</v>
      </c>
      <c r="B544" t="s">
        <v>363</v>
      </c>
      <c r="C544" t="s">
        <v>362</v>
      </c>
      <c r="E544" s="3">
        <f t="shared" si="163"/>
        <v>34.659090909090914</v>
      </c>
      <c r="F544">
        <v>2023</v>
      </c>
      <c r="G544">
        <f t="shared" si="171"/>
        <v>2</v>
      </c>
      <c r="H544">
        <v>0.28000000000000003</v>
      </c>
      <c r="I544">
        <v>0.61</v>
      </c>
      <c r="J544">
        <f t="shared" si="164"/>
        <v>176</v>
      </c>
      <c r="K544">
        <v>41</v>
      </c>
      <c r="L544">
        <v>3</v>
      </c>
      <c r="M544" s="12">
        <f t="shared" si="165"/>
        <v>0.49233458707602862</v>
      </c>
      <c r="N544">
        <f t="shared" si="162"/>
        <v>5.2890033166812497E-2</v>
      </c>
      <c r="O544">
        <f t="shared" si="166"/>
        <v>0.70166558065507856</v>
      </c>
      <c r="P544" t="s">
        <v>570</v>
      </c>
      <c r="Q544" t="s">
        <v>460</v>
      </c>
      <c r="R544">
        <v>3.0339999999999998</v>
      </c>
      <c r="S544">
        <f t="shared" si="167"/>
        <v>3.9677614678899062</v>
      </c>
      <c r="U544">
        <v>41</v>
      </c>
      <c r="V544" t="s">
        <v>753</v>
      </c>
      <c r="W544">
        <f t="shared" si="168"/>
        <v>42.185483870967744</v>
      </c>
      <c r="Y544">
        <v>2003</v>
      </c>
      <c r="Z544">
        <f>2025-AVERAGE($Y$517:$Y$692)</f>
        <v>11.48863636363626</v>
      </c>
      <c r="AA544">
        <v>0.58440500319155197</v>
      </c>
      <c r="AB544" t="s">
        <v>261</v>
      </c>
      <c r="AC544">
        <v>0.71052631578947301</v>
      </c>
      <c r="AD544" s="3">
        <v>0.78571428571428503</v>
      </c>
      <c r="AE544">
        <v>0</v>
      </c>
      <c r="AF544" t="str">
        <f t="shared" si="142"/>
        <v>Non-US</v>
      </c>
      <c r="AG544">
        <v>3</v>
      </c>
      <c r="AH544">
        <v>1</v>
      </c>
      <c r="AI544">
        <f t="shared" si="169"/>
        <v>3.2903225806451615</v>
      </c>
      <c r="AJ544">
        <f t="shared" si="170"/>
        <v>1.048</v>
      </c>
      <c r="AK544" t="s">
        <v>112</v>
      </c>
      <c r="AL544">
        <v>40</v>
      </c>
      <c r="AM544" t="s">
        <v>140</v>
      </c>
      <c r="AN544" t="s">
        <v>364</v>
      </c>
      <c r="AO544">
        <v>0.78700000000000003</v>
      </c>
    </row>
    <row r="545" spans="1:41" ht="15.6">
      <c r="A545">
        <v>14</v>
      </c>
      <c r="B545" t="s">
        <v>363</v>
      </c>
      <c r="C545" t="s">
        <v>362</v>
      </c>
      <c r="E545" s="3">
        <f t="shared" si="163"/>
        <v>34.659090909090914</v>
      </c>
      <c r="F545">
        <v>2023</v>
      </c>
      <c r="G545">
        <f t="shared" si="171"/>
        <v>2</v>
      </c>
      <c r="H545">
        <v>0.28000000000000003</v>
      </c>
      <c r="I545">
        <v>0.61</v>
      </c>
      <c r="J545">
        <f t="shared" si="164"/>
        <v>176</v>
      </c>
      <c r="K545">
        <v>41</v>
      </c>
      <c r="L545">
        <v>3</v>
      </c>
      <c r="M545" s="12">
        <f t="shared" si="165"/>
        <v>0.49233458707602862</v>
      </c>
      <c r="N545">
        <f t="shared" si="162"/>
        <v>5.2890033166812497E-2</v>
      </c>
      <c r="O545">
        <f t="shared" si="166"/>
        <v>0.70166558065507856</v>
      </c>
      <c r="P545" t="s">
        <v>571</v>
      </c>
      <c r="S545">
        <f t="shared" si="167"/>
        <v>3.9677614678899062</v>
      </c>
      <c r="W545">
        <f t="shared" si="168"/>
        <v>42.185483870967744</v>
      </c>
      <c r="Y545">
        <v>1999</v>
      </c>
      <c r="Z545">
        <f>2025-AVERAGE($Y$517:$Y$692)</f>
        <v>11.48863636363626</v>
      </c>
      <c r="AA545">
        <v>0.21646401396468701</v>
      </c>
      <c r="AB545">
        <v>0.87874642868991104</v>
      </c>
      <c r="AC545">
        <v>0.77</v>
      </c>
      <c r="AD545" s="3">
        <v>0.08</v>
      </c>
      <c r="AE545">
        <v>0</v>
      </c>
      <c r="AF545" t="str">
        <f t="shared" si="142"/>
        <v>Non-US</v>
      </c>
      <c r="AI545">
        <f t="shared" si="169"/>
        <v>3.2903225806451615</v>
      </c>
      <c r="AJ545">
        <f t="shared" si="170"/>
        <v>1.048</v>
      </c>
      <c r="AK545" t="s">
        <v>112</v>
      </c>
      <c r="AL545">
        <v>40</v>
      </c>
      <c r="AM545" t="s">
        <v>140</v>
      </c>
      <c r="AN545" t="s">
        <v>364</v>
      </c>
      <c r="AO545">
        <v>0.78700000000000003</v>
      </c>
    </row>
    <row r="546" spans="1:41" ht="15.6">
      <c r="A546">
        <v>14</v>
      </c>
      <c r="B546" t="s">
        <v>363</v>
      </c>
      <c r="C546" t="s">
        <v>362</v>
      </c>
      <c r="E546" s="3">
        <f t="shared" si="163"/>
        <v>34.659090909090914</v>
      </c>
      <c r="F546">
        <v>2023</v>
      </c>
      <c r="G546">
        <f t="shared" si="171"/>
        <v>2</v>
      </c>
      <c r="H546">
        <v>0.28000000000000003</v>
      </c>
      <c r="I546">
        <v>0.61</v>
      </c>
      <c r="J546">
        <f t="shared" si="164"/>
        <v>176</v>
      </c>
      <c r="K546">
        <v>41</v>
      </c>
      <c r="L546">
        <v>3</v>
      </c>
      <c r="M546" s="12">
        <f t="shared" si="165"/>
        <v>0.49233458707602862</v>
      </c>
      <c r="N546">
        <f t="shared" si="162"/>
        <v>5.2890033166812497E-2</v>
      </c>
      <c r="O546">
        <f t="shared" si="166"/>
        <v>0.70166558065507856</v>
      </c>
      <c r="P546" t="s">
        <v>572</v>
      </c>
      <c r="S546">
        <f t="shared" si="167"/>
        <v>3.9677614678899062</v>
      </c>
      <c r="W546">
        <f t="shared" si="168"/>
        <v>42.185483870967744</v>
      </c>
      <c r="Y546">
        <v>2015</v>
      </c>
      <c r="Z546">
        <f>2025-AVERAGE($Y$517:$Y$692)</f>
        <v>11.48863636363626</v>
      </c>
      <c r="AA546">
        <v>0.96492016163830396</v>
      </c>
      <c r="AB546">
        <v>1.9172336384736901E-5</v>
      </c>
      <c r="AC546" t="s">
        <v>261</v>
      </c>
      <c r="AD546" s="3">
        <v>1.3</v>
      </c>
      <c r="AE546">
        <v>0</v>
      </c>
      <c r="AF546" t="str">
        <f t="shared" si="142"/>
        <v>Non-US</v>
      </c>
      <c r="AI546">
        <f t="shared" si="169"/>
        <v>3.2903225806451615</v>
      </c>
      <c r="AJ546">
        <f t="shared" si="170"/>
        <v>1.048</v>
      </c>
      <c r="AK546" t="s">
        <v>112</v>
      </c>
      <c r="AL546">
        <v>40</v>
      </c>
      <c r="AM546" t="s">
        <v>140</v>
      </c>
      <c r="AN546" t="s">
        <v>364</v>
      </c>
      <c r="AO546">
        <v>0.78700000000000003</v>
      </c>
    </row>
    <row r="547" spans="1:41" ht="15.6">
      <c r="A547">
        <v>14</v>
      </c>
      <c r="B547" t="s">
        <v>363</v>
      </c>
      <c r="C547" t="s">
        <v>362</v>
      </c>
      <c r="E547" s="3">
        <f t="shared" si="163"/>
        <v>34.659090909090914</v>
      </c>
      <c r="F547">
        <v>2023</v>
      </c>
      <c r="G547">
        <f t="shared" si="171"/>
        <v>2</v>
      </c>
      <c r="H547">
        <v>0.28000000000000003</v>
      </c>
      <c r="I547">
        <v>0.61</v>
      </c>
      <c r="J547">
        <f t="shared" si="164"/>
        <v>176</v>
      </c>
      <c r="K547">
        <v>41</v>
      </c>
      <c r="L547">
        <v>3</v>
      </c>
      <c r="M547" s="12">
        <f t="shared" si="165"/>
        <v>0.49233458707602862</v>
      </c>
      <c r="N547">
        <f t="shared" si="162"/>
        <v>5.2890033166812497E-2</v>
      </c>
      <c r="O547">
        <f t="shared" si="166"/>
        <v>0.70166558065507856</v>
      </c>
      <c r="P547" t="s">
        <v>573</v>
      </c>
      <c r="Q547" t="s">
        <v>111</v>
      </c>
      <c r="R547">
        <v>13.481</v>
      </c>
      <c r="S547">
        <f t="shared" si="167"/>
        <v>3.9677614678899062</v>
      </c>
      <c r="U547">
        <v>15</v>
      </c>
      <c r="V547" t="s">
        <v>138</v>
      </c>
      <c r="W547">
        <f t="shared" si="168"/>
        <v>42.185483870967744</v>
      </c>
      <c r="Y547">
        <v>2010</v>
      </c>
      <c r="Z547">
        <f>2025-AVERAGE($Y$517:$Y$692)</f>
        <v>11.48863636363626</v>
      </c>
      <c r="AA547">
        <v>0.59491503367610399</v>
      </c>
      <c r="AB547">
        <v>5.9000611466771603E-5</v>
      </c>
      <c r="AC547" t="s">
        <v>261</v>
      </c>
      <c r="AD547" s="3">
        <v>0.3</v>
      </c>
      <c r="AE547">
        <v>0</v>
      </c>
      <c r="AF547" t="str">
        <f t="shared" si="142"/>
        <v>Non-US</v>
      </c>
      <c r="AG547">
        <v>4</v>
      </c>
      <c r="AH547">
        <v>1</v>
      </c>
      <c r="AI547">
        <f t="shared" si="169"/>
        <v>3.2903225806451615</v>
      </c>
      <c r="AJ547">
        <f t="shared" si="170"/>
        <v>1.048</v>
      </c>
      <c r="AK547" t="s">
        <v>112</v>
      </c>
      <c r="AL547">
        <v>40</v>
      </c>
      <c r="AM547" t="s">
        <v>140</v>
      </c>
      <c r="AN547" t="s">
        <v>364</v>
      </c>
      <c r="AO547">
        <v>0.78700000000000003</v>
      </c>
    </row>
    <row r="548" spans="1:41" ht="15.6">
      <c r="A548">
        <v>14</v>
      </c>
      <c r="B548" t="s">
        <v>363</v>
      </c>
      <c r="C548" t="s">
        <v>362</v>
      </c>
      <c r="E548" s="3">
        <f t="shared" si="163"/>
        <v>34.659090909090914</v>
      </c>
      <c r="F548">
        <v>2023</v>
      </c>
      <c r="G548">
        <f t="shared" si="171"/>
        <v>2</v>
      </c>
      <c r="H548">
        <v>0.28000000000000003</v>
      </c>
      <c r="I548">
        <v>0.61</v>
      </c>
      <c r="J548">
        <f t="shared" si="164"/>
        <v>176</v>
      </c>
      <c r="K548">
        <v>41</v>
      </c>
      <c r="L548">
        <v>3</v>
      </c>
      <c r="M548" s="12">
        <f t="shared" si="165"/>
        <v>0.49233458707602862</v>
      </c>
      <c r="N548">
        <f t="shared" si="162"/>
        <v>5.2890033166812497E-2</v>
      </c>
      <c r="O548">
        <f t="shared" si="166"/>
        <v>0.70166558065507856</v>
      </c>
      <c r="P548" t="s">
        <v>652</v>
      </c>
      <c r="Q548" t="s">
        <v>527</v>
      </c>
      <c r="R548">
        <v>3.6070000000000002</v>
      </c>
      <c r="S548">
        <f t="shared" si="167"/>
        <v>3.9677614678899062</v>
      </c>
      <c r="U548">
        <v>10</v>
      </c>
      <c r="V548" t="s">
        <v>138</v>
      </c>
      <c r="W548">
        <f t="shared" si="168"/>
        <v>42.185483870967744</v>
      </c>
      <c r="Y548">
        <v>2008</v>
      </c>
      <c r="Z548">
        <f>2025-AVERAGE($Y$517:$Y$692)</f>
        <v>11.48863636363626</v>
      </c>
      <c r="AA548" t="s">
        <v>261</v>
      </c>
      <c r="AB548">
        <v>0.22669482184815101</v>
      </c>
      <c r="AC548" t="s">
        <v>261</v>
      </c>
      <c r="AE548">
        <v>0</v>
      </c>
      <c r="AF548" t="str">
        <f t="shared" si="142"/>
        <v>Non-US</v>
      </c>
      <c r="AG548">
        <v>3</v>
      </c>
      <c r="AH548">
        <v>1</v>
      </c>
      <c r="AI548">
        <f t="shared" si="169"/>
        <v>3.2903225806451615</v>
      </c>
      <c r="AJ548">
        <f t="shared" si="170"/>
        <v>1.048</v>
      </c>
      <c r="AK548" t="s">
        <v>112</v>
      </c>
      <c r="AL548">
        <v>40</v>
      </c>
      <c r="AM548" t="s">
        <v>140</v>
      </c>
      <c r="AN548" t="s">
        <v>364</v>
      </c>
      <c r="AO548">
        <v>0.78700000000000003</v>
      </c>
    </row>
    <row r="549" spans="1:41" s="3" customFormat="1" ht="15.6">
      <c r="A549">
        <v>14</v>
      </c>
      <c r="B549" s="3" t="s">
        <v>363</v>
      </c>
      <c r="C549" s="3" t="s">
        <v>362</v>
      </c>
      <c r="E549" s="3">
        <f t="shared" si="163"/>
        <v>34.659090909090914</v>
      </c>
      <c r="F549">
        <v>2023</v>
      </c>
      <c r="G549">
        <f t="shared" si="171"/>
        <v>2</v>
      </c>
      <c r="H549" s="3">
        <v>0.28000000000000003</v>
      </c>
      <c r="I549" s="3">
        <v>0.61</v>
      </c>
      <c r="J549" s="3">
        <f t="shared" si="164"/>
        <v>176</v>
      </c>
      <c r="K549" s="3">
        <v>41</v>
      </c>
      <c r="L549" s="3">
        <v>3</v>
      </c>
      <c r="M549" s="12">
        <f t="shared" si="165"/>
        <v>0.49233458707602862</v>
      </c>
      <c r="N549" s="3">
        <f t="shared" ref="N549:N580" si="172">$O$517/SQRT($J$517)</f>
        <v>5.2890033166812497E-2</v>
      </c>
      <c r="O549" s="3">
        <f t="shared" si="166"/>
        <v>0.70166558065507856</v>
      </c>
      <c r="P549" s="3" t="s">
        <v>574</v>
      </c>
      <c r="S549" s="3">
        <f t="shared" si="167"/>
        <v>3.9677614678899062</v>
      </c>
      <c r="W549" s="3">
        <f t="shared" si="168"/>
        <v>42.185483870967744</v>
      </c>
      <c r="Y549" s="3">
        <v>2009</v>
      </c>
      <c r="Z549" s="3">
        <f>2025-AVERAGE($Y$517:$Y$692)</f>
        <v>11.48863636363626</v>
      </c>
      <c r="AA549" s="3">
        <v>5.5927783638130203E-2</v>
      </c>
      <c r="AB549" s="3">
        <v>4.1339562062653497E-2</v>
      </c>
      <c r="AC549" s="3" t="s">
        <v>261</v>
      </c>
      <c r="AD549" s="3">
        <v>1.2</v>
      </c>
      <c r="AE549" s="3">
        <v>0</v>
      </c>
      <c r="AF549" s="3" t="str">
        <f t="shared" si="142"/>
        <v>Non-US</v>
      </c>
      <c r="AI549" s="3">
        <f t="shared" si="169"/>
        <v>3.2903225806451615</v>
      </c>
      <c r="AJ549" s="3">
        <f t="shared" si="170"/>
        <v>1.048</v>
      </c>
      <c r="AK549" s="3" t="s">
        <v>112</v>
      </c>
      <c r="AL549" s="3">
        <v>40</v>
      </c>
      <c r="AM549" s="3" t="s">
        <v>140</v>
      </c>
      <c r="AN549" s="3" t="s">
        <v>364</v>
      </c>
      <c r="AO549" s="3">
        <v>0.78700000000000003</v>
      </c>
    </row>
    <row r="550" spans="1:41" ht="15.6">
      <c r="A550">
        <v>14</v>
      </c>
      <c r="B550" t="s">
        <v>363</v>
      </c>
      <c r="C550" t="s">
        <v>362</v>
      </c>
      <c r="E550" s="3">
        <f t="shared" si="163"/>
        <v>34.659090909090914</v>
      </c>
      <c r="F550">
        <v>2023</v>
      </c>
      <c r="G550">
        <f t="shared" si="171"/>
        <v>2</v>
      </c>
      <c r="H550">
        <v>0.28000000000000003</v>
      </c>
      <c r="I550">
        <v>0.61</v>
      </c>
      <c r="J550">
        <f t="shared" si="164"/>
        <v>176</v>
      </c>
      <c r="K550">
        <v>41</v>
      </c>
      <c r="L550">
        <v>3</v>
      </c>
      <c r="M550" s="12">
        <f t="shared" si="165"/>
        <v>0.49233458707602862</v>
      </c>
      <c r="N550">
        <f t="shared" si="172"/>
        <v>5.2890033166812497E-2</v>
      </c>
      <c r="O550">
        <f t="shared" si="166"/>
        <v>0.70166558065507856</v>
      </c>
      <c r="P550" t="s">
        <v>653</v>
      </c>
      <c r="S550">
        <f t="shared" si="167"/>
        <v>3.9677614678899062</v>
      </c>
      <c r="W550">
        <f t="shared" si="168"/>
        <v>42.185483870967744</v>
      </c>
      <c r="Y550">
        <v>2015</v>
      </c>
      <c r="Z550">
        <f>2025-AVERAGE($Y$517:$Y$692)</f>
        <v>11.48863636363626</v>
      </c>
      <c r="AA550">
        <v>2.8581954809907498E-3</v>
      </c>
      <c r="AB550">
        <v>0.34977419491525102</v>
      </c>
      <c r="AC550" t="s">
        <v>261</v>
      </c>
      <c r="AD550" s="3">
        <v>0.3</v>
      </c>
      <c r="AE550">
        <v>0</v>
      </c>
      <c r="AF550" t="str">
        <f t="shared" si="142"/>
        <v>Non-US</v>
      </c>
      <c r="AI550">
        <f t="shared" si="169"/>
        <v>3.2903225806451615</v>
      </c>
      <c r="AJ550">
        <f t="shared" si="170"/>
        <v>1.048</v>
      </c>
      <c r="AK550" t="s">
        <v>112</v>
      </c>
      <c r="AL550">
        <v>40</v>
      </c>
      <c r="AM550" t="s">
        <v>140</v>
      </c>
      <c r="AN550" t="s">
        <v>364</v>
      </c>
      <c r="AO550">
        <v>0.78700000000000003</v>
      </c>
    </row>
    <row r="551" spans="1:41" ht="15.6">
      <c r="A551">
        <v>14</v>
      </c>
      <c r="B551" t="s">
        <v>363</v>
      </c>
      <c r="C551" t="s">
        <v>362</v>
      </c>
      <c r="E551" s="3">
        <f t="shared" si="163"/>
        <v>34.659090909090914</v>
      </c>
      <c r="F551">
        <v>2023</v>
      </c>
      <c r="G551">
        <f t="shared" si="171"/>
        <v>2</v>
      </c>
      <c r="H551">
        <v>0.28000000000000003</v>
      </c>
      <c r="I551">
        <v>0.61</v>
      </c>
      <c r="J551">
        <f t="shared" si="164"/>
        <v>176</v>
      </c>
      <c r="K551">
        <v>41</v>
      </c>
      <c r="L551">
        <v>3</v>
      </c>
      <c r="M551" s="12">
        <f t="shared" si="165"/>
        <v>0.49233458707602862</v>
      </c>
      <c r="N551">
        <f t="shared" si="172"/>
        <v>5.2890033166812497E-2</v>
      </c>
      <c r="O551">
        <f t="shared" si="166"/>
        <v>0.70166558065507856</v>
      </c>
      <c r="P551" t="s">
        <v>654</v>
      </c>
      <c r="S551">
        <f t="shared" si="167"/>
        <v>3.9677614678899062</v>
      </c>
      <c r="W551">
        <f t="shared" si="168"/>
        <v>42.185483870967744</v>
      </c>
      <c r="Y551">
        <v>2012</v>
      </c>
      <c r="Z551">
        <f>2025-AVERAGE($Y$517:$Y$692)</f>
        <v>11.48863636363626</v>
      </c>
      <c r="AA551">
        <v>0</v>
      </c>
      <c r="AB551">
        <v>0.53182133645479202</v>
      </c>
      <c r="AC551" t="s">
        <v>261</v>
      </c>
      <c r="AD551" s="3">
        <v>0.2</v>
      </c>
      <c r="AE551">
        <v>0</v>
      </c>
      <c r="AF551" t="str">
        <f t="shared" si="142"/>
        <v>Non-US</v>
      </c>
      <c r="AI551">
        <f t="shared" si="169"/>
        <v>3.2903225806451615</v>
      </c>
      <c r="AJ551">
        <f t="shared" si="170"/>
        <v>1.048</v>
      </c>
      <c r="AK551" t="s">
        <v>112</v>
      </c>
      <c r="AL551">
        <v>40</v>
      </c>
      <c r="AM551" t="s">
        <v>140</v>
      </c>
      <c r="AN551" t="s">
        <v>364</v>
      </c>
      <c r="AO551">
        <v>0.78700000000000003</v>
      </c>
    </row>
    <row r="552" spans="1:41" ht="15.6">
      <c r="A552">
        <v>14</v>
      </c>
      <c r="B552" t="s">
        <v>363</v>
      </c>
      <c r="C552" t="s">
        <v>362</v>
      </c>
      <c r="E552" s="3">
        <f t="shared" si="163"/>
        <v>34.659090909090914</v>
      </c>
      <c r="F552">
        <v>2023</v>
      </c>
      <c r="G552">
        <f t="shared" si="171"/>
        <v>2</v>
      </c>
      <c r="H552">
        <v>0.28000000000000003</v>
      </c>
      <c r="I552">
        <v>0.61</v>
      </c>
      <c r="J552">
        <f t="shared" si="164"/>
        <v>176</v>
      </c>
      <c r="K552">
        <v>41</v>
      </c>
      <c r="L552">
        <v>3</v>
      </c>
      <c r="M552" s="12">
        <f t="shared" si="165"/>
        <v>0.49233458707602862</v>
      </c>
      <c r="N552">
        <f t="shared" si="172"/>
        <v>5.2890033166812497E-2</v>
      </c>
      <c r="O552">
        <f t="shared" si="166"/>
        <v>0.70166558065507856</v>
      </c>
      <c r="P552" t="s">
        <v>655</v>
      </c>
      <c r="Q552" t="s">
        <v>522</v>
      </c>
      <c r="R552">
        <v>2.8740000000000001</v>
      </c>
      <c r="S552">
        <f t="shared" si="167"/>
        <v>3.9677614678899062</v>
      </c>
      <c r="U552">
        <v>44</v>
      </c>
      <c r="V552" t="s">
        <v>138</v>
      </c>
      <c r="W552">
        <f t="shared" si="168"/>
        <v>42.185483870967744</v>
      </c>
      <c r="Y552">
        <v>2008</v>
      </c>
      <c r="Z552">
        <f>2025-AVERAGE($Y$517:$Y$692)</f>
        <v>11.48863636363626</v>
      </c>
      <c r="AA552">
        <v>4.3993243892788102E-2</v>
      </c>
      <c r="AB552">
        <v>4.28962951808074E-5</v>
      </c>
      <c r="AC552">
        <v>16.459999999999901</v>
      </c>
      <c r="AD552" s="3">
        <v>0.6</v>
      </c>
      <c r="AE552">
        <v>0</v>
      </c>
      <c r="AF552" t="str">
        <f t="shared" si="142"/>
        <v>Non-US</v>
      </c>
      <c r="AG552">
        <v>4</v>
      </c>
      <c r="AH552">
        <v>1</v>
      </c>
      <c r="AI552">
        <f t="shared" si="169"/>
        <v>3.2903225806451615</v>
      </c>
      <c r="AJ552">
        <f t="shared" si="170"/>
        <v>1.048</v>
      </c>
      <c r="AK552" t="s">
        <v>112</v>
      </c>
      <c r="AL552">
        <v>40</v>
      </c>
      <c r="AM552" t="s">
        <v>140</v>
      </c>
      <c r="AN552" t="s">
        <v>364</v>
      </c>
      <c r="AO552">
        <v>0.78700000000000003</v>
      </c>
    </row>
    <row r="553" spans="1:41" ht="15.6">
      <c r="A553">
        <v>14</v>
      </c>
      <c r="B553" t="s">
        <v>363</v>
      </c>
      <c r="C553" t="s">
        <v>362</v>
      </c>
      <c r="E553" s="3">
        <f t="shared" si="163"/>
        <v>34.659090909090914</v>
      </c>
      <c r="F553">
        <v>2023</v>
      </c>
      <c r="G553">
        <f t="shared" si="171"/>
        <v>2</v>
      </c>
      <c r="H553">
        <v>0.28000000000000003</v>
      </c>
      <c r="I553">
        <v>0.61</v>
      </c>
      <c r="J553">
        <f t="shared" si="164"/>
        <v>176</v>
      </c>
      <c r="K553">
        <v>41</v>
      </c>
      <c r="L553">
        <v>3</v>
      </c>
      <c r="M553" s="12">
        <f t="shared" si="165"/>
        <v>0.49233458707602862</v>
      </c>
      <c r="N553">
        <f t="shared" si="172"/>
        <v>5.2890033166812497E-2</v>
      </c>
      <c r="O553">
        <f t="shared" si="166"/>
        <v>0.70166558065507856</v>
      </c>
      <c r="P553" t="s">
        <v>656</v>
      </c>
      <c r="Q553" t="s">
        <v>111</v>
      </c>
      <c r="R553">
        <v>12.41</v>
      </c>
      <c r="S553">
        <f t="shared" si="167"/>
        <v>3.9677614678899062</v>
      </c>
      <c r="U553">
        <v>46</v>
      </c>
      <c r="V553" t="s">
        <v>138</v>
      </c>
      <c r="W553">
        <f t="shared" si="168"/>
        <v>42.185483870967744</v>
      </c>
      <c r="Y553">
        <v>2013</v>
      </c>
      <c r="Z553">
        <f>2025-AVERAGE($Y$517:$Y$692)</f>
        <v>11.48863636363626</v>
      </c>
      <c r="AA553">
        <v>3.3153109753034198E-2</v>
      </c>
      <c r="AB553">
        <v>0.266690424017411</v>
      </c>
      <c r="AC553" t="s">
        <v>261</v>
      </c>
      <c r="AD553" s="3">
        <v>0.38</v>
      </c>
      <c r="AE553">
        <v>0</v>
      </c>
      <c r="AF553" t="str">
        <f t="shared" si="142"/>
        <v>Non-US</v>
      </c>
      <c r="AG553">
        <v>4</v>
      </c>
      <c r="AH553">
        <v>1</v>
      </c>
      <c r="AI553">
        <f t="shared" si="169"/>
        <v>3.2903225806451615</v>
      </c>
      <c r="AJ553">
        <f t="shared" si="170"/>
        <v>1.048</v>
      </c>
      <c r="AK553" t="s">
        <v>112</v>
      </c>
      <c r="AL553">
        <v>40</v>
      </c>
      <c r="AM553" t="s">
        <v>140</v>
      </c>
      <c r="AN553" t="s">
        <v>364</v>
      </c>
      <c r="AO553">
        <v>0.78700000000000003</v>
      </c>
    </row>
    <row r="554" spans="1:41" ht="15.6">
      <c r="A554">
        <v>14</v>
      </c>
      <c r="B554" t="s">
        <v>363</v>
      </c>
      <c r="C554" t="s">
        <v>362</v>
      </c>
      <c r="E554" s="3">
        <f t="shared" si="163"/>
        <v>34.659090909090914</v>
      </c>
      <c r="F554">
        <v>2023</v>
      </c>
      <c r="G554">
        <f t="shared" si="171"/>
        <v>2</v>
      </c>
      <c r="H554">
        <v>0.28000000000000003</v>
      </c>
      <c r="I554">
        <v>0.61</v>
      </c>
      <c r="J554">
        <f t="shared" si="164"/>
        <v>176</v>
      </c>
      <c r="K554">
        <v>41</v>
      </c>
      <c r="L554">
        <v>3</v>
      </c>
      <c r="M554" s="12">
        <f t="shared" si="165"/>
        <v>0.49233458707602862</v>
      </c>
      <c r="N554">
        <f t="shared" si="172"/>
        <v>5.2890033166812497E-2</v>
      </c>
      <c r="O554">
        <f t="shared" si="166"/>
        <v>0.70166558065507856</v>
      </c>
      <c r="P554" t="s">
        <v>575</v>
      </c>
      <c r="S554">
        <f t="shared" si="167"/>
        <v>3.9677614678899062</v>
      </c>
      <c r="W554">
        <f t="shared" si="168"/>
        <v>42.185483870967744</v>
      </c>
      <c r="Y554">
        <v>2014</v>
      </c>
      <c r="Z554">
        <f>2025-AVERAGE($Y$517:$Y$692)</f>
        <v>11.48863636363626</v>
      </c>
      <c r="AA554">
        <v>5.9670870592585003E-2</v>
      </c>
      <c r="AB554">
        <v>2.26713058255987E-2</v>
      </c>
      <c r="AC554" t="s">
        <v>261</v>
      </c>
      <c r="AD554" s="3">
        <v>0.8</v>
      </c>
      <c r="AE554">
        <v>0</v>
      </c>
      <c r="AF554" t="str">
        <f t="shared" si="142"/>
        <v>Non-US</v>
      </c>
      <c r="AI554">
        <f t="shared" si="169"/>
        <v>3.2903225806451615</v>
      </c>
      <c r="AJ554">
        <f t="shared" si="170"/>
        <v>1.048</v>
      </c>
      <c r="AK554" t="s">
        <v>112</v>
      </c>
      <c r="AL554">
        <v>40</v>
      </c>
      <c r="AM554" t="s">
        <v>140</v>
      </c>
      <c r="AN554" t="s">
        <v>364</v>
      </c>
      <c r="AO554">
        <v>0.78700000000000003</v>
      </c>
    </row>
    <row r="555" spans="1:41" ht="15.6">
      <c r="A555">
        <v>14</v>
      </c>
      <c r="B555" t="s">
        <v>363</v>
      </c>
      <c r="C555" t="s">
        <v>362</v>
      </c>
      <c r="E555" s="3">
        <f t="shared" si="163"/>
        <v>34.659090909090914</v>
      </c>
      <c r="F555">
        <v>2023</v>
      </c>
      <c r="G555">
        <f t="shared" si="171"/>
        <v>2</v>
      </c>
      <c r="H555">
        <v>0.28000000000000003</v>
      </c>
      <c r="I555">
        <v>0.61</v>
      </c>
      <c r="J555">
        <f t="shared" si="164"/>
        <v>176</v>
      </c>
      <c r="K555">
        <v>41</v>
      </c>
      <c r="L555">
        <v>3</v>
      </c>
      <c r="M555" s="12">
        <f t="shared" si="165"/>
        <v>0.49233458707602862</v>
      </c>
      <c r="N555">
        <f t="shared" si="172"/>
        <v>5.2890033166812497E-2</v>
      </c>
      <c r="O555">
        <f t="shared" si="166"/>
        <v>0.70166558065507856</v>
      </c>
      <c r="P555" t="s">
        <v>657</v>
      </c>
      <c r="S555">
        <f t="shared" si="167"/>
        <v>3.9677614678899062</v>
      </c>
      <c r="W555">
        <f t="shared" si="168"/>
        <v>42.185483870967744</v>
      </c>
      <c r="Y555">
        <v>2008</v>
      </c>
      <c r="Z555">
        <f>2025-AVERAGE($Y$517:$Y$692)</f>
        <v>11.48863636363626</v>
      </c>
      <c r="AA555">
        <v>4.4408920985006202E-16</v>
      </c>
      <c r="AB555">
        <v>0.23650325725882401</v>
      </c>
      <c r="AC555">
        <v>2.52</v>
      </c>
      <c r="AD555" s="3">
        <v>-0.25</v>
      </c>
      <c r="AE555">
        <v>0</v>
      </c>
      <c r="AF555" t="str">
        <f t="shared" si="142"/>
        <v>Non-US</v>
      </c>
      <c r="AI555">
        <f t="shared" si="169"/>
        <v>3.2903225806451615</v>
      </c>
      <c r="AJ555">
        <f t="shared" si="170"/>
        <v>1.048</v>
      </c>
      <c r="AK555" t="s">
        <v>112</v>
      </c>
      <c r="AL555">
        <v>40</v>
      </c>
      <c r="AM555" t="s">
        <v>140</v>
      </c>
      <c r="AN555" t="s">
        <v>364</v>
      </c>
      <c r="AO555">
        <v>0.78700000000000003</v>
      </c>
    </row>
    <row r="556" spans="1:41" ht="15.6">
      <c r="A556">
        <v>14</v>
      </c>
      <c r="B556" t="s">
        <v>363</v>
      </c>
      <c r="C556" t="s">
        <v>362</v>
      </c>
      <c r="E556" s="3">
        <f t="shared" si="163"/>
        <v>34.659090909090914</v>
      </c>
      <c r="F556">
        <v>2023</v>
      </c>
      <c r="G556">
        <f t="shared" si="171"/>
        <v>2</v>
      </c>
      <c r="H556">
        <v>0.28000000000000003</v>
      </c>
      <c r="I556">
        <v>0.61</v>
      </c>
      <c r="J556">
        <f t="shared" si="164"/>
        <v>176</v>
      </c>
      <c r="K556">
        <v>41</v>
      </c>
      <c r="L556">
        <v>3</v>
      </c>
      <c r="M556" s="12">
        <f t="shared" si="165"/>
        <v>0.49233458707602862</v>
      </c>
      <c r="N556">
        <f t="shared" si="172"/>
        <v>5.2890033166812497E-2</v>
      </c>
      <c r="O556">
        <f t="shared" si="166"/>
        <v>0.70166558065507856</v>
      </c>
      <c r="P556" t="s">
        <v>658</v>
      </c>
      <c r="S556">
        <f t="shared" si="167"/>
        <v>3.9677614678899062</v>
      </c>
      <c r="W556">
        <f t="shared" si="168"/>
        <v>42.185483870967744</v>
      </c>
      <c r="Y556">
        <v>2016</v>
      </c>
      <c r="Z556">
        <f>2025-AVERAGE($Y$517:$Y$692)</f>
        <v>11.48863636363626</v>
      </c>
      <c r="AA556">
        <v>6.6340020551147695E-4</v>
      </c>
      <c r="AB556">
        <v>2.0874271246719499E-2</v>
      </c>
      <c r="AC556">
        <v>2.76</v>
      </c>
      <c r="AD556" s="3">
        <v>1.2234849999999999</v>
      </c>
      <c r="AE556">
        <v>0</v>
      </c>
      <c r="AF556" t="str">
        <f t="shared" si="142"/>
        <v>Non-US</v>
      </c>
      <c r="AI556">
        <f t="shared" si="169"/>
        <v>3.2903225806451615</v>
      </c>
      <c r="AJ556">
        <f t="shared" si="170"/>
        <v>1.048</v>
      </c>
      <c r="AK556" t="s">
        <v>112</v>
      </c>
      <c r="AL556">
        <v>40</v>
      </c>
      <c r="AM556" t="s">
        <v>140</v>
      </c>
      <c r="AN556" t="s">
        <v>364</v>
      </c>
      <c r="AO556">
        <v>0.78700000000000003</v>
      </c>
    </row>
    <row r="557" spans="1:41" ht="15.6">
      <c r="A557">
        <v>14</v>
      </c>
      <c r="B557" t="s">
        <v>363</v>
      </c>
      <c r="C557" t="s">
        <v>362</v>
      </c>
      <c r="E557" s="3">
        <f t="shared" si="163"/>
        <v>34.659090909090914</v>
      </c>
      <c r="F557">
        <v>2023</v>
      </c>
      <c r="G557">
        <f t="shared" si="171"/>
        <v>2</v>
      </c>
      <c r="H557">
        <v>0.28000000000000003</v>
      </c>
      <c r="I557">
        <v>0.61</v>
      </c>
      <c r="J557">
        <f t="shared" si="164"/>
        <v>176</v>
      </c>
      <c r="K557">
        <v>41</v>
      </c>
      <c r="L557">
        <v>3</v>
      </c>
      <c r="M557" s="12">
        <f t="shared" si="165"/>
        <v>0.49233458707602862</v>
      </c>
      <c r="N557">
        <f t="shared" si="172"/>
        <v>5.2890033166812497E-2</v>
      </c>
      <c r="O557">
        <f t="shared" si="166"/>
        <v>0.70166558065507856</v>
      </c>
      <c r="P557" t="s">
        <v>659</v>
      </c>
      <c r="Q557" t="s">
        <v>759</v>
      </c>
      <c r="R557">
        <v>3.1469999999999998</v>
      </c>
      <c r="S557">
        <f t="shared" si="167"/>
        <v>3.9677614678899062</v>
      </c>
      <c r="U557">
        <v>57</v>
      </c>
      <c r="V557" t="s">
        <v>138</v>
      </c>
      <c r="W557">
        <f t="shared" si="168"/>
        <v>42.185483870967744</v>
      </c>
      <c r="Y557">
        <v>2014</v>
      </c>
      <c r="Z557">
        <f>2025-AVERAGE($Y$517:$Y$692)</f>
        <v>11.48863636363626</v>
      </c>
      <c r="AA557" t="s">
        <v>261</v>
      </c>
      <c r="AB557" t="s">
        <v>261</v>
      </c>
      <c r="AC557">
        <v>0.06</v>
      </c>
      <c r="AD557" s="3" t="s">
        <v>261</v>
      </c>
      <c r="AE557">
        <v>0</v>
      </c>
      <c r="AF557" t="str">
        <f t="shared" si="142"/>
        <v>Non-US</v>
      </c>
      <c r="AG557">
        <v>4</v>
      </c>
      <c r="AH557">
        <v>1</v>
      </c>
      <c r="AI557">
        <f t="shared" si="169"/>
        <v>3.2903225806451615</v>
      </c>
      <c r="AJ557">
        <f t="shared" si="170"/>
        <v>1.048</v>
      </c>
      <c r="AK557" t="s">
        <v>112</v>
      </c>
      <c r="AL557">
        <v>40</v>
      </c>
      <c r="AM557" t="s">
        <v>140</v>
      </c>
      <c r="AN557" t="s">
        <v>364</v>
      </c>
      <c r="AO557">
        <v>0.78700000000000003</v>
      </c>
    </row>
    <row r="558" spans="1:41" ht="15.6">
      <c r="A558">
        <v>14</v>
      </c>
      <c r="B558" t="s">
        <v>363</v>
      </c>
      <c r="C558" t="s">
        <v>362</v>
      </c>
      <c r="E558" s="3">
        <f t="shared" si="163"/>
        <v>34.659090909090914</v>
      </c>
      <c r="F558">
        <v>2023</v>
      </c>
      <c r="G558">
        <f t="shared" si="171"/>
        <v>2</v>
      </c>
      <c r="H558">
        <v>0.28000000000000003</v>
      </c>
      <c r="I558">
        <v>0.61</v>
      </c>
      <c r="J558">
        <f t="shared" si="164"/>
        <v>176</v>
      </c>
      <c r="K558">
        <v>41</v>
      </c>
      <c r="L558">
        <v>3</v>
      </c>
      <c r="M558" s="12">
        <f t="shared" si="165"/>
        <v>0.49233458707602862</v>
      </c>
      <c r="N558">
        <f t="shared" si="172"/>
        <v>5.2890033166812497E-2</v>
      </c>
      <c r="O558">
        <f t="shared" si="166"/>
        <v>0.70166558065507856</v>
      </c>
      <c r="P558" t="s">
        <v>576</v>
      </c>
      <c r="Q558" t="s">
        <v>527</v>
      </c>
      <c r="R558">
        <v>3.6070000000000002</v>
      </c>
      <c r="S558">
        <f t="shared" si="167"/>
        <v>3.9677614678899062</v>
      </c>
      <c r="U558">
        <v>30</v>
      </c>
      <c r="V558" t="s">
        <v>138</v>
      </c>
      <c r="W558">
        <f t="shared" si="168"/>
        <v>42.185483870967744</v>
      </c>
      <c r="Y558">
        <v>2008</v>
      </c>
      <c r="Z558">
        <f>2025-AVERAGE($Y$517:$Y$692)</f>
        <v>11.48863636363626</v>
      </c>
      <c r="AA558">
        <v>9.6548944479805304E-2</v>
      </c>
      <c r="AB558">
        <v>0.141014403121108</v>
      </c>
      <c r="AC558" t="s">
        <v>261</v>
      </c>
      <c r="AD558" s="3">
        <v>0.8</v>
      </c>
      <c r="AE558">
        <v>0</v>
      </c>
      <c r="AF558" t="str">
        <f t="shared" si="142"/>
        <v>Non-US</v>
      </c>
      <c r="AG558">
        <v>4</v>
      </c>
      <c r="AH558">
        <v>1</v>
      </c>
      <c r="AI558">
        <f t="shared" si="169"/>
        <v>3.2903225806451615</v>
      </c>
      <c r="AJ558">
        <f t="shared" si="170"/>
        <v>1.048</v>
      </c>
      <c r="AK558" t="s">
        <v>112</v>
      </c>
      <c r="AL558">
        <v>40</v>
      </c>
      <c r="AM558" t="s">
        <v>140</v>
      </c>
      <c r="AN558" t="s">
        <v>364</v>
      </c>
      <c r="AO558">
        <v>0.78700000000000003</v>
      </c>
    </row>
    <row r="559" spans="1:41" ht="15.6">
      <c r="A559">
        <v>14</v>
      </c>
      <c r="B559" t="s">
        <v>363</v>
      </c>
      <c r="C559" t="s">
        <v>362</v>
      </c>
      <c r="E559" s="3">
        <f t="shared" si="163"/>
        <v>34.659090909090914</v>
      </c>
      <c r="F559">
        <v>2023</v>
      </c>
      <c r="G559">
        <f t="shared" si="171"/>
        <v>2</v>
      </c>
      <c r="H559">
        <v>0.28000000000000003</v>
      </c>
      <c r="I559">
        <v>0.61</v>
      </c>
      <c r="J559">
        <f t="shared" si="164"/>
        <v>176</v>
      </c>
      <c r="K559">
        <v>41</v>
      </c>
      <c r="L559">
        <v>3</v>
      </c>
      <c r="M559" s="12">
        <f t="shared" si="165"/>
        <v>0.49233458707602862</v>
      </c>
      <c r="N559">
        <f t="shared" si="172"/>
        <v>5.2890033166812497E-2</v>
      </c>
      <c r="O559">
        <f t="shared" si="166"/>
        <v>0.70166558065507856</v>
      </c>
      <c r="P559" t="s">
        <v>660</v>
      </c>
      <c r="Q559" t="s">
        <v>761</v>
      </c>
      <c r="R559">
        <v>3.04</v>
      </c>
      <c r="S559">
        <f t="shared" si="167"/>
        <v>3.9677614678899062</v>
      </c>
      <c r="U559">
        <v>39</v>
      </c>
      <c r="V559" t="s">
        <v>755</v>
      </c>
      <c r="W559">
        <f t="shared" si="168"/>
        <v>42.185483870967744</v>
      </c>
      <c r="Y559">
        <v>2009</v>
      </c>
      <c r="Z559">
        <f>2025-AVERAGE($Y$517:$Y$692)</f>
        <v>11.48863636363626</v>
      </c>
      <c r="AA559" t="s">
        <v>261</v>
      </c>
      <c r="AB559">
        <v>0.63085544174277697</v>
      </c>
      <c r="AC559" t="s">
        <v>261</v>
      </c>
      <c r="AD559" s="3" t="s">
        <v>261</v>
      </c>
      <c r="AE559">
        <v>0</v>
      </c>
      <c r="AF559" t="str">
        <f t="shared" si="142"/>
        <v>Non-US</v>
      </c>
      <c r="AG559">
        <v>4</v>
      </c>
      <c r="AH559">
        <v>1</v>
      </c>
      <c r="AI559">
        <f t="shared" si="169"/>
        <v>3.2903225806451615</v>
      </c>
      <c r="AJ559">
        <f t="shared" si="170"/>
        <v>1.048</v>
      </c>
      <c r="AK559" t="s">
        <v>112</v>
      </c>
      <c r="AL559">
        <v>40</v>
      </c>
      <c r="AM559" t="s">
        <v>140</v>
      </c>
      <c r="AN559" t="s">
        <v>364</v>
      </c>
      <c r="AO559">
        <v>0.78700000000000003</v>
      </c>
    </row>
    <row r="560" spans="1:41" ht="15.6">
      <c r="A560">
        <v>14</v>
      </c>
      <c r="B560" t="s">
        <v>363</v>
      </c>
      <c r="C560" t="s">
        <v>362</v>
      </c>
      <c r="E560" s="3">
        <f t="shared" si="163"/>
        <v>34.659090909090914</v>
      </c>
      <c r="F560">
        <v>2023</v>
      </c>
      <c r="G560">
        <f t="shared" si="171"/>
        <v>2</v>
      </c>
      <c r="H560">
        <v>0.28000000000000003</v>
      </c>
      <c r="I560">
        <v>0.61</v>
      </c>
      <c r="J560">
        <f t="shared" si="164"/>
        <v>176</v>
      </c>
      <c r="K560">
        <v>41</v>
      </c>
      <c r="L560">
        <v>3</v>
      </c>
      <c r="M560" s="12">
        <f t="shared" si="165"/>
        <v>0.49233458707602862</v>
      </c>
      <c r="N560">
        <f t="shared" si="172"/>
        <v>5.2890033166812497E-2</v>
      </c>
      <c r="O560">
        <f t="shared" si="166"/>
        <v>0.70166558065507856</v>
      </c>
      <c r="P560" t="s">
        <v>661</v>
      </c>
      <c r="Q560" t="s">
        <v>757</v>
      </c>
      <c r="R560">
        <v>2.7440000000000002</v>
      </c>
      <c r="S560">
        <f t="shared" si="167"/>
        <v>3.9677614678899062</v>
      </c>
      <c r="U560">
        <v>51</v>
      </c>
      <c r="V560" t="s">
        <v>138</v>
      </c>
      <c r="W560">
        <f t="shared" si="168"/>
        <v>42.185483870967744</v>
      </c>
      <c r="Y560">
        <v>2012</v>
      </c>
      <c r="Z560">
        <f>2025-AVERAGE($Y$517:$Y$692)</f>
        <v>11.48863636363626</v>
      </c>
      <c r="AA560" t="s">
        <v>261</v>
      </c>
      <c r="AB560" t="s">
        <v>261</v>
      </c>
      <c r="AC560" t="s">
        <v>261</v>
      </c>
      <c r="AD560" s="3" t="s">
        <v>261</v>
      </c>
      <c r="AE560">
        <v>0</v>
      </c>
      <c r="AF560" t="str">
        <f t="shared" si="142"/>
        <v>Non-US</v>
      </c>
      <c r="AG560">
        <v>3</v>
      </c>
      <c r="AH560">
        <v>1</v>
      </c>
      <c r="AI560">
        <f t="shared" si="169"/>
        <v>3.2903225806451615</v>
      </c>
      <c r="AJ560">
        <f t="shared" si="170"/>
        <v>1.048</v>
      </c>
      <c r="AK560" t="s">
        <v>112</v>
      </c>
      <c r="AL560">
        <v>40</v>
      </c>
      <c r="AM560" t="s">
        <v>140</v>
      </c>
      <c r="AN560" t="s">
        <v>364</v>
      </c>
      <c r="AO560">
        <v>0.78700000000000003</v>
      </c>
    </row>
    <row r="561" spans="1:41" ht="15.6">
      <c r="A561">
        <v>14</v>
      </c>
      <c r="B561" t="s">
        <v>363</v>
      </c>
      <c r="C561" t="s">
        <v>362</v>
      </c>
      <c r="E561" s="3">
        <f t="shared" si="163"/>
        <v>34.659090909090914</v>
      </c>
      <c r="F561">
        <v>2023</v>
      </c>
      <c r="G561">
        <f t="shared" si="171"/>
        <v>2</v>
      </c>
      <c r="H561">
        <v>0.28000000000000003</v>
      </c>
      <c r="I561">
        <v>0.61</v>
      </c>
      <c r="J561">
        <f t="shared" si="164"/>
        <v>176</v>
      </c>
      <c r="K561">
        <v>41</v>
      </c>
      <c r="L561">
        <v>3</v>
      </c>
      <c r="M561" s="12">
        <f t="shared" si="165"/>
        <v>0.49233458707602862</v>
      </c>
      <c r="N561">
        <f t="shared" si="172"/>
        <v>5.2890033166812497E-2</v>
      </c>
      <c r="O561">
        <f t="shared" si="166"/>
        <v>0.70166558065507856</v>
      </c>
      <c r="P561" t="s">
        <v>577</v>
      </c>
      <c r="S561">
        <f t="shared" si="167"/>
        <v>3.9677614678899062</v>
      </c>
      <c r="W561">
        <f t="shared" si="168"/>
        <v>42.185483870967744</v>
      </c>
      <c r="Y561">
        <v>2012</v>
      </c>
      <c r="Z561">
        <f>2025-AVERAGE($Y$517:$Y$692)</f>
        <v>11.48863636363626</v>
      </c>
      <c r="AA561">
        <v>0.63724044053608897</v>
      </c>
      <c r="AB561">
        <v>1.8156286626921599E-3</v>
      </c>
      <c r="AC561" t="s">
        <v>261</v>
      </c>
      <c r="AD561" s="3">
        <v>0.75</v>
      </c>
      <c r="AE561">
        <v>0</v>
      </c>
      <c r="AF561" t="str">
        <f t="shared" si="142"/>
        <v>Non-US</v>
      </c>
      <c r="AI561">
        <f t="shared" si="169"/>
        <v>3.2903225806451615</v>
      </c>
      <c r="AJ561">
        <f t="shared" si="170"/>
        <v>1.048</v>
      </c>
      <c r="AK561" t="s">
        <v>112</v>
      </c>
      <c r="AL561">
        <v>40</v>
      </c>
      <c r="AM561" t="s">
        <v>140</v>
      </c>
      <c r="AN561" t="s">
        <v>364</v>
      </c>
      <c r="AO561">
        <v>0.78700000000000003</v>
      </c>
    </row>
    <row r="562" spans="1:41" ht="15.6">
      <c r="A562">
        <v>14</v>
      </c>
      <c r="B562" t="s">
        <v>363</v>
      </c>
      <c r="C562" t="s">
        <v>362</v>
      </c>
      <c r="E562" s="3">
        <f t="shared" si="163"/>
        <v>34.659090909090914</v>
      </c>
      <c r="F562">
        <v>2023</v>
      </c>
      <c r="G562">
        <f t="shared" si="171"/>
        <v>2</v>
      </c>
      <c r="H562">
        <v>0.28000000000000003</v>
      </c>
      <c r="I562">
        <v>0.61</v>
      </c>
      <c r="J562">
        <f t="shared" si="164"/>
        <v>176</v>
      </c>
      <c r="K562">
        <v>41</v>
      </c>
      <c r="L562">
        <v>3</v>
      </c>
      <c r="M562" s="12">
        <f t="shared" si="165"/>
        <v>0.49233458707602862</v>
      </c>
      <c r="N562">
        <f t="shared" si="172"/>
        <v>5.2890033166812497E-2</v>
      </c>
      <c r="O562">
        <f t="shared" si="166"/>
        <v>0.70166558065507856</v>
      </c>
      <c r="P562" t="s">
        <v>662</v>
      </c>
      <c r="Q562" t="s">
        <v>529</v>
      </c>
      <c r="R562">
        <v>6.0960000000000001</v>
      </c>
      <c r="S562">
        <f t="shared" si="167"/>
        <v>3.9677614678899062</v>
      </c>
      <c r="U562">
        <v>60</v>
      </c>
      <c r="V562" t="s">
        <v>138</v>
      </c>
      <c r="W562">
        <f t="shared" si="168"/>
        <v>42.185483870967744</v>
      </c>
      <c r="Y562">
        <v>2008</v>
      </c>
      <c r="Z562">
        <f>2025-AVERAGE($Y$517:$Y$692)</f>
        <v>11.48863636363626</v>
      </c>
      <c r="AA562" t="s">
        <v>261</v>
      </c>
      <c r="AB562" t="s">
        <v>261</v>
      </c>
      <c r="AC562" t="s">
        <v>261</v>
      </c>
      <c r="AD562" s="3" t="s">
        <v>261</v>
      </c>
      <c r="AE562">
        <v>0</v>
      </c>
      <c r="AF562" t="str">
        <f t="shared" si="142"/>
        <v>Non-US</v>
      </c>
      <c r="AG562">
        <v>2</v>
      </c>
      <c r="AH562">
        <v>1</v>
      </c>
      <c r="AI562">
        <f t="shared" si="169"/>
        <v>3.2903225806451615</v>
      </c>
      <c r="AJ562">
        <f t="shared" si="170"/>
        <v>1.048</v>
      </c>
      <c r="AK562" t="s">
        <v>112</v>
      </c>
      <c r="AL562">
        <v>40</v>
      </c>
      <c r="AM562" t="s">
        <v>140</v>
      </c>
      <c r="AN562" t="s">
        <v>364</v>
      </c>
      <c r="AO562">
        <v>0.78700000000000003</v>
      </c>
    </row>
    <row r="563" spans="1:41" ht="15.6">
      <c r="A563">
        <v>14</v>
      </c>
      <c r="B563" t="s">
        <v>363</v>
      </c>
      <c r="C563" t="s">
        <v>362</v>
      </c>
      <c r="E563" s="3">
        <f t="shared" si="163"/>
        <v>34.659090909090914</v>
      </c>
      <c r="F563">
        <v>2023</v>
      </c>
      <c r="G563">
        <f t="shared" si="171"/>
        <v>2</v>
      </c>
      <c r="H563">
        <v>0.28000000000000003</v>
      </c>
      <c r="I563">
        <v>0.61</v>
      </c>
      <c r="J563">
        <f t="shared" si="164"/>
        <v>176</v>
      </c>
      <c r="K563">
        <v>41</v>
      </c>
      <c r="L563">
        <v>3</v>
      </c>
      <c r="M563" s="12">
        <f t="shared" si="165"/>
        <v>0.49233458707602862</v>
      </c>
      <c r="N563">
        <f t="shared" si="172"/>
        <v>5.2890033166812497E-2</v>
      </c>
      <c r="O563">
        <f t="shared" si="166"/>
        <v>0.70166558065507856</v>
      </c>
      <c r="P563" t="s">
        <v>663</v>
      </c>
      <c r="S563">
        <f t="shared" si="167"/>
        <v>3.9677614678899062</v>
      </c>
      <c r="W563">
        <f t="shared" si="168"/>
        <v>42.185483870967744</v>
      </c>
      <c r="Y563">
        <v>2010</v>
      </c>
      <c r="Z563">
        <f>2025-AVERAGE($Y$517:$Y$692)</f>
        <v>11.48863636363626</v>
      </c>
      <c r="AA563">
        <v>1.73399954395137E-8</v>
      </c>
      <c r="AB563">
        <v>0.25437279963410298</v>
      </c>
      <c r="AC563" t="s">
        <v>261</v>
      </c>
      <c r="AD563" s="3">
        <v>0.4</v>
      </c>
      <c r="AE563">
        <v>0</v>
      </c>
      <c r="AF563" t="str">
        <f t="shared" si="142"/>
        <v>Non-US</v>
      </c>
      <c r="AI563">
        <f t="shared" si="169"/>
        <v>3.2903225806451615</v>
      </c>
      <c r="AJ563">
        <f t="shared" si="170"/>
        <v>1.048</v>
      </c>
      <c r="AK563" t="s">
        <v>112</v>
      </c>
      <c r="AL563">
        <v>40</v>
      </c>
      <c r="AM563" t="s">
        <v>140</v>
      </c>
      <c r="AN563" t="s">
        <v>364</v>
      </c>
      <c r="AO563">
        <v>0.78700000000000003</v>
      </c>
    </row>
    <row r="564" spans="1:41" ht="15.6">
      <c r="A564">
        <v>14</v>
      </c>
      <c r="B564" t="s">
        <v>363</v>
      </c>
      <c r="C564" t="s">
        <v>362</v>
      </c>
      <c r="E564" s="3">
        <f t="shared" si="163"/>
        <v>34.659090909090914</v>
      </c>
      <c r="F564">
        <v>2023</v>
      </c>
      <c r="G564">
        <f t="shared" si="171"/>
        <v>2</v>
      </c>
      <c r="H564">
        <v>0.28000000000000003</v>
      </c>
      <c r="I564">
        <v>0.61</v>
      </c>
      <c r="J564">
        <f t="shared" si="164"/>
        <v>176</v>
      </c>
      <c r="K564">
        <v>41</v>
      </c>
      <c r="L564">
        <v>3</v>
      </c>
      <c r="M564" s="12">
        <f t="shared" si="165"/>
        <v>0.49233458707602862</v>
      </c>
      <c r="N564">
        <f t="shared" si="172"/>
        <v>5.2890033166812497E-2</v>
      </c>
      <c r="O564">
        <f t="shared" si="166"/>
        <v>0.70166558065507856</v>
      </c>
      <c r="P564" t="s">
        <v>664</v>
      </c>
      <c r="Q564" t="s">
        <v>762</v>
      </c>
      <c r="R564">
        <v>6.0579999999999998</v>
      </c>
      <c r="S564">
        <f t="shared" si="167"/>
        <v>3.9677614678899062</v>
      </c>
      <c r="U564">
        <v>34</v>
      </c>
      <c r="V564" t="s">
        <v>138</v>
      </c>
      <c r="W564">
        <f t="shared" si="168"/>
        <v>42.185483870967744</v>
      </c>
      <c r="Y564">
        <v>2010</v>
      </c>
      <c r="Z564">
        <f>2025-AVERAGE($Y$517:$Y$692)</f>
        <v>11.48863636363626</v>
      </c>
      <c r="AA564" t="s">
        <v>261</v>
      </c>
      <c r="AB564">
        <v>1.7256312749762099E-2</v>
      </c>
      <c r="AC564" t="s">
        <v>261</v>
      </c>
      <c r="AD564" s="3" t="s">
        <v>261</v>
      </c>
      <c r="AE564">
        <v>0</v>
      </c>
      <c r="AF564" t="str">
        <f t="shared" si="142"/>
        <v>Non-US</v>
      </c>
      <c r="AG564">
        <v>3</v>
      </c>
      <c r="AH564">
        <v>1</v>
      </c>
      <c r="AI564">
        <f t="shared" si="169"/>
        <v>3.2903225806451615</v>
      </c>
      <c r="AJ564">
        <f t="shared" si="170"/>
        <v>1.048</v>
      </c>
      <c r="AK564" t="s">
        <v>112</v>
      </c>
      <c r="AL564">
        <v>40</v>
      </c>
      <c r="AM564" t="s">
        <v>140</v>
      </c>
      <c r="AN564" t="s">
        <v>364</v>
      </c>
      <c r="AO564">
        <v>0.78700000000000003</v>
      </c>
    </row>
    <row r="565" spans="1:41" ht="15.6">
      <c r="A565">
        <v>14</v>
      </c>
      <c r="B565" t="s">
        <v>363</v>
      </c>
      <c r="C565" t="s">
        <v>362</v>
      </c>
      <c r="E565" s="3">
        <f t="shared" si="163"/>
        <v>34.659090909090914</v>
      </c>
      <c r="F565">
        <v>2023</v>
      </c>
      <c r="G565">
        <f t="shared" si="171"/>
        <v>2</v>
      </c>
      <c r="H565">
        <v>0.28000000000000003</v>
      </c>
      <c r="I565">
        <v>0.61</v>
      </c>
      <c r="J565">
        <f t="shared" si="164"/>
        <v>176</v>
      </c>
      <c r="K565">
        <v>41</v>
      </c>
      <c r="L565">
        <v>3</v>
      </c>
      <c r="M565" s="12">
        <f t="shared" si="165"/>
        <v>0.49233458707602862</v>
      </c>
      <c r="N565">
        <f t="shared" si="172"/>
        <v>5.2890033166812497E-2</v>
      </c>
      <c r="O565">
        <f t="shared" si="166"/>
        <v>0.70166558065507856</v>
      </c>
      <c r="P565" t="s">
        <v>665</v>
      </c>
      <c r="S565">
        <f t="shared" si="167"/>
        <v>3.9677614678899062</v>
      </c>
      <c r="W565">
        <f t="shared" si="168"/>
        <v>42.185483870967744</v>
      </c>
      <c r="Y565">
        <v>2008</v>
      </c>
      <c r="Z565">
        <f>2025-AVERAGE($Y$517:$Y$692)</f>
        <v>11.48863636363626</v>
      </c>
      <c r="AA565">
        <v>2.0844855417902299E-2</v>
      </c>
      <c r="AB565">
        <v>0.35566915336509503</v>
      </c>
      <c r="AC565">
        <v>0.82999999999999896</v>
      </c>
      <c r="AD565" s="3">
        <v>0.16999999999999901</v>
      </c>
      <c r="AE565">
        <v>0</v>
      </c>
      <c r="AF565" t="str">
        <f t="shared" si="142"/>
        <v>Non-US</v>
      </c>
      <c r="AI565">
        <f t="shared" si="169"/>
        <v>3.2903225806451615</v>
      </c>
      <c r="AJ565">
        <f t="shared" si="170"/>
        <v>1.048</v>
      </c>
      <c r="AK565" t="s">
        <v>112</v>
      </c>
      <c r="AL565">
        <v>40</v>
      </c>
      <c r="AM565" t="s">
        <v>140</v>
      </c>
      <c r="AN565" t="s">
        <v>364</v>
      </c>
      <c r="AO565">
        <v>0.78700000000000003</v>
      </c>
    </row>
    <row r="566" spans="1:41" ht="15.6">
      <c r="A566">
        <v>14</v>
      </c>
      <c r="B566" t="s">
        <v>363</v>
      </c>
      <c r="C566" t="s">
        <v>362</v>
      </c>
      <c r="E566" s="3">
        <f t="shared" si="163"/>
        <v>34.659090909090914</v>
      </c>
      <c r="F566">
        <v>2023</v>
      </c>
      <c r="G566">
        <f t="shared" si="171"/>
        <v>2</v>
      </c>
      <c r="H566">
        <v>0.28000000000000003</v>
      </c>
      <c r="I566">
        <v>0.61</v>
      </c>
      <c r="J566">
        <f t="shared" si="164"/>
        <v>176</v>
      </c>
      <c r="K566">
        <v>41</v>
      </c>
      <c r="L566">
        <v>3</v>
      </c>
      <c r="M566" s="12">
        <f t="shared" si="165"/>
        <v>0.49233458707602862</v>
      </c>
      <c r="N566">
        <f t="shared" si="172"/>
        <v>5.2890033166812497E-2</v>
      </c>
      <c r="O566">
        <f t="shared" si="166"/>
        <v>0.70166558065507856</v>
      </c>
      <c r="P566" t="s">
        <v>666</v>
      </c>
      <c r="Q566" t="s">
        <v>527</v>
      </c>
      <c r="R566">
        <v>3.8290000000000002</v>
      </c>
      <c r="S566">
        <f t="shared" si="167"/>
        <v>3.9677614678899062</v>
      </c>
      <c r="U566">
        <v>23</v>
      </c>
      <c r="V566" t="s">
        <v>138</v>
      </c>
      <c r="W566">
        <f t="shared" si="168"/>
        <v>42.185483870967744</v>
      </c>
      <c r="Y566">
        <v>2011</v>
      </c>
      <c r="Z566">
        <f>2025-AVERAGE($Y$517:$Y$692)</f>
        <v>11.48863636363626</v>
      </c>
      <c r="AA566">
        <v>4.8558338644630796E-3</v>
      </c>
      <c r="AB566">
        <v>1.00409150080624E-9</v>
      </c>
      <c r="AC566" t="s">
        <v>261</v>
      </c>
      <c r="AD566" s="3">
        <v>3.1</v>
      </c>
      <c r="AE566">
        <v>0</v>
      </c>
      <c r="AF566" t="str">
        <f t="shared" si="142"/>
        <v>Non-US</v>
      </c>
      <c r="AG566">
        <v>4</v>
      </c>
      <c r="AH566">
        <v>1</v>
      </c>
      <c r="AI566">
        <f t="shared" si="169"/>
        <v>3.2903225806451615</v>
      </c>
      <c r="AJ566">
        <f t="shared" si="170"/>
        <v>1.048</v>
      </c>
      <c r="AK566" t="s">
        <v>112</v>
      </c>
      <c r="AL566">
        <v>40</v>
      </c>
      <c r="AM566" t="s">
        <v>140</v>
      </c>
      <c r="AN566" t="s">
        <v>364</v>
      </c>
      <c r="AO566">
        <v>0.78700000000000003</v>
      </c>
    </row>
    <row r="567" spans="1:41" ht="15.6">
      <c r="A567">
        <v>14</v>
      </c>
      <c r="B567" t="s">
        <v>363</v>
      </c>
      <c r="C567" t="s">
        <v>362</v>
      </c>
      <c r="E567" s="3">
        <f t="shared" si="163"/>
        <v>34.659090909090914</v>
      </c>
      <c r="F567">
        <v>2023</v>
      </c>
      <c r="G567">
        <f t="shared" si="171"/>
        <v>2</v>
      </c>
      <c r="H567">
        <v>0.28000000000000003</v>
      </c>
      <c r="I567">
        <v>0.61</v>
      </c>
      <c r="J567">
        <f t="shared" si="164"/>
        <v>176</v>
      </c>
      <c r="K567">
        <v>41</v>
      </c>
      <c r="L567">
        <v>3</v>
      </c>
      <c r="M567" s="12">
        <f t="shared" si="165"/>
        <v>0.49233458707602862</v>
      </c>
      <c r="N567">
        <f t="shared" si="172"/>
        <v>5.2890033166812497E-2</v>
      </c>
      <c r="O567">
        <f t="shared" si="166"/>
        <v>0.70166558065507856</v>
      </c>
      <c r="P567" t="s">
        <v>578</v>
      </c>
      <c r="S567">
        <f t="shared" si="167"/>
        <v>3.9677614678899062</v>
      </c>
      <c r="W567">
        <f t="shared" si="168"/>
        <v>42.185483870967744</v>
      </c>
      <c r="Y567">
        <v>2012</v>
      </c>
      <c r="Z567">
        <f>2025-AVERAGE($Y$517:$Y$692)</f>
        <v>11.48863636363626</v>
      </c>
      <c r="AA567">
        <v>0.371093369522697</v>
      </c>
      <c r="AB567" t="s">
        <v>261</v>
      </c>
      <c r="AC567">
        <v>0.04</v>
      </c>
      <c r="AD567" s="3">
        <v>0.08</v>
      </c>
      <c r="AE567">
        <v>0</v>
      </c>
      <c r="AF567" t="str">
        <f t="shared" si="142"/>
        <v>Non-US</v>
      </c>
      <c r="AI567">
        <f t="shared" si="169"/>
        <v>3.2903225806451615</v>
      </c>
      <c r="AJ567">
        <f t="shared" si="170"/>
        <v>1.048</v>
      </c>
      <c r="AK567" t="s">
        <v>112</v>
      </c>
      <c r="AL567">
        <v>40</v>
      </c>
      <c r="AM567" t="s">
        <v>140</v>
      </c>
      <c r="AN567" t="s">
        <v>364</v>
      </c>
      <c r="AO567">
        <v>0.78700000000000003</v>
      </c>
    </row>
    <row r="568" spans="1:41" ht="15.6">
      <c r="A568">
        <v>14</v>
      </c>
      <c r="B568" t="s">
        <v>363</v>
      </c>
      <c r="C568" t="s">
        <v>362</v>
      </c>
      <c r="E568" s="3">
        <f t="shared" si="163"/>
        <v>34.659090909090914</v>
      </c>
      <c r="F568">
        <v>2023</v>
      </c>
      <c r="G568">
        <f t="shared" si="171"/>
        <v>2</v>
      </c>
      <c r="H568">
        <v>0.28000000000000003</v>
      </c>
      <c r="I568">
        <v>0.61</v>
      </c>
      <c r="J568">
        <f t="shared" si="164"/>
        <v>176</v>
      </c>
      <c r="K568">
        <v>41</v>
      </c>
      <c r="L568">
        <v>3</v>
      </c>
      <c r="M568" s="12">
        <f t="shared" si="165"/>
        <v>0.49233458707602862</v>
      </c>
      <c r="N568">
        <f t="shared" si="172"/>
        <v>5.2890033166812497E-2</v>
      </c>
      <c r="O568">
        <f t="shared" si="166"/>
        <v>0.70166558065507856</v>
      </c>
      <c r="P568" t="s">
        <v>667</v>
      </c>
      <c r="S568">
        <f t="shared" si="167"/>
        <v>3.9677614678899062</v>
      </c>
      <c r="W568">
        <f t="shared" si="168"/>
        <v>42.185483870967744</v>
      </c>
      <c r="Y568">
        <v>2015</v>
      </c>
      <c r="Z568">
        <f>2025-AVERAGE($Y$517:$Y$692)</f>
        <v>11.48863636363626</v>
      </c>
      <c r="AA568">
        <v>3.5665999219207599E-3</v>
      </c>
      <c r="AB568">
        <v>0.65205501079124295</v>
      </c>
      <c r="AC568" t="s">
        <v>261</v>
      </c>
      <c r="AD568" s="3">
        <v>0.08</v>
      </c>
      <c r="AE568">
        <v>0</v>
      </c>
      <c r="AF568" t="str">
        <f t="shared" si="142"/>
        <v>Non-US</v>
      </c>
      <c r="AI568">
        <f t="shared" si="169"/>
        <v>3.2903225806451615</v>
      </c>
      <c r="AJ568">
        <f t="shared" si="170"/>
        <v>1.048</v>
      </c>
      <c r="AK568" t="s">
        <v>112</v>
      </c>
      <c r="AL568">
        <v>40</v>
      </c>
      <c r="AM568" t="s">
        <v>140</v>
      </c>
      <c r="AN568" t="s">
        <v>364</v>
      </c>
      <c r="AO568">
        <v>0.78700000000000003</v>
      </c>
    </row>
    <row r="569" spans="1:41" ht="15.6">
      <c r="A569">
        <v>14</v>
      </c>
      <c r="B569" t="s">
        <v>363</v>
      </c>
      <c r="C569" t="s">
        <v>362</v>
      </c>
      <c r="E569" s="3">
        <f t="shared" si="163"/>
        <v>34.659090909090914</v>
      </c>
      <c r="F569">
        <v>2023</v>
      </c>
      <c r="G569">
        <f t="shared" si="171"/>
        <v>2</v>
      </c>
      <c r="H569">
        <v>0.28000000000000003</v>
      </c>
      <c r="I569">
        <v>0.61</v>
      </c>
      <c r="J569">
        <f t="shared" si="164"/>
        <v>176</v>
      </c>
      <c r="K569">
        <v>41</v>
      </c>
      <c r="L569">
        <v>3</v>
      </c>
      <c r="M569" s="12">
        <f t="shared" si="165"/>
        <v>0.49233458707602862</v>
      </c>
      <c r="N569">
        <f t="shared" si="172"/>
        <v>5.2890033166812497E-2</v>
      </c>
      <c r="O569">
        <f t="shared" si="166"/>
        <v>0.70166558065507856</v>
      </c>
      <c r="P569" t="s">
        <v>579</v>
      </c>
      <c r="S569">
        <f t="shared" si="167"/>
        <v>3.9677614678899062</v>
      </c>
      <c r="W569">
        <f t="shared" si="168"/>
        <v>42.185483870967744</v>
      </c>
      <c r="Y569">
        <v>2016</v>
      </c>
      <c r="Z569">
        <f>2025-AVERAGE($Y$517:$Y$692)</f>
        <v>11.48863636363626</v>
      </c>
      <c r="AA569">
        <v>0.21816514707805201</v>
      </c>
      <c r="AB569">
        <v>8.8190263519954099E-2</v>
      </c>
      <c r="AC569" t="s">
        <v>261</v>
      </c>
      <c r="AD569" s="3">
        <v>0.3</v>
      </c>
      <c r="AE569">
        <v>0</v>
      </c>
      <c r="AF569" t="str">
        <f t="shared" si="142"/>
        <v>Non-US</v>
      </c>
      <c r="AI569">
        <f t="shared" si="169"/>
        <v>3.2903225806451615</v>
      </c>
      <c r="AJ569">
        <f t="shared" si="170"/>
        <v>1.048</v>
      </c>
      <c r="AK569" t="s">
        <v>112</v>
      </c>
      <c r="AL569">
        <v>40</v>
      </c>
      <c r="AM569" t="s">
        <v>140</v>
      </c>
      <c r="AN569" t="s">
        <v>364</v>
      </c>
      <c r="AO569">
        <v>0.78700000000000003</v>
      </c>
    </row>
    <row r="570" spans="1:41" ht="15.6">
      <c r="A570">
        <v>14</v>
      </c>
      <c r="B570" t="s">
        <v>363</v>
      </c>
      <c r="C570" t="s">
        <v>362</v>
      </c>
      <c r="E570" s="3">
        <f t="shared" si="163"/>
        <v>34.659090909090914</v>
      </c>
      <c r="F570">
        <v>2023</v>
      </c>
      <c r="G570">
        <f t="shared" si="171"/>
        <v>2</v>
      </c>
      <c r="H570">
        <v>0.28000000000000003</v>
      </c>
      <c r="I570">
        <v>0.61</v>
      </c>
      <c r="J570">
        <f t="shared" si="164"/>
        <v>176</v>
      </c>
      <c r="K570">
        <v>41</v>
      </c>
      <c r="L570">
        <v>3</v>
      </c>
      <c r="M570" s="12">
        <f t="shared" si="165"/>
        <v>0.49233458707602862</v>
      </c>
      <c r="N570">
        <f t="shared" si="172"/>
        <v>5.2890033166812497E-2</v>
      </c>
      <c r="O570">
        <f t="shared" si="166"/>
        <v>0.70166558065507856</v>
      </c>
      <c r="P570" t="s">
        <v>668</v>
      </c>
      <c r="Q570" t="s">
        <v>111</v>
      </c>
      <c r="R570" t="s">
        <v>261</v>
      </c>
      <c r="S570">
        <f t="shared" si="167"/>
        <v>3.9677614678899062</v>
      </c>
      <c r="U570">
        <v>6</v>
      </c>
      <c r="V570" t="s">
        <v>138</v>
      </c>
      <c r="W570">
        <f t="shared" si="168"/>
        <v>42.185483870967744</v>
      </c>
      <c r="Y570">
        <v>1965</v>
      </c>
      <c r="Z570">
        <f>2025-AVERAGE($Y$517:$Y$692)</f>
        <v>11.48863636363626</v>
      </c>
      <c r="AA570" t="s">
        <v>261</v>
      </c>
      <c r="AB570" t="s">
        <v>261</v>
      </c>
      <c r="AC570" t="s">
        <v>261</v>
      </c>
      <c r="AD570" s="3" t="s">
        <v>261</v>
      </c>
      <c r="AE570">
        <v>0</v>
      </c>
      <c r="AF570" t="str">
        <f t="shared" si="142"/>
        <v>Non-US</v>
      </c>
      <c r="AG570">
        <v>2</v>
      </c>
      <c r="AH570">
        <v>1</v>
      </c>
      <c r="AI570">
        <f t="shared" si="169"/>
        <v>3.2903225806451615</v>
      </c>
      <c r="AJ570">
        <f t="shared" si="170"/>
        <v>1.048</v>
      </c>
      <c r="AK570" t="s">
        <v>112</v>
      </c>
      <c r="AL570">
        <v>40</v>
      </c>
      <c r="AM570" t="s">
        <v>140</v>
      </c>
      <c r="AN570" t="s">
        <v>364</v>
      </c>
      <c r="AO570">
        <v>0.78700000000000003</v>
      </c>
    </row>
    <row r="571" spans="1:41" ht="15.6">
      <c r="A571">
        <v>14</v>
      </c>
      <c r="B571" t="s">
        <v>363</v>
      </c>
      <c r="C571" t="s">
        <v>362</v>
      </c>
      <c r="E571" s="3">
        <f t="shared" si="163"/>
        <v>34.659090909090914</v>
      </c>
      <c r="F571">
        <v>2023</v>
      </c>
      <c r="G571">
        <f t="shared" si="171"/>
        <v>2</v>
      </c>
      <c r="H571">
        <v>0.28000000000000003</v>
      </c>
      <c r="I571">
        <v>0.61</v>
      </c>
      <c r="J571">
        <f t="shared" si="164"/>
        <v>176</v>
      </c>
      <c r="K571">
        <v>41</v>
      </c>
      <c r="L571">
        <v>3</v>
      </c>
      <c r="M571" s="12">
        <f t="shared" si="165"/>
        <v>0.49233458707602862</v>
      </c>
      <c r="N571">
        <f t="shared" si="172"/>
        <v>5.2890033166812497E-2</v>
      </c>
      <c r="O571">
        <f t="shared" si="166"/>
        <v>0.70166558065507856</v>
      </c>
      <c r="P571" t="s">
        <v>669</v>
      </c>
      <c r="S571">
        <f t="shared" si="167"/>
        <v>3.9677614678899062</v>
      </c>
      <c r="W571">
        <f t="shared" si="168"/>
        <v>42.185483870967744</v>
      </c>
      <c r="Y571">
        <v>2012</v>
      </c>
      <c r="Z571">
        <f>2025-AVERAGE($Y$517:$Y$692)</f>
        <v>11.48863636363626</v>
      </c>
      <c r="AA571">
        <v>2.4465731065272198E-2</v>
      </c>
      <c r="AB571">
        <v>0.96853345592462303</v>
      </c>
      <c r="AC571" t="s">
        <v>261</v>
      </c>
      <c r="AD571" s="3">
        <v>0</v>
      </c>
      <c r="AE571">
        <v>0</v>
      </c>
      <c r="AF571" t="str">
        <f t="shared" si="142"/>
        <v>Non-US</v>
      </c>
      <c r="AI571">
        <f t="shared" si="169"/>
        <v>3.2903225806451615</v>
      </c>
      <c r="AJ571">
        <f t="shared" si="170"/>
        <v>1.048</v>
      </c>
      <c r="AK571" t="s">
        <v>112</v>
      </c>
      <c r="AL571">
        <v>40</v>
      </c>
      <c r="AM571" t="s">
        <v>140</v>
      </c>
      <c r="AN571" t="s">
        <v>364</v>
      </c>
      <c r="AO571">
        <v>0.78700000000000003</v>
      </c>
    </row>
    <row r="572" spans="1:41" ht="15.6">
      <c r="A572">
        <v>14</v>
      </c>
      <c r="B572" t="s">
        <v>363</v>
      </c>
      <c r="C572" t="s">
        <v>362</v>
      </c>
      <c r="E572" s="3">
        <f t="shared" si="163"/>
        <v>34.659090909090914</v>
      </c>
      <c r="F572">
        <v>2023</v>
      </c>
      <c r="G572">
        <f t="shared" si="171"/>
        <v>2</v>
      </c>
      <c r="H572">
        <v>0.28000000000000003</v>
      </c>
      <c r="I572">
        <v>0.61</v>
      </c>
      <c r="J572">
        <f t="shared" si="164"/>
        <v>176</v>
      </c>
      <c r="K572">
        <v>41</v>
      </c>
      <c r="L572">
        <v>3</v>
      </c>
      <c r="M572" s="12">
        <f t="shared" si="165"/>
        <v>0.49233458707602862</v>
      </c>
      <c r="N572">
        <f t="shared" si="172"/>
        <v>5.2890033166812497E-2</v>
      </c>
      <c r="O572">
        <f t="shared" si="166"/>
        <v>0.70166558065507856</v>
      </c>
      <c r="P572" t="s">
        <v>580</v>
      </c>
      <c r="Q572" t="s">
        <v>527</v>
      </c>
      <c r="R572">
        <v>4.4050000000000002</v>
      </c>
      <c r="S572">
        <f t="shared" si="167"/>
        <v>3.9677614678899062</v>
      </c>
      <c r="U572">
        <v>40</v>
      </c>
      <c r="V572" t="s">
        <v>138</v>
      </c>
      <c r="W572">
        <f t="shared" si="168"/>
        <v>42.185483870967744</v>
      </c>
      <c r="Y572">
        <v>2016</v>
      </c>
      <c r="Z572">
        <f>2025-AVERAGE($Y$517:$Y$692)</f>
        <v>11.48863636363626</v>
      </c>
      <c r="AA572">
        <v>0.29261788282573398</v>
      </c>
      <c r="AB572">
        <v>0.129496379178315</v>
      </c>
      <c r="AC572">
        <v>8.75</v>
      </c>
      <c r="AD572" s="3">
        <v>0.5</v>
      </c>
      <c r="AE572">
        <v>0</v>
      </c>
      <c r="AF572" t="str">
        <f t="shared" si="142"/>
        <v>Non-US</v>
      </c>
      <c r="AG572">
        <v>3</v>
      </c>
      <c r="AH572">
        <v>1</v>
      </c>
      <c r="AI572">
        <f t="shared" si="169"/>
        <v>3.2903225806451615</v>
      </c>
      <c r="AJ572">
        <f t="shared" si="170"/>
        <v>1.048</v>
      </c>
      <c r="AK572" t="s">
        <v>112</v>
      </c>
      <c r="AL572">
        <v>40</v>
      </c>
      <c r="AM572" t="s">
        <v>140</v>
      </c>
      <c r="AN572" t="s">
        <v>364</v>
      </c>
      <c r="AO572">
        <v>0.78700000000000003</v>
      </c>
    </row>
    <row r="573" spans="1:41" ht="15.6">
      <c r="A573">
        <v>14</v>
      </c>
      <c r="B573" t="s">
        <v>363</v>
      </c>
      <c r="C573" t="s">
        <v>362</v>
      </c>
      <c r="E573" s="3">
        <f t="shared" si="163"/>
        <v>34.659090909090914</v>
      </c>
      <c r="F573">
        <v>2023</v>
      </c>
      <c r="G573">
        <f t="shared" si="171"/>
        <v>2</v>
      </c>
      <c r="H573">
        <v>0.28000000000000003</v>
      </c>
      <c r="I573">
        <v>0.61</v>
      </c>
      <c r="J573">
        <f t="shared" si="164"/>
        <v>176</v>
      </c>
      <c r="K573">
        <v>41</v>
      </c>
      <c r="L573">
        <v>3</v>
      </c>
      <c r="M573" s="12">
        <f t="shared" si="165"/>
        <v>0.49233458707602862</v>
      </c>
      <c r="N573">
        <f t="shared" si="172"/>
        <v>5.2890033166812497E-2</v>
      </c>
      <c r="O573">
        <f t="shared" si="166"/>
        <v>0.70166558065507856</v>
      </c>
      <c r="P573" t="s">
        <v>581</v>
      </c>
      <c r="Q573" t="s">
        <v>763</v>
      </c>
      <c r="R573">
        <v>0.39900000000000002</v>
      </c>
      <c r="S573">
        <f t="shared" si="167"/>
        <v>3.9677614678899062</v>
      </c>
      <c r="U573">
        <v>87</v>
      </c>
      <c r="V573" t="s">
        <v>764</v>
      </c>
      <c r="W573">
        <f t="shared" si="168"/>
        <v>42.185483870967744</v>
      </c>
      <c r="Y573">
        <v>2011</v>
      </c>
      <c r="Z573">
        <f>2025-AVERAGE($Y$517:$Y$692)</f>
        <v>11.48863636363626</v>
      </c>
      <c r="AA573">
        <v>0.890008259489252</v>
      </c>
      <c r="AB573">
        <v>7.8482643139061096E-6</v>
      </c>
      <c r="AC573">
        <v>0.95</v>
      </c>
      <c r="AD573" s="3">
        <v>0.99405399999999899</v>
      </c>
      <c r="AE573">
        <v>0</v>
      </c>
      <c r="AF573" t="str">
        <f t="shared" si="142"/>
        <v>Non-US</v>
      </c>
      <c r="AG573">
        <v>1</v>
      </c>
      <c r="AH573">
        <v>1</v>
      </c>
      <c r="AI573">
        <f t="shared" si="169"/>
        <v>3.2903225806451615</v>
      </c>
      <c r="AJ573">
        <f t="shared" si="170"/>
        <v>1.048</v>
      </c>
      <c r="AK573" t="s">
        <v>112</v>
      </c>
      <c r="AL573">
        <v>40</v>
      </c>
      <c r="AM573" t="s">
        <v>140</v>
      </c>
      <c r="AN573" t="s">
        <v>364</v>
      </c>
      <c r="AO573">
        <v>0.78700000000000003</v>
      </c>
    </row>
    <row r="574" spans="1:41" ht="15.6">
      <c r="A574">
        <v>14</v>
      </c>
      <c r="B574" t="s">
        <v>363</v>
      </c>
      <c r="C574" t="s">
        <v>362</v>
      </c>
      <c r="E574" s="3">
        <f t="shared" si="163"/>
        <v>34.659090909090914</v>
      </c>
      <c r="F574">
        <v>2023</v>
      </c>
      <c r="G574">
        <f t="shared" si="171"/>
        <v>2</v>
      </c>
      <c r="H574">
        <v>0.28000000000000003</v>
      </c>
      <c r="I574">
        <v>0.61</v>
      </c>
      <c r="J574">
        <f t="shared" si="164"/>
        <v>176</v>
      </c>
      <c r="K574">
        <v>41</v>
      </c>
      <c r="L574">
        <v>3</v>
      </c>
      <c r="M574" s="12">
        <f t="shared" si="165"/>
        <v>0.49233458707602862</v>
      </c>
      <c r="N574">
        <f t="shared" si="172"/>
        <v>5.2890033166812497E-2</v>
      </c>
      <c r="O574">
        <f t="shared" si="166"/>
        <v>0.70166558065507856</v>
      </c>
      <c r="P574" t="s">
        <v>582</v>
      </c>
      <c r="Q574" t="s">
        <v>527</v>
      </c>
      <c r="R574">
        <v>2.8540000000000001</v>
      </c>
      <c r="S574">
        <f t="shared" si="167"/>
        <v>3.9677614678899062</v>
      </c>
      <c r="U574">
        <v>38</v>
      </c>
      <c r="V574" t="s">
        <v>138</v>
      </c>
      <c r="W574">
        <f t="shared" si="168"/>
        <v>42.185483870967744</v>
      </c>
      <c r="Y574">
        <v>2020</v>
      </c>
      <c r="Z574">
        <f>2025-AVERAGE($Y$517:$Y$692)</f>
        <v>11.48863636363626</v>
      </c>
      <c r="AA574">
        <v>0.76296538126911295</v>
      </c>
      <c r="AB574">
        <v>0.54463494786930799</v>
      </c>
      <c r="AC574">
        <v>0.16</v>
      </c>
      <c r="AD574" s="3">
        <v>0.105501</v>
      </c>
      <c r="AE574">
        <v>0</v>
      </c>
      <c r="AF574" t="str">
        <f t="shared" si="142"/>
        <v>Non-US</v>
      </c>
      <c r="AH574">
        <v>1</v>
      </c>
      <c r="AI574">
        <f t="shared" si="169"/>
        <v>3.2903225806451615</v>
      </c>
      <c r="AJ574">
        <f t="shared" si="170"/>
        <v>1.048</v>
      </c>
      <c r="AK574" t="s">
        <v>112</v>
      </c>
      <c r="AL574">
        <v>40</v>
      </c>
      <c r="AM574" t="s">
        <v>140</v>
      </c>
      <c r="AN574" t="s">
        <v>364</v>
      </c>
      <c r="AO574">
        <v>0.78700000000000003</v>
      </c>
    </row>
    <row r="575" spans="1:41" ht="15.6">
      <c r="A575">
        <v>14</v>
      </c>
      <c r="B575" t="s">
        <v>363</v>
      </c>
      <c r="C575" t="s">
        <v>362</v>
      </c>
      <c r="E575" s="3">
        <f t="shared" si="163"/>
        <v>34.659090909090914</v>
      </c>
      <c r="F575">
        <v>2023</v>
      </c>
      <c r="G575">
        <f t="shared" si="171"/>
        <v>2</v>
      </c>
      <c r="H575">
        <v>0.28000000000000003</v>
      </c>
      <c r="I575">
        <v>0.61</v>
      </c>
      <c r="J575">
        <f t="shared" si="164"/>
        <v>176</v>
      </c>
      <c r="K575">
        <v>41</v>
      </c>
      <c r="L575">
        <v>3</v>
      </c>
      <c r="M575" s="12">
        <f t="shared" si="165"/>
        <v>0.49233458707602862</v>
      </c>
      <c r="N575">
        <f t="shared" si="172"/>
        <v>5.2890033166812497E-2</v>
      </c>
      <c r="O575">
        <f t="shared" si="166"/>
        <v>0.70166558065507856</v>
      </c>
      <c r="P575" t="s">
        <v>670</v>
      </c>
      <c r="S575">
        <f t="shared" si="167"/>
        <v>3.9677614678899062</v>
      </c>
      <c r="W575">
        <f t="shared" si="168"/>
        <v>42.185483870967744</v>
      </c>
      <c r="Y575">
        <v>2006</v>
      </c>
      <c r="Z575">
        <f>2025-AVERAGE($Y$517:$Y$692)</f>
        <v>11.48863636363626</v>
      </c>
      <c r="AA575">
        <v>1.8956944429771E-6</v>
      </c>
      <c r="AB575">
        <v>0.56344893659782602</v>
      </c>
      <c r="AC575" t="s">
        <v>261</v>
      </c>
      <c r="AD575" s="3">
        <v>0.2</v>
      </c>
      <c r="AE575">
        <v>0</v>
      </c>
      <c r="AF575" t="str">
        <f t="shared" si="142"/>
        <v>Non-US</v>
      </c>
      <c r="AI575">
        <f t="shared" si="169"/>
        <v>3.2903225806451615</v>
      </c>
      <c r="AJ575">
        <f t="shared" si="170"/>
        <v>1.048</v>
      </c>
      <c r="AK575" t="s">
        <v>112</v>
      </c>
      <c r="AL575">
        <v>40</v>
      </c>
      <c r="AM575" t="s">
        <v>140</v>
      </c>
      <c r="AN575" t="s">
        <v>364</v>
      </c>
      <c r="AO575">
        <v>0.78700000000000003</v>
      </c>
    </row>
    <row r="576" spans="1:41" ht="15.6">
      <c r="A576">
        <v>14</v>
      </c>
      <c r="B576" t="s">
        <v>363</v>
      </c>
      <c r="C576" t="s">
        <v>362</v>
      </c>
      <c r="E576" s="3">
        <f t="shared" si="163"/>
        <v>34.659090909090914</v>
      </c>
      <c r="F576">
        <v>2023</v>
      </c>
      <c r="G576">
        <f t="shared" si="171"/>
        <v>2</v>
      </c>
      <c r="H576">
        <v>0.28000000000000003</v>
      </c>
      <c r="I576">
        <v>0.61</v>
      </c>
      <c r="J576">
        <f t="shared" si="164"/>
        <v>176</v>
      </c>
      <c r="K576">
        <v>41</v>
      </c>
      <c r="L576">
        <v>3</v>
      </c>
      <c r="M576" s="12">
        <f t="shared" si="165"/>
        <v>0.49233458707602862</v>
      </c>
      <c r="N576">
        <f t="shared" si="172"/>
        <v>5.2890033166812497E-2</v>
      </c>
      <c r="O576">
        <f t="shared" si="166"/>
        <v>0.70166558065507856</v>
      </c>
      <c r="P576" t="s">
        <v>671</v>
      </c>
      <c r="Q576" t="s">
        <v>765</v>
      </c>
      <c r="R576">
        <v>4.8460000000000001</v>
      </c>
      <c r="S576">
        <f t="shared" si="167"/>
        <v>3.9677614678899062</v>
      </c>
      <c r="U576">
        <v>77</v>
      </c>
      <c r="V576" t="s">
        <v>755</v>
      </c>
      <c r="W576">
        <f t="shared" si="168"/>
        <v>42.185483870967744</v>
      </c>
      <c r="Y576">
        <v>2021</v>
      </c>
      <c r="Z576">
        <f>2025-AVERAGE($Y$517:$Y$692)</f>
        <v>11.48863636363626</v>
      </c>
      <c r="AA576">
        <v>7.1521523777506799E-3</v>
      </c>
      <c r="AB576">
        <v>0.115563444416586</v>
      </c>
      <c r="AC576" t="s">
        <v>261</v>
      </c>
      <c r="AD576" s="3">
        <v>0.45</v>
      </c>
      <c r="AE576">
        <v>0</v>
      </c>
      <c r="AF576" t="str">
        <f t="shared" si="142"/>
        <v>Non-US</v>
      </c>
      <c r="AG576">
        <v>14</v>
      </c>
      <c r="AH576">
        <v>1</v>
      </c>
      <c r="AI576">
        <f t="shared" si="169"/>
        <v>3.2903225806451615</v>
      </c>
      <c r="AJ576">
        <f t="shared" si="170"/>
        <v>1.048</v>
      </c>
      <c r="AK576" t="s">
        <v>112</v>
      </c>
      <c r="AL576">
        <v>40</v>
      </c>
      <c r="AM576" t="s">
        <v>140</v>
      </c>
      <c r="AN576" t="s">
        <v>364</v>
      </c>
      <c r="AO576">
        <v>0.78700000000000003</v>
      </c>
    </row>
    <row r="577" spans="1:41" ht="15.6">
      <c r="A577">
        <v>14</v>
      </c>
      <c r="B577" t="s">
        <v>363</v>
      </c>
      <c r="C577" t="s">
        <v>362</v>
      </c>
      <c r="E577" s="3">
        <f t="shared" si="163"/>
        <v>34.659090909090914</v>
      </c>
      <c r="F577">
        <v>2023</v>
      </c>
      <c r="G577">
        <f t="shared" si="171"/>
        <v>2</v>
      </c>
      <c r="H577">
        <v>0.28000000000000003</v>
      </c>
      <c r="I577">
        <v>0.61</v>
      </c>
      <c r="J577">
        <f t="shared" si="164"/>
        <v>176</v>
      </c>
      <c r="K577">
        <v>41</v>
      </c>
      <c r="L577">
        <v>3</v>
      </c>
      <c r="M577" s="12">
        <f t="shared" si="165"/>
        <v>0.49233458707602862</v>
      </c>
      <c r="N577">
        <f t="shared" si="172"/>
        <v>5.2890033166812497E-2</v>
      </c>
      <c r="O577">
        <f t="shared" si="166"/>
        <v>0.70166558065507856</v>
      </c>
      <c r="P577" t="s">
        <v>583</v>
      </c>
      <c r="S577">
        <f t="shared" si="167"/>
        <v>3.9677614678899062</v>
      </c>
      <c r="W577">
        <f t="shared" si="168"/>
        <v>42.185483870967744</v>
      </c>
      <c r="Y577">
        <v>2014</v>
      </c>
      <c r="Z577">
        <f>2025-AVERAGE($Y$517:$Y$692)</f>
        <v>11.48863636363626</v>
      </c>
      <c r="AA577">
        <v>0.69620706411498701</v>
      </c>
      <c r="AB577">
        <v>2.3404303906210499E-7</v>
      </c>
      <c r="AC577" t="s">
        <v>261</v>
      </c>
      <c r="AD577" s="3">
        <v>0.4</v>
      </c>
      <c r="AE577">
        <v>0</v>
      </c>
      <c r="AF577" t="str">
        <f t="shared" si="142"/>
        <v>Non-US</v>
      </c>
      <c r="AI577">
        <f t="shared" si="169"/>
        <v>3.2903225806451615</v>
      </c>
      <c r="AJ577">
        <f t="shared" si="170"/>
        <v>1.048</v>
      </c>
      <c r="AK577" t="s">
        <v>112</v>
      </c>
      <c r="AL577">
        <v>40</v>
      </c>
      <c r="AM577" t="s">
        <v>140</v>
      </c>
      <c r="AN577" t="s">
        <v>364</v>
      </c>
      <c r="AO577">
        <v>0.78700000000000003</v>
      </c>
    </row>
    <row r="578" spans="1:41" ht="15.6">
      <c r="A578">
        <v>14</v>
      </c>
      <c r="B578" t="s">
        <v>363</v>
      </c>
      <c r="C578" t="s">
        <v>362</v>
      </c>
      <c r="E578" s="3">
        <f t="shared" si="163"/>
        <v>34.659090909090914</v>
      </c>
      <c r="F578">
        <v>2023</v>
      </c>
      <c r="G578">
        <f t="shared" si="171"/>
        <v>2</v>
      </c>
      <c r="H578">
        <v>0.28000000000000003</v>
      </c>
      <c r="I578">
        <v>0.61</v>
      </c>
      <c r="J578">
        <f t="shared" si="164"/>
        <v>176</v>
      </c>
      <c r="K578">
        <v>41</v>
      </c>
      <c r="L578">
        <v>3</v>
      </c>
      <c r="M578" s="12">
        <f t="shared" si="165"/>
        <v>0.49233458707602862</v>
      </c>
      <c r="N578">
        <f t="shared" si="172"/>
        <v>5.2890033166812497E-2</v>
      </c>
      <c r="O578">
        <f t="shared" si="166"/>
        <v>0.70166558065507856</v>
      </c>
      <c r="P578" t="s">
        <v>584</v>
      </c>
      <c r="S578">
        <f t="shared" si="167"/>
        <v>3.9677614678899062</v>
      </c>
      <c r="W578">
        <f t="shared" si="168"/>
        <v>42.185483870967744</v>
      </c>
      <c r="Y578">
        <v>2011</v>
      </c>
      <c r="Z578">
        <f>2025-AVERAGE($Y$517:$Y$692)</f>
        <v>11.48863636363626</v>
      </c>
      <c r="AA578">
        <v>0.61278354926435896</v>
      </c>
      <c r="AB578" t="s">
        <v>261</v>
      </c>
      <c r="AC578">
        <v>0.14278606965174101</v>
      </c>
      <c r="AD578" s="3">
        <v>4.9535603715170198E-2</v>
      </c>
      <c r="AE578">
        <v>0</v>
      </c>
      <c r="AF578" t="str">
        <f t="shared" si="142"/>
        <v>Non-US</v>
      </c>
      <c r="AI578">
        <f t="shared" si="169"/>
        <v>3.2903225806451615</v>
      </c>
      <c r="AJ578">
        <f t="shared" si="170"/>
        <v>1.048</v>
      </c>
      <c r="AK578" t="s">
        <v>112</v>
      </c>
      <c r="AL578">
        <v>40</v>
      </c>
      <c r="AM578" t="s">
        <v>140</v>
      </c>
      <c r="AN578" t="s">
        <v>364</v>
      </c>
      <c r="AO578">
        <v>0.78700000000000003</v>
      </c>
    </row>
    <row r="579" spans="1:41" ht="15.6">
      <c r="A579">
        <v>14</v>
      </c>
      <c r="B579" t="s">
        <v>363</v>
      </c>
      <c r="C579" t="s">
        <v>362</v>
      </c>
      <c r="E579" s="3">
        <f t="shared" si="163"/>
        <v>34.659090909090914</v>
      </c>
      <c r="F579">
        <v>2023</v>
      </c>
      <c r="G579">
        <f t="shared" si="171"/>
        <v>2</v>
      </c>
      <c r="H579">
        <v>0.28000000000000003</v>
      </c>
      <c r="I579">
        <v>0.61</v>
      </c>
      <c r="J579">
        <f t="shared" si="164"/>
        <v>176</v>
      </c>
      <c r="K579">
        <v>41</v>
      </c>
      <c r="L579">
        <v>3</v>
      </c>
      <c r="M579" s="12">
        <f t="shared" si="165"/>
        <v>0.49233458707602862</v>
      </c>
      <c r="N579">
        <f t="shared" si="172"/>
        <v>5.2890033166812497E-2</v>
      </c>
      <c r="O579">
        <f t="shared" si="166"/>
        <v>0.70166558065507856</v>
      </c>
      <c r="P579" t="s">
        <v>672</v>
      </c>
      <c r="Q579" t="s">
        <v>527</v>
      </c>
      <c r="R579">
        <v>4.3460000000000001</v>
      </c>
      <c r="S579">
        <f t="shared" si="167"/>
        <v>3.9677614678899062</v>
      </c>
      <c r="U579">
        <v>42</v>
      </c>
      <c r="V579" t="s">
        <v>138</v>
      </c>
      <c r="W579">
        <f t="shared" si="168"/>
        <v>42.185483870967744</v>
      </c>
      <c r="Y579">
        <v>2015</v>
      </c>
      <c r="Z579">
        <f>2025-AVERAGE($Y$517:$Y$692)</f>
        <v>11.48863636363626</v>
      </c>
      <c r="AA579">
        <v>2.70591310419132E-3</v>
      </c>
      <c r="AB579">
        <v>6.7319915476862002E-2</v>
      </c>
      <c r="AC579" t="s">
        <v>261</v>
      </c>
      <c r="AD579" s="3">
        <v>0.22</v>
      </c>
      <c r="AE579">
        <v>0</v>
      </c>
      <c r="AF579" t="str">
        <f t="shared" si="142"/>
        <v>Non-US</v>
      </c>
      <c r="AG579">
        <v>2</v>
      </c>
      <c r="AH579">
        <v>1</v>
      </c>
      <c r="AI579">
        <f t="shared" si="169"/>
        <v>3.2903225806451615</v>
      </c>
      <c r="AJ579">
        <f t="shared" si="170"/>
        <v>1.048</v>
      </c>
      <c r="AK579" t="s">
        <v>112</v>
      </c>
      <c r="AL579">
        <v>40</v>
      </c>
      <c r="AM579" t="s">
        <v>140</v>
      </c>
      <c r="AN579" t="s">
        <v>364</v>
      </c>
      <c r="AO579">
        <v>0.78700000000000003</v>
      </c>
    </row>
    <row r="580" spans="1:41" ht="15.6">
      <c r="A580">
        <v>14</v>
      </c>
      <c r="B580" t="s">
        <v>363</v>
      </c>
      <c r="C580" t="s">
        <v>362</v>
      </c>
      <c r="E580" s="3">
        <f t="shared" si="163"/>
        <v>34.659090909090914</v>
      </c>
      <c r="F580">
        <v>2023</v>
      </c>
      <c r="G580">
        <f t="shared" si="171"/>
        <v>2</v>
      </c>
      <c r="H580">
        <v>0.28000000000000003</v>
      </c>
      <c r="I580">
        <v>0.61</v>
      </c>
      <c r="J580">
        <f t="shared" si="164"/>
        <v>176</v>
      </c>
      <c r="K580">
        <v>41</v>
      </c>
      <c r="L580">
        <v>3</v>
      </c>
      <c r="M580" s="12">
        <f t="shared" si="165"/>
        <v>0.49233458707602862</v>
      </c>
      <c r="N580">
        <f t="shared" si="172"/>
        <v>5.2890033166812497E-2</v>
      </c>
      <c r="O580">
        <f t="shared" si="166"/>
        <v>0.70166558065507856</v>
      </c>
      <c r="P580" t="s">
        <v>585</v>
      </c>
      <c r="S580">
        <f t="shared" si="167"/>
        <v>3.9677614678899062</v>
      </c>
      <c r="W580">
        <f t="shared" si="168"/>
        <v>42.185483870967744</v>
      </c>
      <c r="Y580">
        <v>2020</v>
      </c>
      <c r="Z580">
        <f>2025-AVERAGE($Y$517:$Y$692)</f>
        <v>11.48863636363626</v>
      </c>
      <c r="AA580">
        <v>7.3638270120302399E-2</v>
      </c>
      <c r="AB580" t="s">
        <v>261</v>
      </c>
      <c r="AC580">
        <v>1.0249999999999999</v>
      </c>
      <c r="AD580" s="3">
        <v>1.0369999999999999</v>
      </c>
      <c r="AE580">
        <v>0</v>
      </c>
      <c r="AF580" t="str">
        <f t="shared" si="142"/>
        <v>Non-US</v>
      </c>
      <c r="AI580">
        <f t="shared" si="169"/>
        <v>3.2903225806451615</v>
      </c>
      <c r="AJ580">
        <f t="shared" si="170"/>
        <v>1.048</v>
      </c>
      <c r="AK580" t="s">
        <v>112</v>
      </c>
      <c r="AL580">
        <v>40</v>
      </c>
      <c r="AM580" t="s">
        <v>140</v>
      </c>
      <c r="AN580" t="s">
        <v>364</v>
      </c>
      <c r="AO580">
        <v>0.78700000000000003</v>
      </c>
    </row>
    <row r="581" spans="1:41" ht="15.6">
      <c r="A581">
        <v>14</v>
      </c>
      <c r="B581" t="s">
        <v>363</v>
      </c>
      <c r="C581" t="s">
        <v>362</v>
      </c>
      <c r="E581" s="3">
        <f t="shared" si="163"/>
        <v>34.659090909090914</v>
      </c>
      <c r="F581">
        <v>2023</v>
      </c>
      <c r="G581">
        <f t="shared" si="171"/>
        <v>2</v>
      </c>
      <c r="H581">
        <v>0.28000000000000003</v>
      </c>
      <c r="I581">
        <v>0.61</v>
      </c>
      <c r="J581">
        <f t="shared" si="164"/>
        <v>176</v>
      </c>
      <c r="K581">
        <v>41</v>
      </c>
      <c r="L581">
        <v>3</v>
      </c>
      <c r="M581" s="12">
        <f t="shared" si="165"/>
        <v>0.49233458707602862</v>
      </c>
      <c r="N581">
        <f t="shared" ref="N581:N612" si="173">$O$517/SQRT($J$517)</f>
        <v>5.2890033166812497E-2</v>
      </c>
      <c r="O581">
        <f t="shared" si="166"/>
        <v>0.70166558065507856</v>
      </c>
      <c r="P581" t="s">
        <v>586</v>
      </c>
      <c r="Q581" t="s">
        <v>527</v>
      </c>
      <c r="R581">
        <v>4.4050000000000002</v>
      </c>
      <c r="S581">
        <f t="shared" si="167"/>
        <v>3.9677614678899062</v>
      </c>
      <c r="U581">
        <v>39</v>
      </c>
      <c r="V581" t="s">
        <v>138</v>
      </c>
      <c r="W581">
        <f t="shared" si="168"/>
        <v>42.185483870967744</v>
      </c>
      <c r="Y581">
        <v>2016</v>
      </c>
      <c r="Z581">
        <f>2025-AVERAGE($Y$517:$Y$692)</f>
        <v>11.48863636363626</v>
      </c>
      <c r="AA581">
        <v>0.23240624253543901</v>
      </c>
      <c r="AB581">
        <v>1.09027208418848E-4</v>
      </c>
      <c r="AC581" t="s">
        <v>261</v>
      </c>
      <c r="AD581" s="3">
        <v>2.1</v>
      </c>
      <c r="AE581">
        <v>0</v>
      </c>
      <c r="AF581" t="str">
        <f t="shared" si="142"/>
        <v>Non-US</v>
      </c>
      <c r="AG581">
        <v>3</v>
      </c>
      <c r="AH581">
        <v>1</v>
      </c>
      <c r="AI581">
        <f t="shared" si="169"/>
        <v>3.2903225806451615</v>
      </c>
      <c r="AJ581">
        <f t="shared" si="170"/>
        <v>1.048</v>
      </c>
      <c r="AK581" t="s">
        <v>112</v>
      </c>
      <c r="AL581">
        <v>40</v>
      </c>
      <c r="AM581" t="s">
        <v>140</v>
      </c>
      <c r="AN581" t="s">
        <v>364</v>
      </c>
      <c r="AO581">
        <v>0.78700000000000003</v>
      </c>
    </row>
    <row r="582" spans="1:41" ht="15.6">
      <c r="A582">
        <v>14</v>
      </c>
      <c r="B582" t="s">
        <v>363</v>
      </c>
      <c r="C582" t="s">
        <v>362</v>
      </c>
      <c r="E582" s="3">
        <f t="shared" ref="E582:E645" si="174">100*(61/176)</f>
        <v>34.659090909090914</v>
      </c>
      <c r="F582">
        <v>2023</v>
      </c>
      <c r="G582">
        <f t="shared" si="171"/>
        <v>2</v>
      </c>
      <c r="H582">
        <v>0.28000000000000003</v>
      </c>
      <c r="I582">
        <v>0.61</v>
      </c>
      <c r="J582">
        <f t="shared" ref="J582:J645" si="175">COUNTA($P$517:$P$692)</f>
        <v>176</v>
      </c>
      <c r="K582">
        <v>41</v>
      </c>
      <c r="L582">
        <v>3</v>
      </c>
      <c r="M582" s="12">
        <f t="shared" ref="M582:M645" si="176">_xlfn.VAR.P($AD$517:$AD$692)</f>
        <v>0.49233458707602862</v>
      </c>
      <c r="N582">
        <f t="shared" si="173"/>
        <v>5.2890033166812497E-2</v>
      </c>
      <c r="O582">
        <f t="shared" ref="O582:O645" si="177">_xlfn.STDEV.P($AD$517:$AD$692)</f>
        <v>0.70166558065507856</v>
      </c>
      <c r="P582" t="s">
        <v>587</v>
      </c>
      <c r="Q582" t="s">
        <v>529</v>
      </c>
      <c r="R582">
        <v>5.6890000000000001</v>
      </c>
      <c r="S582">
        <f t="shared" ref="S582:S645" si="178">AVERAGE($R$517:$R$692)</f>
        <v>3.9677614678899062</v>
      </c>
      <c r="U582">
        <v>83</v>
      </c>
      <c r="V582" t="s">
        <v>138</v>
      </c>
      <c r="W582">
        <f t="shared" ref="W582:W645" si="179">AVERAGE($U$517:$U$692)</f>
        <v>42.185483870967744</v>
      </c>
      <c r="Y582">
        <v>2012</v>
      </c>
      <c r="Z582">
        <f>2025-AVERAGE($Y$517:$Y$692)</f>
        <v>11.48863636363626</v>
      </c>
      <c r="AA582">
        <v>0.91652605506899998</v>
      </c>
      <c r="AB582">
        <v>0.99654676038849899</v>
      </c>
      <c r="AC582">
        <v>1.44999999999998</v>
      </c>
      <c r="AD582" s="3">
        <v>4.9999999999954498E-2</v>
      </c>
      <c r="AE582">
        <v>0</v>
      </c>
      <c r="AF582" t="str">
        <f t="shared" si="142"/>
        <v>Non-US</v>
      </c>
      <c r="AG582">
        <v>2</v>
      </c>
      <c r="AH582">
        <v>1</v>
      </c>
      <c r="AI582">
        <f t="shared" ref="AI582:AI645" si="180">AVERAGE($AG$517:$AG$692)</f>
        <v>3.2903225806451615</v>
      </c>
      <c r="AJ582">
        <f t="shared" ref="AJ582:AJ645" si="181">AVERAGE($AH$517:$AH$692)</f>
        <v>1.048</v>
      </c>
      <c r="AK582" t="s">
        <v>112</v>
      </c>
      <c r="AL582">
        <v>40</v>
      </c>
      <c r="AM582" t="s">
        <v>140</v>
      </c>
      <c r="AN582" t="s">
        <v>364</v>
      </c>
      <c r="AO582">
        <v>0.78700000000000003</v>
      </c>
    </row>
    <row r="583" spans="1:41" ht="15.6">
      <c r="A583">
        <v>14</v>
      </c>
      <c r="B583" t="s">
        <v>363</v>
      </c>
      <c r="C583" t="s">
        <v>362</v>
      </c>
      <c r="E583" s="3">
        <f t="shared" si="174"/>
        <v>34.659090909090914</v>
      </c>
      <c r="F583">
        <v>2023</v>
      </c>
      <c r="G583">
        <f t="shared" si="171"/>
        <v>2</v>
      </c>
      <c r="H583">
        <v>0.28000000000000003</v>
      </c>
      <c r="I583">
        <v>0.61</v>
      </c>
      <c r="J583">
        <f t="shared" si="175"/>
        <v>176</v>
      </c>
      <c r="K583">
        <v>41</v>
      </c>
      <c r="L583">
        <v>3</v>
      </c>
      <c r="M583" s="12">
        <f t="shared" si="176"/>
        <v>0.49233458707602862</v>
      </c>
      <c r="N583">
        <f t="shared" si="173"/>
        <v>5.2890033166812497E-2</v>
      </c>
      <c r="O583">
        <f t="shared" si="177"/>
        <v>0.70166558065507856</v>
      </c>
      <c r="P583" t="s">
        <v>588</v>
      </c>
      <c r="Q583" t="s">
        <v>527</v>
      </c>
      <c r="R583">
        <v>3.641</v>
      </c>
      <c r="S583">
        <f t="shared" si="178"/>
        <v>3.9677614678899062</v>
      </c>
      <c r="U583">
        <v>43</v>
      </c>
      <c r="V583" t="s">
        <v>138</v>
      </c>
      <c r="W583">
        <f t="shared" si="179"/>
        <v>42.185483870967744</v>
      </c>
      <c r="Y583">
        <v>2020</v>
      </c>
      <c r="Z583">
        <f>2025-AVERAGE($Y$517:$Y$692)</f>
        <v>11.48863636363626</v>
      </c>
      <c r="AA583">
        <v>0.70892107767798995</v>
      </c>
      <c r="AB583">
        <v>3.2915493119722098E-10</v>
      </c>
      <c r="AC583">
        <v>1.02</v>
      </c>
      <c r="AD583" s="3">
        <v>1.06</v>
      </c>
      <c r="AE583">
        <v>0</v>
      </c>
      <c r="AF583" t="str">
        <f t="shared" si="142"/>
        <v>Non-US</v>
      </c>
      <c r="AG583">
        <v>3</v>
      </c>
      <c r="AH583">
        <v>1</v>
      </c>
      <c r="AI583">
        <f t="shared" si="180"/>
        <v>3.2903225806451615</v>
      </c>
      <c r="AJ583">
        <f t="shared" si="181"/>
        <v>1.048</v>
      </c>
      <c r="AK583" t="s">
        <v>112</v>
      </c>
      <c r="AL583">
        <v>40</v>
      </c>
      <c r="AM583" t="s">
        <v>140</v>
      </c>
      <c r="AN583" t="s">
        <v>364</v>
      </c>
      <c r="AO583">
        <v>0.78700000000000003</v>
      </c>
    </row>
    <row r="584" spans="1:41" ht="15.6">
      <c r="A584">
        <v>14</v>
      </c>
      <c r="B584" t="s">
        <v>363</v>
      </c>
      <c r="C584" t="s">
        <v>362</v>
      </c>
      <c r="E584" s="3">
        <f t="shared" si="174"/>
        <v>34.659090909090914</v>
      </c>
      <c r="F584">
        <v>2023</v>
      </c>
      <c r="G584">
        <f t="shared" si="171"/>
        <v>2</v>
      </c>
      <c r="H584">
        <v>0.28000000000000003</v>
      </c>
      <c r="I584">
        <v>0.61</v>
      </c>
      <c r="J584">
        <f t="shared" si="175"/>
        <v>176</v>
      </c>
      <c r="K584">
        <v>41</v>
      </c>
      <c r="L584">
        <v>3</v>
      </c>
      <c r="M584" s="12">
        <f t="shared" si="176"/>
        <v>0.49233458707602862</v>
      </c>
      <c r="N584">
        <f t="shared" si="173"/>
        <v>5.2890033166812497E-2</v>
      </c>
      <c r="O584">
        <f t="shared" si="177"/>
        <v>0.70166558065507856</v>
      </c>
      <c r="P584" t="s">
        <v>673</v>
      </c>
      <c r="Q584" t="s">
        <v>527</v>
      </c>
      <c r="R584">
        <v>3.508</v>
      </c>
      <c r="S584">
        <f t="shared" si="178"/>
        <v>3.9677614678899062</v>
      </c>
      <c r="U584">
        <v>29</v>
      </c>
      <c r="V584" t="s">
        <v>138</v>
      </c>
      <c r="W584">
        <f t="shared" si="179"/>
        <v>42.185483870967744</v>
      </c>
      <c r="Y584">
        <v>2007</v>
      </c>
      <c r="Z584">
        <f>2025-AVERAGE($Y$517:$Y$692)</f>
        <v>11.48863636363626</v>
      </c>
      <c r="AA584">
        <v>3.0843091600729601E-6</v>
      </c>
      <c r="AB584">
        <v>0.51781220694413699</v>
      </c>
      <c r="AC584" t="s">
        <v>261</v>
      </c>
      <c r="AD584" s="3">
        <v>0.25</v>
      </c>
      <c r="AE584">
        <v>0</v>
      </c>
      <c r="AF584" t="str">
        <f t="shared" si="142"/>
        <v>Non-US</v>
      </c>
      <c r="AG584">
        <v>2</v>
      </c>
      <c r="AH584">
        <v>1</v>
      </c>
      <c r="AI584">
        <f t="shared" si="180"/>
        <v>3.2903225806451615</v>
      </c>
      <c r="AJ584">
        <f t="shared" si="181"/>
        <v>1.048</v>
      </c>
      <c r="AK584" t="s">
        <v>112</v>
      </c>
      <c r="AL584">
        <v>40</v>
      </c>
      <c r="AM584" t="s">
        <v>140</v>
      </c>
      <c r="AN584" t="s">
        <v>364</v>
      </c>
      <c r="AO584">
        <v>0.78700000000000003</v>
      </c>
    </row>
    <row r="585" spans="1:41" ht="15.6">
      <c r="A585">
        <v>14</v>
      </c>
      <c r="B585" t="s">
        <v>363</v>
      </c>
      <c r="C585" t="s">
        <v>362</v>
      </c>
      <c r="E585" s="3">
        <f t="shared" si="174"/>
        <v>34.659090909090914</v>
      </c>
      <c r="F585">
        <v>2023</v>
      </c>
      <c r="G585">
        <f t="shared" si="171"/>
        <v>2</v>
      </c>
      <c r="H585">
        <v>0.28000000000000003</v>
      </c>
      <c r="I585">
        <v>0.61</v>
      </c>
      <c r="J585">
        <f t="shared" si="175"/>
        <v>176</v>
      </c>
      <c r="K585">
        <v>41</v>
      </c>
      <c r="L585">
        <v>3</v>
      </c>
      <c r="M585" s="12">
        <f t="shared" si="176"/>
        <v>0.49233458707602862</v>
      </c>
      <c r="N585">
        <f t="shared" si="173"/>
        <v>5.2890033166812497E-2</v>
      </c>
      <c r="O585">
        <f t="shared" si="177"/>
        <v>0.70166558065507856</v>
      </c>
      <c r="P585" t="s">
        <v>674</v>
      </c>
      <c r="Q585" t="s">
        <v>770</v>
      </c>
      <c r="R585">
        <v>0.55000000000000004</v>
      </c>
      <c r="S585">
        <f t="shared" si="178"/>
        <v>3.9677614678899062</v>
      </c>
      <c r="U585">
        <v>19</v>
      </c>
      <c r="V585" t="s">
        <v>138</v>
      </c>
      <c r="W585">
        <f t="shared" si="179"/>
        <v>42.185483870967744</v>
      </c>
      <c r="Y585">
        <v>2011</v>
      </c>
      <c r="Z585">
        <f>2025-AVERAGE($Y$517:$Y$692)</f>
        <v>11.48863636363626</v>
      </c>
      <c r="AA585" t="s">
        <v>261</v>
      </c>
      <c r="AB585" t="s">
        <v>261</v>
      </c>
      <c r="AC585" t="s">
        <v>261</v>
      </c>
      <c r="AD585" s="3" t="s">
        <v>261</v>
      </c>
      <c r="AE585">
        <v>0</v>
      </c>
      <c r="AF585" t="str">
        <f t="shared" si="142"/>
        <v>Non-US</v>
      </c>
      <c r="AG585">
        <v>3</v>
      </c>
      <c r="AH585">
        <v>1</v>
      </c>
      <c r="AI585">
        <f t="shared" si="180"/>
        <v>3.2903225806451615</v>
      </c>
      <c r="AJ585">
        <f t="shared" si="181"/>
        <v>1.048</v>
      </c>
      <c r="AK585" t="s">
        <v>112</v>
      </c>
      <c r="AL585">
        <v>40</v>
      </c>
      <c r="AM585" t="s">
        <v>140</v>
      </c>
      <c r="AN585" t="s">
        <v>364</v>
      </c>
      <c r="AO585">
        <v>0.78700000000000003</v>
      </c>
    </row>
    <row r="586" spans="1:41" ht="15.6">
      <c r="A586">
        <v>14</v>
      </c>
      <c r="B586" t="s">
        <v>363</v>
      </c>
      <c r="C586" t="s">
        <v>362</v>
      </c>
      <c r="E586" s="3">
        <f t="shared" si="174"/>
        <v>34.659090909090914</v>
      </c>
      <c r="F586">
        <v>2023</v>
      </c>
      <c r="G586">
        <f t="shared" si="171"/>
        <v>2</v>
      </c>
      <c r="H586">
        <v>0.28000000000000003</v>
      </c>
      <c r="I586">
        <v>0.61</v>
      </c>
      <c r="J586">
        <f t="shared" si="175"/>
        <v>176</v>
      </c>
      <c r="K586">
        <v>41</v>
      </c>
      <c r="L586">
        <v>3</v>
      </c>
      <c r="M586" s="12">
        <f t="shared" si="176"/>
        <v>0.49233458707602862</v>
      </c>
      <c r="N586">
        <f t="shared" si="173"/>
        <v>5.2890033166812497E-2</v>
      </c>
      <c r="O586">
        <f t="shared" si="177"/>
        <v>0.70166558065507856</v>
      </c>
      <c r="P586" t="s">
        <v>675</v>
      </c>
      <c r="Q586" t="s">
        <v>527</v>
      </c>
      <c r="R586">
        <v>4.3460000000000001</v>
      </c>
      <c r="S586">
        <f t="shared" si="178"/>
        <v>3.9677614678899062</v>
      </c>
      <c r="U586">
        <v>53</v>
      </c>
      <c r="V586" t="s">
        <v>138</v>
      </c>
      <c r="W586">
        <f t="shared" si="179"/>
        <v>42.185483870967744</v>
      </c>
      <c r="Y586">
        <v>2015</v>
      </c>
      <c r="Z586">
        <f>2025-AVERAGE($Y$517:$Y$692)</f>
        <v>11.48863636363626</v>
      </c>
      <c r="AA586">
        <v>7.0184616551431898E-3</v>
      </c>
      <c r="AB586">
        <v>0.50580875922172397</v>
      </c>
      <c r="AC586" t="s">
        <v>261</v>
      </c>
      <c r="AD586" s="3">
        <v>0.1</v>
      </c>
      <c r="AE586">
        <v>0</v>
      </c>
      <c r="AF586" t="str">
        <f t="shared" si="142"/>
        <v>Non-US</v>
      </c>
      <c r="AG586">
        <v>3</v>
      </c>
      <c r="AH586">
        <v>1</v>
      </c>
      <c r="AI586">
        <f t="shared" si="180"/>
        <v>3.2903225806451615</v>
      </c>
      <c r="AJ586">
        <f t="shared" si="181"/>
        <v>1.048</v>
      </c>
      <c r="AK586" t="s">
        <v>112</v>
      </c>
      <c r="AL586">
        <v>40</v>
      </c>
      <c r="AM586" t="s">
        <v>140</v>
      </c>
      <c r="AN586" t="s">
        <v>364</v>
      </c>
      <c r="AO586">
        <v>0.78700000000000003</v>
      </c>
    </row>
    <row r="587" spans="1:41" ht="15.6">
      <c r="A587">
        <v>14</v>
      </c>
      <c r="B587" t="s">
        <v>363</v>
      </c>
      <c r="C587" t="s">
        <v>362</v>
      </c>
      <c r="E587" s="3">
        <f t="shared" si="174"/>
        <v>34.659090909090914</v>
      </c>
      <c r="F587">
        <v>2023</v>
      </c>
      <c r="G587">
        <f t="shared" si="171"/>
        <v>2</v>
      </c>
      <c r="H587">
        <v>0.28000000000000003</v>
      </c>
      <c r="I587">
        <v>0.61</v>
      </c>
      <c r="J587">
        <f t="shared" si="175"/>
        <v>176</v>
      </c>
      <c r="K587">
        <v>41</v>
      </c>
      <c r="L587">
        <v>3</v>
      </c>
      <c r="M587" s="12">
        <f t="shared" si="176"/>
        <v>0.49233458707602862</v>
      </c>
      <c r="N587">
        <f t="shared" si="173"/>
        <v>5.2890033166812497E-2</v>
      </c>
      <c r="O587">
        <f t="shared" si="177"/>
        <v>0.70166558065507856</v>
      </c>
      <c r="P587" t="s">
        <v>676</v>
      </c>
      <c r="Q587" t="s">
        <v>744</v>
      </c>
      <c r="R587">
        <v>1.5229999999999999</v>
      </c>
      <c r="S587">
        <f t="shared" si="178"/>
        <v>3.9677614678899062</v>
      </c>
      <c r="U587">
        <v>34</v>
      </c>
      <c r="V587" t="s">
        <v>138</v>
      </c>
      <c r="W587">
        <f t="shared" si="179"/>
        <v>42.185483870967744</v>
      </c>
      <c r="Y587">
        <v>2018</v>
      </c>
      <c r="Z587">
        <f>2025-AVERAGE($Y$517:$Y$692)</f>
        <v>11.48863636363626</v>
      </c>
      <c r="AA587">
        <v>1.63567115407659E-9</v>
      </c>
      <c r="AB587">
        <v>2.3039353399823E-13</v>
      </c>
      <c r="AC587">
        <v>149</v>
      </c>
      <c r="AD587" s="3">
        <v>1.8</v>
      </c>
      <c r="AE587">
        <v>0</v>
      </c>
      <c r="AF587" t="str">
        <f t="shared" si="142"/>
        <v>Non-US</v>
      </c>
      <c r="AG587">
        <v>3</v>
      </c>
      <c r="AH587">
        <v>1</v>
      </c>
      <c r="AI587">
        <f t="shared" si="180"/>
        <v>3.2903225806451615</v>
      </c>
      <c r="AJ587">
        <f t="shared" si="181"/>
        <v>1.048</v>
      </c>
      <c r="AK587" t="s">
        <v>112</v>
      </c>
      <c r="AL587">
        <v>40</v>
      </c>
      <c r="AM587" t="s">
        <v>140</v>
      </c>
      <c r="AN587" t="s">
        <v>364</v>
      </c>
      <c r="AO587">
        <v>0.78700000000000003</v>
      </c>
    </row>
    <row r="588" spans="1:41" ht="15.6">
      <c r="A588">
        <v>14</v>
      </c>
      <c r="B588" t="s">
        <v>363</v>
      </c>
      <c r="C588" t="s">
        <v>362</v>
      </c>
      <c r="E588" s="3">
        <f t="shared" si="174"/>
        <v>34.659090909090914</v>
      </c>
      <c r="F588">
        <v>2023</v>
      </c>
      <c r="G588">
        <f t="shared" si="171"/>
        <v>2</v>
      </c>
      <c r="H588">
        <v>0.28000000000000003</v>
      </c>
      <c r="I588">
        <v>0.61</v>
      </c>
      <c r="J588">
        <f t="shared" si="175"/>
        <v>176</v>
      </c>
      <c r="K588">
        <v>41</v>
      </c>
      <c r="L588">
        <v>3</v>
      </c>
      <c r="M588" s="12">
        <f t="shared" si="176"/>
        <v>0.49233458707602862</v>
      </c>
      <c r="N588">
        <f t="shared" si="173"/>
        <v>5.2890033166812497E-2</v>
      </c>
      <c r="O588">
        <f t="shared" si="177"/>
        <v>0.70166558065507856</v>
      </c>
      <c r="P588" t="s">
        <v>677</v>
      </c>
      <c r="Q588" t="s">
        <v>527</v>
      </c>
      <c r="R588">
        <v>3.8290000000000002</v>
      </c>
      <c r="S588">
        <f t="shared" si="178"/>
        <v>3.9677614678899062</v>
      </c>
      <c r="U588">
        <v>40</v>
      </c>
      <c r="V588" t="s">
        <v>138</v>
      </c>
      <c r="W588">
        <f t="shared" si="179"/>
        <v>42.185483870967744</v>
      </c>
      <c r="Y588">
        <v>2011</v>
      </c>
      <c r="Z588">
        <f>2025-AVERAGE($Y$517:$Y$692)</f>
        <v>11.48863636363626</v>
      </c>
      <c r="AA588" t="s">
        <v>261</v>
      </c>
      <c r="AB588" t="s">
        <v>261</v>
      </c>
      <c r="AC588" t="s">
        <v>261</v>
      </c>
      <c r="AD588" s="3" t="s">
        <v>261</v>
      </c>
      <c r="AE588">
        <v>0</v>
      </c>
      <c r="AF588" t="str">
        <f t="shared" si="142"/>
        <v>Non-US</v>
      </c>
      <c r="AG588">
        <v>3</v>
      </c>
      <c r="AH588">
        <v>1</v>
      </c>
      <c r="AI588">
        <f t="shared" si="180"/>
        <v>3.2903225806451615</v>
      </c>
      <c r="AJ588">
        <f t="shared" si="181"/>
        <v>1.048</v>
      </c>
      <c r="AK588" t="s">
        <v>112</v>
      </c>
      <c r="AL588">
        <v>40</v>
      </c>
      <c r="AM588" t="s">
        <v>140</v>
      </c>
      <c r="AN588" t="s">
        <v>364</v>
      </c>
      <c r="AO588">
        <v>0.78700000000000003</v>
      </c>
    </row>
    <row r="589" spans="1:41" ht="15.6">
      <c r="A589">
        <v>14</v>
      </c>
      <c r="B589" t="s">
        <v>363</v>
      </c>
      <c r="C589" t="s">
        <v>362</v>
      </c>
      <c r="E589" s="3">
        <f t="shared" si="174"/>
        <v>34.659090909090914</v>
      </c>
      <c r="F589">
        <v>2023</v>
      </c>
      <c r="G589">
        <f t="shared" si="171"/>
        <v>2</v>
      </c>
      <c r="H589">
        <v>0.28000000000000003</v>
      </c>
      <c r="I589">
        <v>0.61</v>
      </c>
      <c r="J589">
        <f t="shared" si="175"/>
        <v>176</v>
      </c>
      <c r="K589">
        <v>41</v>
      </c>
      <c r="L589">
        <v>3</v>
      </c>
      <c r="M589" s="12">
        <f t="shared" si="176"/>
        <v>0.49233458707602862</v>
      </c>
      <c r="N589">
        <f t="shared" si="173"/>
        <v>5.2890033166812497E-2</v>
      </c>
      <c r="O589">
        <f t="shared" si="177"/>
        <v>0.70166558065507856</v>
      </c>
      <c r="P589" t="s">
        <v>678</v>
      </c>
      <c r="S589">
        <f t="shared" si="178"/>
        <v>3.9677614678899062</v>
      </c>
      <c r="W589">
        <f t="shared" si="179"/>
        <v>42.185483870967744</v>
      </c>
      <c r="Y589">
        <v>2016</v>
      </c>
      <c r="Z589">
        <f>2025-AVERAGE($Y$517:$Y$692)</f>
        <v>11.48863636363626</v>
      </c>
      <c r="AA589" t="s">
        <v>261</v>
      </c>
      <c r="AB589" t="s">
        <v>261</v>
      </c>
      <c r="AC589" t="s">
        <v>261</v>
      </c>
      <c r="AD589" s="3" t="s">
        <v>261</v>
      </c>
      <c r="AE589">
        <v>0</v>
      </c>
      <c r="AF589" t="str">
        <f t="shared" si="142"/>
        <v>Non-US</v>
      </c>
      <c r="AI589">
        <f t="shared" si="180"/>
        <v>3.2903225806451615</v>
      </c>
      <c r="AJ589">
        <f t="shared" si="181"/>
        <v>1.048</v>
      </c>
      <c r="AK589" t="s">
        <v>112</v>
      </c>
      <c r="AL589">
        <v>40</v>
      </c>
      <c r="AM589" t="s">
        <v>140</v>
      </c>
      <c r="AN589" t="s">
        <v>364</v>
      </c>
      <c r="AO589">
        <v>0.78700000000000003</v>
      </c>
    </row>
    <row r="590" spans="1:41" ht="15.6">
      <c r="A590">
        <v>14</v>
      </c>
      <c r="B590" t="s">
        <v>363</v>
      </c>
      <c r="C590" t="s">
        <v>362</v>
      </c>
      <c r="E590" s="3">
        <f t="shared" si="174"/>
        <v>34.659090909090914</v>
      </c>
      <c r="F590">
        <v>2023</v>
      </c>
      <c r="G590">
        <f t="shared" si="171"/>
        <v>2</v>
      </c>
      <c r="H590">
        <v>0.28000000000000003</v>
      </c>
      <c r="I590">
        <v>0.61</v>
      </c>
      <c r="J590">
        <f t="shared" si="175"/>
        <v>176</v>
      </c>
      <c r="K590">
        <v>41</v>
      </c>
      <c r="L590">
        <v>3</v>
      </c>
      <c r="M590" s="12">
        <f t="shared" si="176"/>
        <v>0.49233458707602862</v>
      </c>
      <c r="N590">
        <f t="shared" si="173"/>
        <v>5.2890033166812497E-2</v>
      </c>
      <c r="O590">
        <f t="shared" si="177"/>
        <v>0.70166558065507856</v>
      </c>
      <c r="P590" t="s">
        <v>589</v>
      </c>
      <c r="Q590" t="s">
        <v>749</v>
      </c>
      <c r="R590">
        <v>7.0250000000000004</v>
      </c>
      <c r="S590">
        <f t="shared" si="178"/>
        <v>3.9677614678899062</v>
      </c>
      <c r="U590">
        <v>15</v>
      </c>
      <c r="V590" t="s">
        <v>138</v>
      </c>
      <c r="W590">
        <f t="shared" si="179"/>
        <v>42.185483870967744</v>
      </c>
      <c r="Y590">
        <v>2009</v>
      </c>
      <c r="Z590">
        <f>2025-AVERAGE($Y$517:$Y$692)</f>
        <v>11.48863636363626</v>
      </c>
      <c r="AA590">
        <v>0.25946758820662202</v>
      </c>
      <c r="AB590">
        <v>0.93580395536077399</v>
      </c>
      <c r="AC590">
        <v>3</v>
      </c>
      <c r="AD590" s="3">
        <v>-0.100000000000001</v>
      </c>
      <c r="AE590">
        <v>0</v>
      </c>
      <c r="AF590" t="str">
        <f t="shared" si="142"/>
        <v>Non-US</v>
      </c>
      <c r="AG590">
        <v>2</v>
      </c>
      <c r="AH590">
        <v>1</v>
      </c>
      <c r="AI590">
        <f t="shared" si="180"/>
        <v>3.2903225806451615</v>
      </c>
      <c r="AJ590">
        <f t="shared" si="181"/>
        <v>1.048</v>
      </c>
      <c r="AK590" t="s">
        <v>112</v>
      </c>
      <c r="AL590">
        <v>40</v>
      </c>
      <c r="AM590" t="s">
        <v>140</v>
      </c>
      <c r="AN590" t="s">
        <v>364</v>
      </c>
      <c r="AO590">
        <v>0.78700000000000003</v>
      </c>
    </row>
    <row r="591" spans="1:41" ht="15.6">
      <c r="A591">
        <v>14</v>
      </c>
      <c r="B591" t="s">
        <v>363</v>
      </c>
      <c r="C591" t="s">
        <v>362</v>
      </c>
      <c r="E591" s="3">
        <f t="shared" si="174"/>
        <v>34.659090909090914</v>
      </c>
      <c r="F591">
        <v>2023</v>
      </c>
      <c r="G591">
        <f t="shared" si="171"/>
        <v>2</v>
      </c>
      <c r="H591">
        <v>0.28000000000000003</v>
      </c>
      <c r="I591">
        <v>0.61</v>
      </c>
      <c r="J591">
        <f t="shared" si="175"/>
        <v>176</v>
      </c>
      <c r="K591">
        <v>41</v>
      </c>
      <c r="L591">
        <v>3</v>
      </c>
      <c r="M591" s="12">
        <f t="shared" si="176"/>
        <v>0.49233458707602862</v>
      </c>
      <c r="N591">
        <f t="shared" si="173"/>
        <v>5.2890033166812497E-2</v>
      </c>
      <c r="O591">
        <f t="shared" si="177"/>
        <v>0.70166558065507856</v>
      </c>
      <c r="P591" t="s">
        <v>590</v>
      </c>
      <c r="Q591" t="s">
        <v>521</v>
      </c>
      <c r="R591">
        <v>2.4009999999999998</v>
      </c>
      <c r="S591">
        <f t="shared" si="178"/>
        <v>3.9677614678899062</v>
      </c>
      <c r="U591">
        <v>63</v>
      </c>
      <c r="V591" t="s">
        <v>138</v>
      </c>
      <c r="W591">
        <f t="shared" si="179"/>
        <v>42.185483870967744</v>
      </c>
      <c r="Y591">
        <v>2020</v>
      </c>
      <c r="Z591">
        <f>2025-AVERAGE($Y$517:$Y$692)</f>
        <v>11.48863636363626</v>
      </c>
      <c r="AA591">
        <v>0.32996538837553102</v>
      </c>
      <c r="AB591">
        <v>0.28868142051220802</v>
      </c>
      <c r="AC591">
        <v>0.32</v>
      </c>
      <c r="AD591" s="3">
        <v>0.16</v>
      </c>
      <c r="AE591">
        <v>0</v>
      </c>
      <c r="AF591" t="str">
        <f t="shared" si="142"/>
        <v>Non-US</v>
      </c>
      <c r="AG591">
        <v>2</v>
      </c>
      <c r="AH591">
        <v>1</v>
      </c>
      <c r="AI591">
        <f t="shared" si="180"/>
        <v>3.2903225806451615</v>
      </c>
      <c r="AJ591">
        <f t="shared" si="181"/>
        <v>1.048</v>
      </c>
      <c r="AK591" t="s">
        <v>112</v>
      </c>
      <c r="AL591">
        <v>40</v>
      </c>
      <c r="AM591" t="s">
        <v>140</v>
      </c>
      <c r="AN591" t="s">
        <v>364</v>
      </c>
      <c r="AO591">
        <v>0.78700000000000003</v>
      </c>
    </row>
    <row r="592" spans="1:41" ht="15.6">
      <c r="A592">
        <v>14</v>
      </c>
      <c r="B592" t="s">
        <v>363</v>
      </c>
      <c r="C592" t="s">
        <v>362</v>
      </c>
      <c r="E592" s="3">
        <f t="shared" si="174"/>
        <v>34.659090909090914</v>
      </c>
      <c r="F592">
        <v>2023</v>
      </c>
      <c r="G592">
        <f t="shared" si="171"/>
        <v>2</v>
      </c>
      <c r="H592">
        <v>0.28000000000000003</v>
      </c>
      <c r="I592">
        <v>0.61</v>
      </c>
      <c r="J592">
        <f t="shared" si="175"/>
        <v>176</v>
      </c>
      <c r="K592">
        <v>41</v>
      </c>
      <c r="L592">
        <v>3</v>
      </c>
      <c r="M592" s="12">
        <f t="shared" si="176"/>
        <v>0.49233458707602862</v>
      </c>
      <c r="N592">
        <f t="shared" si="173"/>
        <v>5.2890033166812497E-2</v>
      </c>
      <c r="O592">
        <f t="shared" si="177"/>
        <v>0.70166558065507856</v>
      </c>
      <c r="P592" t="s">
        <v>591</v>
      </c>
      <c r="Q592" t="s">
        <v>771</v>
      </c>
      <c r="R592" t="s">
        <v>261</v>
      </c>
      <c r="S592">
        <f t="shared" si="178"/>
        <v>3.9677614678899062</v>
      </c>
      <c r="U592">
        <v>31</v>
      </c>
      <c r="V592" t="s">
        <v>138</v>
      </c>
      <c r="W592">
        <f t="shared" si="179"/>
        <v>42.185483870967744</v>
      </c>
      <c r="Y592">
        <v>1983</v>
      </c>
      <c r="Z592">
        <f>2025-AVERAGE($Y$517:$Y$692)</f>
        <v>11.48863636363626</v>
      </c>
      <c r="AA592">
        <v>0.74410456294879901</v>
      </c>
      <c r="AB592" t="s">
        <v>261</v>
      </c>
      <c r="AC592">
        <v>0.21643835616438301</v>
      </c>
      <c r="AD592" s="3">
        <v>0.250458956202465</v>
      </c>
      <c r="AE592">
        <v>0</v>
      </c>
      <c r="AF592" t="str">
        <f t="shared" si="142"/>
        <v>Non-US</v>
      </c>
      <c r="AG592">
        <v>2</v>
      </c>
      <c r="AH592">
        <v>1</v>
      </c>
      <c r="AI592">
        <f t="shared" si="180"/>
        <v>3.2903225806451615</v>
      </c>
      <c r="AJ592">
        <f t="shared" si="181"/>
        <v>1.048</v>
      </c>
      <c r="AK592" t="s">
        <v>112</v>
      </c>
      <c r="AL592">
        <v>40</v>
      </c>
      <c r="AM592" t="s">
        <v>140</v>
      </c>
      <c r="AN592" t="s">
        <v>364</v>
      </c>
      <c r="AO592">
        <v>0.78700000000000003</v>
      </c>
    </row>
    <row r="593" spans="1:41" ht="15.6">
      <c r="A593">
        <v>14</v>
      </c>
      <c r="B593" t="s">
        <v>363</v>
      </c>
      <c r="C593" t="s">
        <v>362</v>
      </c>
      <c r="E593" s="3">
        <f t="shared" si="174"/>
        <v>34.659090909090914</v>
      </c>
      <c r="F593">
        <v>2023</v>
      </c>
      <c r="G593">
        <f t="shared" si="171"/>
        <v>2</v>
      </c>
      <c r="H593">
        <v>0.28000000000000003</v>
      </c>
      <c r="I593">
        <v>0.61</v>
      </c>
      <c r="J593">
        <f t="shared" si="175"/>
        <v>176</v>
      </c>
      <c r="K593">
        <v>41</v>
      </c>
      <c r="L593">
        <v>3</v>
      </c>
      <c r="M593" s="12">
        <f t="shared" si="176"/>
        <v>0.49233458707602862</v>
      </c>
      <c r="N593">
        <f t="shared" si="173"/>
        <v>5.2890033166812497E-2</v>
      </c>
      <c r="O593">
        <f t="shared" si="177"/>
        <v>0.70166558065507856</v>
      </c>
      <c r="P593" t="s">
        <v>679</v>
      </c>
      <c r="S593">
        <f t="shared" si="178"/>
        <v>3.9677614678899062</v>
      </c>
      <c r="W593">
        <f t="shared" si="179"/>
        <v>42.185483870967744</v>
      </c>
      <c r="Y593">
        <v>2007</v>
      </c>
      <c r="Z593">
        <f>2025-AVERAGE($Y$517:$Y$692)</f>
        <v>11.48863636363626</v>
      </c>
      <c r="AA593" t="s">
        <v>261</v>
      </c>
      <c r="AB593" t="s">
        <v>261</v>
      </c>
      <c r="AC593" t="s">
        <v>261</v>
      </c>
      <c r="AD593" s="3" t="s">
        <v>261</v>
      </c>
      <c r="AE593">
        <v>0</v>
      </c>
      <c r="AF593" t="str">
        <f t="shared" si="142"/>
        <v>Non-US</v>
      </c>
      <c r="AI593">
        <f t="shared" si="180"/>
        <v>3.2903225806451615</v>
      </c>
      <c r="AJ593">
        <f t="shared" si="181"/>
        <v>1.048</v>
      </c>
      <c r="AK593" t="s">
        <v>112</v>
      </c>
      <c r="AL593">
        <v>40</v>
      </c>
      <c r="AM593" t="s">
        <v>140</v>
      </c>
      <c r="AN593" t="s">
        <v>364</v>
      </c>
      <c r="AO593">
        <v>0.78700000000000003</v>
      </c>
    </row>
    <row r="594" spans="1:41" ht="15.6">
      <c r="A594">
        <v>14</v>
      </c>
      <c r="B594" t="s">
        <v>363</v>
      </c>
      <c r="C594" t="s">
        <v>362</v>
      </c>
      <c r="E594" s="3">
        <f t="shared" si="174"/>
        <v>34.659090909090914</v>
      </c>
      <c r="F594">
        <v>2023</v>
      </c>
      <c r="G594">
        <f t="shared" ref="G594:G657" si="182">2025-F594</f>
        <v>2</v>
      </c>
      <c r="H594">
        <v>0.28000000000000003</v>
      </c>
      <c r="I594">
        <v>0.61</v>
      </c>
      <c r="J594">
        <f t="shared" si="175"/>
        <v>176</v>
      </c>
      <c r="K594">
        <v>41</v>
      </c>
      <c r="L594">
        <v>3</v>
      </c>
      <c r="M594" s="12">
        <f t="shared" si="176"/>
        <v>0.49233458707602862</v>
      </c>
      <c r="N594">
        <f t="shared" si="173"/>
        <v>5.2890033166812497E-2</v>
      </c>
      <c r="O594">
        <f t="shared" si="177"/>
        <v>0.70166558065507856</v>
      </c>
      <c r="P594" t="s">
        <v>680</v>
      </c>
      <c r="Q594" t="s">
        <v>460</v>
      </c>
      <c r="R594">
        <v>2.5049999999999999</v>
      </c>
      <c r="S594">
        <f t="shared" si="178"/>
        <v>3.9677614678899062</v>
      </c>
      <c r="U594">
        <v>40</v>
      </c>
      <c r="V594" t="s">
        <v>753</v>
      </c>
      <c r="W594">
        <f t="shared" si="179"/>
        <v>42.185483870967744</v>
      </c>
      <c r="Y594">
        <v>2008</v>
      </c>
      <c r="Z594">
        <f>2025-AVERAGE($Y$517:$Y$692)</f>
        <v>11.48863636363626</v>
      </c>
      <c r="AA594" t="s">
        <v>261</v>
      </c>
      <c r="AB594" t="s">
        <v>261</v>
      </c>
      <c r="AC594" t="s">
        <v>261</v>
      </c>
      <c r="AD594" s="3" t="s">
        <v>261</v>
      </c>
      <c r="AE594">
        <v>0</v>
      </c>
      <c r="AF594" t="str">
        <f t="shared" si="142"/>
        <v>Non-US</v>
      </c>
      <c r="AG594">
        <v>5</v>
      </c>
      <c r="AH594">
        <v>1</v>
      </c>
      <c r="AI594">
        <f t="shared" si="180"/>
        <v>3.2903225806451615</v>
      </c>
      <c r="AJ594">
        <f t="shared" si="181"/>
        <v>1.048</v>
      </c>
      <c r="AK594" t="s">
        <v>112</v>
      </c>
      <c r="AL594">
        <v>40</v>
      </c>
      <c r="AM594" t="s">
        <v>140</v>
      </c>
      <c r="AN594" t="s">
        <v>364</v>
      </c>
      <c r="AO594">
        <v>0.78700000000000003</v>
      </c>
    </row>
    <row r="595" spans="1:41" ht="15.6">
      <c r="A595">
        <v>14</v>
      </c>
      <c r="B595" t="s">
        <v>363</v>
      </c>
      <c r="C595" t="s">
        <v>362</v>
      </c>
      <c r="E595" s="3">
        <f t="shared" si="174"/>
        <v>34.659090909090914</v>
      </c>
      <c r="F595">
        <v>2023</v>
      </c>
      <c r="G595">
        <f t="shared" si="182"/>
        <v>2</v>
      </c>
      <c r="H595">
        <v>0.28000000000000003</v>
      </c>
      <c r="I595">
        <v>0.61</v>
      </c>
      <c r="J595">
        <f t="shared" si="175"/>
        <v>176</v>
      </c>
      <c r="K595">
        <v>41</v>
      </c>
      <c r="L595">
        <v>3</v>
      </c>
      <c r="M595" s="12">
        <f t="shared" si="176"/>
        <v>0.49233458707602862</v>
      </c>
      <c r="N595">
        <f t="shared" si="173"/>
        <v>5.2890033166812497E-2</v>
      </c>
      <c r="O595">
        <f t="shared" si="177"/>
        <v>0.70166558065507856</v>
      </c>
      <c r="P595" t="s">
        <v>681</v>
      </c>
      <c r="Q595" t="s">
        <v>772</v>
      </c>
      <c r="R595">
        <v>3.476</v>
      </c>
      <c r="S595">
        <f t="shared" si="178"/>
        <v>3.9677614678899062</v>
      </c>
      <c r="U595">
        <v>21</v>
      </c>
      <c r="V595" t="s">
        <v>138</v>
      </c>
      <c r="W595">
        <f t="shared" si="179"/>
        <v>42.185483870967744</v>
      </c>
      <c r="Y595">
        <v>2003</v>
      </c>
      <c r="Z595">
        <f>2025-AVERAGE($Y$517:$Y$692)</f>
        <v>11.48863636363626</v>
      </c>
      <c r="AA595" t="s">
        <v>261</v>
      </c>
      <c r="AB595" t="s">
        <v>261</v>
      </c>
      <c r="AC595" t="s">
        <v>261</v>
      </c>
      <c r="AD595" s="3" t="s">
        <v>261</v>
      </c>
      <c r="AE595">
        <v>0</v>
      </c>
      <c r="AF595" t="str">
        <f t="shared" si="142"/>
        <v>Non-US</v>
      </c>
      <c r="AG595">
        <v>2</v>
      </c>
      <c r="AH595">
        <v>1</v>
      </c>
      <c r="AI595">
        <f t="shared" si="180"/>
        <v>3.2903225806451615</v>
      </c>
      <c r="AJ595">
        <f t="shared" si="181"/>
        <v>1.048</v>
      </c>
      <c r="AK595" t="s">
        <v>112</v>
      </c>
      <c r="AL595">
        <v>40</v>
      </c>
      <c r="AM595" t="s">
        <v>140</v>
      </c>
      <c r="AN595" t="s">
        <v>364</v>
      </c>
      <c r="AO595">
        <v>0.78700000000000003</v>
      </c>
    </row>
    <row r="596" spans="1:41" ht="15.6">
      <c r="A596">
        <v>14</v>
      </c>
      <c r="B596" t="s">
        <v>363</v>
      </c>
      <c r="C596" t="s">
        <v>362</v>
      </c>
      <c r="E596" s="3">
        <f t="shared" si="174"/>
        <v>34.659090909090914</v>
      </c>
      <c r="F596">
        <v>2023</v>
      </c>
      <c r="G596">
        <f t="shared" si="182"/>
        <v>2</v>
      </c>
      <c r="H596">
        <v>0.28000000000000003</v>
      </c>
      <c r="I596">
        <v>0.61</v>
      </c>
      <c r="J596">
        <f t="shared" si="175"/>
        <v>176</v>
      </c>
      <c r="K596">
        <v>41</v>
      </c>
      <c r="L596">
        <v>3</v>
      </c>
      <c r="M596" s="12">
        <f t="shared" si="176"/>
        <v>0.49233458707602862</v>
      </c>
      <c r="N596">
        <f t="shared" si="173"/>
        <v>5.2890033166812497E-2</v>
      </c>
      <c r="O596">
        <f t="shared" si="177"/>
        <v>0.70166558065507856</v>
      </c>
      <c r="P596" t="s">
        <v>682</v>
      </c>
      <c r="Q596" t="s">
        <v>754</v>
      </c>
      <c r="R596">
        <v>1.24</v>
      </c>
      <c r="S596">
        <f t="shared" si="178"/>
        <v>3.9677614678899062</v>
      </c>
      <c r="U596">
        <v>52</v>
      </c>
      <c r="V596" t="s">
        <v>755</v>
      </c>
      <c r="W596">
        <f t="shared" si="179"/>
        <v>42.185483870967744</v>
      </c>
      <c r="Y596">
        <v>2020</v>
      </c>
      <c r="Z596">
        <f>2025-AVERAGE($Y$517:$Y$692)</f>
        <v>11.48863636363626</v>
      </c>
      <c r="AA596">
        <v>1.72870606718333E-11</v>
      </c>
      <c r="AB596">
        <v>6.1748303605543599E-3</v>
      </c>
      <c r="AC596">
        <v>1.05</v>
      </c>
      <c r="AD596" s="3">
        <v>0.30798199999999998</v>
      </c>
      <c r="AE596">
        <v>0</v>
      </c>
      <c r="AF596" t="str">
        <f t="shared" si="142"/>
        <v>Non-US</v>
      </c>
      <c r="AG596">
        <v>4</v>
      </c>
      <c r="AH596">
        <v>1</v>
      </c>
      <c r="AI596">
        <f t="shared" si="180"/>
        <v>3.2903225806451615</v>
      </c>
      <c r="AJ596">
        <f t="shared" si="181"/>
        <v>1.048</v>
      </c>
      <c r="AK596" t="s">
        <v>112</v>
      </c>
      <c r="AL596">
        <v>40</v>
      </c>
      <c r="AM596" t="s">
        <v>140</v>
      </c>
      <c r="AN596" t="s">
        <v>364</v>
      </c>
      <c r="AO596">
        <v>0.78700000000000003</v>
      </c>
    </row>
    <row r="597" spans="1:41" ht="15.6">
      <c r="A597">
        <v>14</v>
      </c>
      <c r="B597" t="s">
        <v>363</v>
      </c>
      <c r="C597" t="s">
        <v>362</v>
      </c>
      <c r="E597" s="3">
        <f t="shared" si="174"/>
        <v>34.659090909090914</v>
      </c>
      <c r="F597">
        <v>2023</v>
      </c>
      <c r="G597">
        <f t="shared" si="182"/>
        <v>2</v>
      </c>
      <c r="H597">
        <v>0.28000000000000003</v>
      </c>
      <c r="I597">
        <v>0.61</v>
      </c>
      <c r="J597">
        <f t="shared" si="175"/>
        <v>176</v>
      </c>
      <c r="K597">
        <v>41</v>
      </c>
      <c r="L597">
        <v>3</v>
      </c>
      <c r="M597" s="12">
        <f t="shared" si="176"/>
        <v>0.49233458707602862</v>
      </c>
      <c r="N597">
        <f t="shared" si="173"/>
        <v>5.2890033166812497E-2</v>
      </c>
      <c r="O597">
        <f t="shared" si="177"/>
        <v>0.70166558065507856</v>
      </c>
      <c r="P597" t="s">
        <v>592</v>
      </c>
      <c r="Q597" t="s">
        <v>460</v>
      </c>
      <c r="R597">
        <v>2.4550000000000001</v>
      </c>
      <c r="S597">
        <f t="shared" si="178"/>
        <v>3.9677614678899062</v>
      </c>
      <c r="U597">
        <v>25</v>
      </c>
      <c r="V597" t="s">
        <v>753</v>
      </c>
      <c r="W597">
        <f t="shared" si="179"/>
        <v>42.185483870967744</v>
      </c>
      <c r="Y597">
        <v>2017</v>
      </c>
      <c r="Z597">
        <f>2025-AVERAGE($Y$517:$Y$692)</f>
        <v>11.48863636363626</v>
      </c>
      <c r="AA597">
        <v>0.91786362100809804</v>
      </c>
      <c r="AB597">
        <v>2.4518702851406499E-3</v>
      </c>
      <c r="AC597" t="s">
        <v>261</v>
      </c>
      <c r="AD597" s="3">
        <v>1</v>
      </c>
      <c r="AE597">
        <v>0</v>
      </c>
      <c r="AF597" t="str">
        <f t="shared" si="142"/>
        <v>Non-US</v>
      </c>
      <c r="AG597">
        <v>2</v>
      </c>
      <c r="AH597">
        <v>1</v>
      </c>
      <c r="AI597">
        <f t="shared" si="180"/>
        <v>3.2903225806451615</v>
      </c>
      <c r="AJ597">
        <f t="shared" si="181"/>
        <v>1.048</v>
      </c>
      <c r="AK597" t="s">
        <v>112</v>
      </c>
      <c r="AL597">
        <v>40</v>
      </c>
      <c r="AM597" t="s">
        <v>140</v>
      </c>
      <c r="AN597" t="s">
        <v>364</v>
      </c>
      <c r="AO597">
        <v>0.78700000000000003</v>
      </c>
    </row>
    <row r="598" spans="1:41" ht="15.6">
      <c r="A598">
        <v>14</v>
      </c>
      <c r="B598" t="s">
        <v>363</v>
      </c>
      <c r="C598" t="s">
        <v>362</v>
      </c>
      <c r="E598" s="3">
        <f t="shared" si="174"/>
        <v>34.659090909090914</v>
      </c>
      <c r="F598">
        <v>2023</v>
      </c>
      <c r="G598">
        <f t="shared" si="182"/>
        <v>2</v>
      </c>
      <c r="H598">
        <v>0.28000000000000003</v>
      </c>
      <c r="I598">
        <v>0.61</v>
      </c>
      <c r="J598">
        <f t="shared" si="175"/>
        <v>176</v>
      </c>
      <c r="K598">
        <v>41</v>
      </c>
      <c r="L598">
        <v>3</v>
      </c>
      <c r="M598" s="12">
        <f t="shared" si="176"/>
        <v>0.49233458707602862</v>
      </c>
      <c r="N598">
        <f t="shared" si="173"/>
        <v>5.2890033166812497E-2</v>
      </c>
      <c r="O598">
        <f t="shared" si="177"/>
        <v>0.70166558065507856</v>
      </c>
      <c r="P598" t="s">
        <v>593</v>
      </c>
      <c r="Q598" t="s">
        <v>527</v>
      </c>
      <c r="R598">
        <v>4.1159999999999997</v>
      </c>
      <c r="S598">
        <f t="shared" si="178"/>
        <v>3.9677614678899062</v>
      </c>
      <c r="U598">
        <v>40</v>
      </c>
      <c r="V598" t="s">
        <v>138</v>
      </c>
      <c r="W598">
        <f t="shared" si="179"/>
        <v>42.185483870967744</v>
      </c>
      <c r="Y598">
        <v>2018</v>
      </c>
      <c r="Z598">
        <f>2025-AVERAGE($Y$517:$Y$692)</f>
        <v>11.48863636363626</v>
      </c>
      <c r="AA598">
        <v>7.9996009785950895E-2</v>
      </c>
      <c r="AB598" t="s">
        <v>261</v>
      </c>
      <c r="AC598">
        <v>0.03</v>
      </c>
      <c r="AD598" s="3">
        <v>5.4880100000000001E-2</v>
      </c>
      <c r="AE598">
        <v>0</v>
      </c>
      <c r="AF598" t="str">
        <f t="shared" si="142"/>
        <v>Non-US</v>
      </c>
      <c r="AG598">
        <v>3</v>
      </c>
      <c r="AH598">
        <v>1</v>
      </c>
      <c r="AI598">
        <f t="shared" si="180"/>
        <v>3.2903225806451615</v>
      </c>
      <c r="AJ598">
        <f t="shared" si="181"/>
        <v>1.048</v>
      </c>
      <c r="AK598" t="s">
        <v>112</v>
      </c>
      <c r="AL598">
        <v>40</v>
      </c>
      <c r="AM598" t="s">
        <v>140</v>
      </c>
      <c r="AN598" t="s">
        <v>364</v>
      </c>
      <c r="AO598">
        <v>0.78700000000000003</v>
      </c>
    </row>
    <row r="599" spans="1:41" ht="15.6">
      <c r="A599">
        <v>14</v>
      </c>
      <c r="B599" t="s">
        <v>363</v>
      </c>
      <c r="C599" t="s">
        <v>362</v>
      </c>
      <c r="E599" s="3">
        <f t="shared" si="174"/>
        <v>34.659090909090914</v>
      </c>
      <c r="F599">
        <v>2023</v>
      </c>
      <c r="G599">
        <f t="shared" si="182"/>
        <v>2</v>
      </c>
      <c r="H599">
        <v>0.28000000000000003</v>
      </c>
      <c r="I599">
        <v>0.61</v>
      </c>
      <c r="J599">
        <f t="shared" si="175"/>
        <v>176</v>
      </c>
      <c r="K599">
        <v>41</v>
      </c>
      <c r="L599">
        <v>3</v>
      </c>
      <c r="M599" s="12">
        <f t="shared" si="176"/>
        <v>0.49233458707602862</v>
      </c>
      <c r="N599">
        <f t="shared" si="173"/>
        <v>5.2890033166812497E-2</v>
      </c>
      <c r="O599">
        <f t="shared" si="177"/>
        <v>0.70166558065507856</v>
      </c>
      <c r="P599" t="s">
        <v>683</v>
      </c>
      <c r="Q599" t="s">
        <v>757</v>
      </c>
      <c r="R599">
        <v>2.5790000000000002</v>
      </c>
      <c r="S599">
        <f t="shared" si="178"/>
        <v>3.9677614678899062</v>
      </c>
      <c r="U599">
        <v>54</v>
      </c>
      <c r="V599" t="s">
        <v>138</v>
      </c>
      <c r="W599">
        <f t="shared" si="179"/>
        <v>42.185483870967744</v>
      </c>
      <c r="Y599">
        <v>2008</v>
      </c>
      <c r="Z599">
        <f>2025-AVERAGE($Y$517:$Y$692)</f>
        <v>11.48863636363626</v>
      </c>
      <c r="AA599">
        <v>1.8348221329844702E-5</v>
      </c>
      <c r="AB599">
        <v>1.9305682666652099E-5</v>
      </c>
      <c r="AC599" t="s">
        <v>261</v>
      </c>
      <c r="AD599" s="3">
        <v>2.1</v>
      </c>
      <c r="AE599">
        <v>0</v>
      </c>
      <c r="AF599" t="str">
        <f t="shared" si="142"/>
        <v>Non-US</v>
      </c>
      <c r="AG599">
        <v>2</v>
      </c>
      <c r="AH599">
        <v>1</v>
      </c>
      <c r="AI599">
        <f t="shared" si="180"/>
        <v>3.2903225806451615</v>
      </c>
      <c r="AJ599">
        <f t="shared" si="181"/>
        <v>1.048</v>
      </c>
      <c r="AK599" t="s">
        <v>112</v>
      </c>
      <c r="AL599">
        <v>40</v>
      </c>
      <c r="AM599" t="s">
        <v>140</v>
      </c>
      <c r="AN599" t="s">
        <v>364</v>
      </c>
      <c r="AO599">
        <v>0.78700000000000003</v>
      </c>
    </row>
    <row r="600" spans="1:41" ht="15.6">
      <c r="A600">
        <v>14</v>
      </c>
      <c r="B600" t="s">
        <v>363</v>
      </c>
      <c r="C600" t="s">
        <v>362</v>
      </c>
      <c r="E600" s="3">
        <f t="shared" si="174"/>
        <v>34.659090909090914</v>
      </c>
      <c r="F600">
        <v>2023</v>
      </c>
      <c r="G600">
        <f t="shared" si="182"/>
        <v>2</v>
      </c>
      <c r="H600">
        <v>0.28000000000000003</v>
      </c>
      <c r="I600">
        <v>0.61</v>
      </c>
      <c r="J600">
        <f t="shared" si="175"/>
        <v>176</v>
      </c>
      <c r="K600">
        <v>41</v>
      </c>
      <c r="L600">
        <v>3</v>
      </c>
      <c r="M600" s="12">
        <f t="shared" si="176"/>
        <v>0.49233458707602862</v>
      </c>
      <c r="N600">
        <f t="shared" si="173"/>
        <v>5.2890033166812497E-2</v>
      </c>
      <c r="O600">
        <f t="shared" si="177"/>
        <v>0.70166558065507856</v>
      </c>
      <c r="P600" t="s">
        <v>594</v>
      </c>
      <c r="Q600" t="s">
        <v>527</v>
      </c>
      <c r="R600">
        <v>3.3029999999999999</v>
      </c>
      <c r="S600">
        <f t="shared" si="178"/>
        <v>3.9677614678899062</v>
      </c>
      <c r="U600">
        <v>34</v>
      </c>
      <c r="V600" t="s">
        <v>138</v>
      </c>
      <c r="W600">
        <f t="shared" si="179"/>
        <v>42.185483870967744</v>
      </c>
      <c r="Y600">
        <v>2019</v>
      </c>
      <c r="Z600">
        <f>2025-AVERAGE($Y$517:$Y$692)</f>
        <v>11.48863636363626</v>
      </c>
      <c r="AA600">
        <v>0.671373240540872</v>
      </c>
      <c r="AB600">
        <v>0.57919755687624397</v>
      </c>
      <c r="AC600">
        <v>7.0000000000000007E-2</v>
      </c>
      <c r="AD600" s="3">
        <v>0.04</v>
      </c>
      <c r="AE600">
        <v>0</v>
      </c>
      <c r="AF600" t="str">
        <f t="shared" si="142"/>
        <v>Non-US</v>
      </c>
      <c r="AG600">
        <v>4</v>
      </c>
      <c r="AH600">
        <v>1</v>
      </c>
      <c r="AI600">
        <f t="shared" si="180"/>
        <v>3.2903225806451615</v>
      </c>
      <c r="AJ600">
        <f t="shared" si="181"/>
        <v>1.048</v>
      </c>
      <c r="AK600" t="s">
        <v>112</v>
      </c>
      <c r="AL600">
        <v>40</v>
      </c>
      <c r="AM600" t="s">
        <v>140</v>
      </c>
      <c r="AN600" t="s">
        <v>364</v>
      </c>
      <c r="AO600">
        <v>0.78700000000000003</v>
      </c>
    </row>
    <row r="601" spans="1:41" ht="15.6">
      <c r="A601">
        <v>14</v>
      </c>
      <c r="B601" t="s">
        <v>363</v>
      </c>
      <c r="C601" t="s">
        <v>362</v>
      </c>
      <c r="E601" s="3">
        <f t="shared" si="174"/>
        <v>34.659090909090914</v>
      </c>
      <c r="F601">
        <v>2023</v>
      </c>
      <c r="G601">
        <f t="shared" si="182"/>
        <v>2</v>
      </c>
      <c r="H601">
        <v>0.28000000000000003</v>
      </c>
      <c r="I601">
        <v>0.61</v>
      </c>
      <c r="J601">
        <f t="shared" si="175"/>
        <v>176</v>
      </c>
      <c r="K601">
        <v>41</v>
      </c>
      <c r="L601">
        <v>3</v>
      </c>
      <c r="M601" s="12">
        <f t="shared" si="176"/>
        <v>0.49233458707602862</v>
      </c>
      <c r="N601">
        <f t="shared" si="173"/>
        <v>5.2890033166812497E-2</v>
      </c>
      <c r="O601">
        <f t="shared" si="177"/>
        <v>0.70166558065507856</v>
      </c>
      <c r="P601" t="s">
        <v>684</v>
      </c>
      <c r="Q601" t="s">
        <v>758</v>
      </c>
      <c r="R601">
        <v>1.3220000000000001</v>
      </c>
      <c r="S601">
        <f t="shared" si="178"/>
        <v>3.9677614678899062</v>
      </c>
      <c r="V601" t="s">
        <v>755</v>
      </c>
      <c r="W601">
        <f t="shared" si="179"/>
        <v>42.185483870967744</v>
      </c>
      <c r="Y601">
        <v>2013</v>
      </c>
      <c r="Z601">
        <f>2025-AVERAGE($Y$517:$Y$692)</f>
        <v>11.48863636363626</v>
      </c>
      <c r="AA601" t="s">
        <v>261</v>
      </c>
      <c r="AB601" t="s">
        <v>261</v>
      </c>
      <c r="AC601" t="s">
        <v>261</v>
      </c>
      <c r="AD601" s="3" t="s">
        <v>261</v>
      </c>
      <c r="AE601">
        <v>0</v>
      </c>
      <c r="AF601" t="str">
        <f t="shared" si="142"/>
        <v>Non-US</v>
      </c>
      <c r="AI601">
        <f t="shared" si="180"/>
        <v>3.2903225806451615</v>
      </c>
      <c r="AJ601">
        <f t="shared" si="181"/>
        <v>1.048</v>
      </c>
      <c r="AK601" t="s">
        <v>112</v>
      </c>
      <c r="AL601">
        <v>40</v>
      </c>
      <c r="AM601" t="s">
        <v>140</v>
      </c>
      <c r="AN601" t="s">
        <v>364</v>
      </c>
      <c r="AO601">
        <v>0.78700000000000003</v>
      </c>
    </row>
    <row r="602" spans="1:41" ht="15.6">
      <c r="A602">
        <v>14</v>
      </c>
      <c r="B602" t="s">
        <v>363</v>
      </c>
      <c r="C602" t="s">
        <v>362</v>
      </c>
      <c r="E602" s="3">
        <f t="shared" si="174"/>
        <v>34.659090909090914</v>
      </c>
      <c r="F602">
        <v>2023</v>
      </c>
      <c r="G602">
        <f t="shared" si="182"/>
        <v>2</v>
      </c>
      <c r="H602">
        <v>0.28000000000000003</v>
      </c>
      <c r="I602">
        <v>0.61</v>
      </c>
      <c r="J602">
        <f t="shared" si="175"/>
        <v>176</v>
      </c>
      <c r="K602">
        <v>41</v>
      </c>
      <c r="L602">
        <v>3</v>
      </c>
      <c r="M602" s="12">
        <f t="shared" si="176"/>
        <v>0.49233458707602862</v>
      </c>
      <c r="N602">
        <f t="shared" si="173"/>
        <v>5.2890033166812497E-2</v>
      </c>
      <c r="O602">
        <f t="shared" si="177"/>
        <v>0.70166558065507856</v>
      </c>
      <c r="P602" t="s">
        <v>685</v>
      </c>
      <c r="Q602" t="s">
        <v>521</v>
      </c>
      <c r="R602">
        <v>2.165</v>
      </c>
      <c r="S602">
        <f t="shared" si="178"/>
        <v>3.9677614678899062</v>
      </c>
      <c r="U602">
        <v>67</v>
      </c>
      <c r="V602" t="s">
        <v>138</v>
      </c>
      <c r="W602">
        <f t="shared" si="179"/>
        <v>42.185483870967744</v>
      </c>
      <c r="Y602">
        <v>2018</v>
      </c>
      <c r="Z602">
        <f>2025-AVERAGE($Y$517:$Y$692)</f>
        <v>11.48863636363626</v>
      </c>
      <c r="AA602">
        <v>0</v>
      </c>
      <c r="AB602">
        <v>1.2046894091833201E-7</v>
      </c>
      <c r="AC602">
        <v>1.75999999999999</v>
      </c>
      <c r="AD602" s="3">
        <v>0.45</v>
      </c>
      <c r="AE602">
        <v>0</v>
      </c>
      <c r="AF602" t="str">
        <f t="shared" si="142"/>
        <v>Non-US</v>
      </c>
      <c r="AG602">
        <v>4</v>
      </c>
      <c r="AH602">
        <v>1</v>
      </c>
      <c r="AI602">
        <f t="shared" si="180"/>
        <v>3.2903225806451615</v>
      </c>
      <c r="AJ602">
        <f t="shared" si="181"/>
        <v>1.048</v>
      </c>
      <c r="AK602" t="s">
        <v>112</v>
      </c>
      <c r="AL602">
        <v>40</v>
      </c>
      <c r="AM602" t="s">
        <v>140</v>
      </c>
      <c r="AN602" t="s">
        <v>364</v>
      </c>
      <c r="AO602">
        <v>0.78700000000000003</v>
      </c>
    </row>
    <row r="603" spans="1:41" ht="15.6">
      <c r="A603">
        <v>14</v>
      </c>
      <c r="B603" t="s">
        <v>363</v>
      </c>
      <c r="C603" t="s">
        <v>362</v>
      </c>
      <c r="E603" s="3">
        <f t="shared" si="174"/>
        <v>34.659090909090914</v>
      </c>
      <c r="F603">
        <v>2023</v>
      </c>
      <c r="G603">
        <f t="shared" si="182"/>
        <v>2</v>
      </c>
      <c r="H603">
        <v>0.28000000000000003</v>
      </c>
      <c r="I603">
        <v>0.61</v>
      </c>
      <c r="J603">
        <f t="shared" si="175"/>
        <v>176</v>
      </c>
      <c r="K603">
        <v>41</v>
      </c>
      <c r="L603">
        <v>3</v>
      </c>
      <c r="M603" s="12">
        <f t="shared" si="176"/>
        <v>0.49233458707602862</v>
      </c>
      <c r="N603">
        <f t="shared" si="173"/>
        <v>5.2890033166812497E-2</v>
      </c>
      <c r="O603">
        <f t="shared" si="177"/>
        <v>0.70166558065507856</v>
      </c>
      <c r="P603" t="s">
        <v>686</v>
      </c>
      <c r="Q603" t="s">
        <v>747</v>
      </c>
      <c r="R603">
        <v>3.2759999999999998</v>
      </c>
      <c r="S603">
        <f t="shared" si="178"/>
        <v>3.9677614678899062</v>
      </c>
      <c r="U603">
        <v>41</v>
      </c>
      <c r="V603" t="s">
        <v>138</v>
      </c>
      <c r="W603">
        <f t="shared" si="179"/>
        <v>42.185483870967744</v>
      </c>
      <c r="Y603">
        <v>2020</v>
      </c>
      <c r="Z603">
        <f>2025-AVERAGE($Y$517:$Y$692)</f>
        <v>11.48863636363626</v>
      </c>
      <c r="AA603">
        <v>4.5483696142767299E-8</v>
      </c>
      <c r="AB603">
        <v>9.8696671923765106E-2</v>
      </c>
      <c r="AC603" t="s">
        <v>261</v>
      </c>
      <c r="AD603" s="3">
        <v>0.3</v>
      </c>
      <c r="AE603">
        <v>0</v>
      </c>
      <c r="AF603" t="str">
        <f t="shared" si="142"/>
        <v>Non-US</v>
      </c>
      <c r="AG603">
        <v>4</v>
      </c>
      <c r="AH603">
        <v>1</v>
      </c>
      <c r="AI603">
        <f t="shared" si="180"/>
        <v>3.2903225806451615</v>
      </c>
      <c r="AJ603">
        <f t="shared" si="181"/>
        <v>1.048</v>
      </c>
      <c r="AK603" t="s">
        <v>112</v>
      </c>
      <c r="AL603">
        <v>40</v>
      </c>
      <c r="AM603" t="s">
        <v>140</v>
      </c>
      <c r="AN603" t="s">
        <v>364</v>
      </c>
      <c r="AO603">
        <v>0.78700000000000003</v>
      </c>
    </row>
    <row r="604" spans="1:41" ht="15.6">
      <c r="A604">
        <v>14</v>
      </c>
      <c r="B604" t="s">
        <v>363</v>
      </c>
      <c r="C604" t="s">
        <v>362</v>
      </c>
      <c r="E604" s="3">
        <f t="shared" si="174"/>
        <v>34.659090909090914</v>
      </c>
      <c r="F604">
        <v>2023</v>
      </c>
      <c r="G604">
        <f t="shared" si="182"/>
        <v>2</v>
      </c>
      <c r="H604">
        <v>0.28000000000000003</v>
      </c>
      <c r="I604">
        <v>0.61</v>
      </c>
      <c r="J604">
        <f t="shared" si="175"/>
        <v>176</v>
      </c>
      <c r="K604">
        <v>41</v>
      </c>
      <c r="L604">
        <v>3</v>
      </c>
      <c r="M604" s="12">
        <f t="shared" si="176"/>
        <v>0.49233458707602862</v>
      </c>
      <c r="N604">
        <f t="shared" si="173"/>
        <v>5.2890033166812497E-2</v>
      </c>
      <c r="O604">
        <f t="shared" si="177"/>
        <v>0.70166558065507856</v>
      </c>
      <c r="P604" t="s">
        <v>595</v>
      </c>
      <c r="Q604" t="s">
        <v>527</v>
      </c>
      <c r="R604">
        <v>4.282</v>
      </c>
      <c r="S604">
        <f t="shared" si="178"/>
        <v>3.9677614678899062</v>
      </c>
      <c r="U604">
        <v>30</v>
      </c>
      <c r="V604" t="s">
        <v>138</v>
      </c>
      <c r="W604">
        <f t="shared" si="179"/>
        <v>42.185483870967744</v>
      </c>
      <c r="Y604">
        <v>2014</v>
      </c>
      <c r="Z604">
        <f>2025-AVERAGE($Y$517:$Y$692)</f>
        <v>11.48863636363626</v>
      </c>
      <c r="AA604">
        <v>8.3559712230240696E-2</v>
      </c>
      <c r="AB604">
        <v>0.321193881265947</v>
      </c>
      <c r="AC604">
        <v>0.73</v>
      </c>
      <c r="AD604" s="3">
        <v>0.22999999999999901</v>
      </c>
      <c r="AE604">
        <v>0</v>
      </c>
      <c r="AF604" t="str">
        <f t="shared" si="142"/>
        <v>Non-US</v>
      </c>
      <c r="AG604">
        <v>2</v>
      </c>
      <c r="AH604">
        <v>1</v>
      </c>
      <c r="AI604">
        <f t="shared" si="180"/>
        <v>3.2903225806451615</v>
      </c>
      <c r="AJ604">
        <f t="shared" si="181"/>
        <v>1.048</v>
      </c>
      <c r="AK604" t="s">
        <v>112</v>
      </c>
      <c r="AL604">
        <v>40</v>
      </c>
      <c r="AM604" t="s">
        <v>140</v>
      </c>
      <c r="AN604" t="s">
        <v>364</v>
      </c>
      <c r="AO604">
        <v>0.78700000000000003</v>
      </c>
    </row>
    <row r="605" spans="1:41" ht="15.6">
      <c r="A605">
        <v>14</v>
      </c>
      <c r="B605" t="s">
        <v>363</v>
      </c>
      <c r="C605" t="s">
        <v>362</v>
      </c>
      <c r="E605" s="3">
        <f t="shared" si="174"/>
        <v>34.659090909090914</v>
      </c>
      <c r="F605">
        <v>2023</v>
      </c>
      <c r="G605">
        <f t="shared" si="182"/>
        <v>2</v>
      </c>
      <c r="H605">
        <v>0.28000000000000003</v>
      </c>
      <c r="I605">
        <v>0.61</v>
      </c>
      <c r="J605">
        <f t="shared" si="175"/>
        <v>176</v>
      </c>
      <c r="K605">
        <v>41</v>
      </c>
      <c r="L605">
        <v>3</v>
      </c>
      <c r="M605" s="12">
        <f t="shared" si="176"/>
        <v>0.49233458707602862</v>
      </c>
      <c r="N605">
        <f t="shared" si="173"/>
        <v>5.2890033166812497E-2</v>
      </c>
      <c r="O605">
        <f t="shared" si="177"/>
        <v>0.70166558065507856</v>
      </c>
      <c r="P605" t="s">
        <v>596</v>
      </c>
      <c r="Q605" t="s">
        <v>773</v>
      </c>
      <c r="R605">
        <v>1.6990000000000001</v>
      </c>
      <c r="S605">
        <f t="shared" si="178"/>
        <v>3.9677614678899062</v>
      </c>
      <c r="U605">
        <v>57</v>
      </c>
      <c r="V605" t="s">
        <v>138</v>
      </c>
      <c r="W605">
        <f t="shared" si="179"/>
        <v>42.185483870967744</v>
      </c>
      <c r="Y605">
        <v>2022</v>
      </c>
      <c r="Z605">
        <f>2025-AVERAGE($Y$517:$Y$692)</f>
        <v>11.48863636363626</v>
      </c>
      <c r="AA605">
        <v>0.11528382153921</v>
      </c>
      <c r="AB605" t="s">
        <v>261</v>
      </c>
      <c r="AC605">
        <v>0.42</v>
      </c>
      <c r="AD605" s="3">
        <v>-0.26640000000000003</v>
      </c>
      <c r="AE605">
        <v>0</v>
      </c>
      <c r="AF605" t="str">
        <f t="shared" si="142"/>
        <v>Non-US</v>
      </c>
      <c r="AG605">
        <v>3</v>
      </c>
      <c r="AH605">
        <v>1</v>
      </c>
      <c r="AI605">
        <f t="shared" si="180"/>
        <v>3.2903225806451615</v>
      </c>
      <c r="AJ605">
        <f t="shared" si="181"/>
        <v>1.048</v>
      </c>
      <c r="AK605" t="s">
        <v>112</v>
      </c>
      <c r="AL605">
        <v>40</v>
      </c>
      <c r="AM605" t="s">
        <v>140</v>
      </c>
      <c r="AN605" t="s">
        <v>364</v>
      </c>
      <c r="AO605">
        <v>0.78700000000000003</v>
      </c>
    </row>
    <row r="606" spans="1:41" ht="15.6">
      <c r="A606">
        <v>14</v>
      </c>
      <c r="B606" t="s">
        <v>363</v>
      </c>
      <c r="C606" t="s">
        <v>362</v>
      </c>
      <c r="E606" s="3">
        <f t="shared" si="174"/>
        <v>34.659090909090914</v>
      </c>
      <c r="F606">
        <v>2023</v>
      </c>
      <c r="G606">
        <f t="shared" si="182"/>
        <v>2</v>
      </c>
      <c r="H606">
        <v>0.28000000000000003</v>
      </c>
      <c r="I606">
        <v>0.61</v>
      </c>
      <c r="J606">
        <f t="shared" si="175"/>
        <v>176</v>
      </c>
      <c r="K606">
        <v>41</v>
      </c>
      <c r="L606">
        <v>3</v>
      </c>
      <c r="M606" s="12">
        <f t="shared" si="176"/>
        <v>0.49233458707602862</v>
      </c>
      <c r="N606">
        <f t="shared" si="173"/>
        <v>5.2890033166812497E-2</v>
      </c>
      <c r="O606">
        <f t="shared" si="177"/>
        <v>0.70166558065507856</v>
      </c>
      <c r="P606" t="s">
        <v>687</v>
      </c>
      <c r="Q606" t="s">
        <v>527</v>
      </c>
      <c r="R606">
        <v>4.3460000000000001</v>
      </c>
      <c r="S606">
        <f t="shared" si="178"/>
        <v>3.9677614678899062</v>
      </c>
      <c r="U606">
        <v>30</v>
      </c>
      <c r="V606" t="s">
        <v>138</v>
      </c>
      <c r="W606">
        <f t="shared" si="179"/>
        <v>42.185483870967744</v>
      </c>
      <c r="Y606">
        <v>2015</v>
      </c>
      <c r="Z606">
        <f>2025-AVERAGE($Y$517:$Y$692)</f>
        <v>11.48863636363626</v>
      </c>
      <c r="AA606" t="s">
        <v>261</v>
      </c>
      <c r="AB606">
        <v>1.22615784140232E-9</v>
      </c>
      <c r="AC606" t="s">
        <v>261</v>
      </c>
      <c r="AD606" s="3" t="s">
        <v>261</v>
      </c>
      <c r="AE606">
        <v>0</v>
      </c>
      <c r="AF606" t="str">
        <f t="shared" si="142"/>
        <v>Non-US</v>
      </c>
      <c r="AG606">
        <v>4</v>
      </c>
      <c r="AH606">
        <v>1</v>
      </c>
      <c r="AI606">
        <f t="shared" si="180"/>
        <v>3.2903225806451615</v>
      </c>
      <c r="AJ606">
        <f t="shared" si="181"/>
        <v>1.048</v>
      </c>
      <c r="AK606" t="s">
        <v>112</v>
      </c>
      <c r="AL606">
        <v>40</v>
      </c>
      <c r="AM606" t="s">
        <v>140</v>
      </c>
      <c r="AN606" t="s">
        <v>364</v>
      </c>
      <c r="AO606">
        <v>0.78700000000000003</v>
      </c>
    </row>
    <row r="607" spans="1:41" ht="15.6">
      <c r="A607">
        <v>14</v>
      </c>
      <c r="B607" t="s">
        <v>363</v>
      </c>
      <c r="C607" t="s">
        <v>362</v>
      </c>
      <c r="E607" s="3">
        <f t="shared" si="174"/>
        <v>34.659090909090914</v>
      </c>
      <c r="F607">
        <v>2023</v>
      </c>
      <c r="G607">
        <f t="shared" si="182"/>
        <v>2</v>
      </c>
      <c r="H607">
        <v>0.28000000000000003</v>
      </c>
      <c r="I607">
        <v>0.61</v>
      </c>
      <c r="J607">
        <f t="shared" si="175"/>
        <v>176</v>
      </c>
      <c r="K607">
        <v>41</v>
      </c>
      <c r="L607">
        <v>3</v>
      </c>
      <c r="M607" s="12">
        <f t="shared" si="176"/>
        <v>0.49233458707602862</v>
      </c>
      <c r="N607">
        <f t="shared" si="173"/>
        <v>5.2890033166812497E-2</v>
      </c>
      <c r="O607">
        <f t="shared" si="177"/>
        <v>0.70166558065507856</v>
      </c>
      <c r="P607" t="s">
        <v>688</v>
      </c>
      <c r="Q607" t="s">
        <v>527</v>
      </c>
      <c r="R607">
        <v>4.4050000000000002</v>
      </c>
      <c r="S607">
        <f t="shared" si="178"/>
        <v>3.9677614678899062</v>
      </c>
      <c r="U607">
        <v>33</v>
      </c>
      <c r="V607" t="s">
        <v>138</v>
      </c>
      <c r="W607">
        <f t="shared" si="179"/>
        <v>42.185483870967744</v>
      </c>
      <c r="Y607">
        <v>2016</v>
      </c>
      <c r="Z607">
        <f>2025-AVERAGE($Y$517:$Y$692)</f>
        <v>11.48863636363626</v>
      </c>
      <c r="AA607">
        <v>1.5543122344752101E-15</v>
      </c>
      <c r="AB607">
        <v>0.48354895640124501</v>
      </c>
      <c r="AC607">
        <v>3.9</v>
      </c>
      <c r="AD607" s="3">
        <v>-0.17</v>
      </c>
      <c r="AE607">
        <v>0</v>
      </c>
      <c r="AF607" t="str">
        <f t="shared" si="142"/>
        <v>Non-US</v>
      </c>
      <c r="AG607">
        <v>3</v>
      </c>
      <c r="AH607">
        <v>1</v>
      </c>
      <c r="AI607">
        <f t="shared" si="180"/>
        <v>3.2903225806451615</v>
      </c>
      <c r="AJ607">
        <f t="shared" si="181"/>
        <v>1.048</v>
      </c>
      <c r="AK607" t="s">
        <v>112</v>
      </c>
      <c r="AL607">
        <v>40</v>
      </c>
      <c r="AM607" t="s">
        <v>140</v>
      </c>
      <c r="AN607" t="s">
        <v>364</v>
      </c>
      <c r="AO607">
        <v>0.78700000000000003</v>
      </c>
    </row>
    <row r="608" spans="1:41" ht="15.6">
      <c r="A608">
        <v>14</v>
      </c>
      <c r="B608" t="s">
        <v>363</v>
      </c>
      <c r="C608" t="s">
        <v>362</v>
      </c>
      <c r="E608" s="3">
        <f t="shared" si="174"/>
        <v>34.659090909090914</v>
      </c>
      <c r="F608">
        <v>2023</v>
      </c>
      <c r="G608">
        <f t="shared" si="182"/>
        <v>2</v>
      </c>
      <c r="H608">
        <v>0.28000000000000003</v>
      </c>
      <c r="I608">
        <v>0.61</v>
      </c>
      <c r="J608">
        <f t="shared" si="175"/>
        <v>176</v>
      </c>
      <c r="K608">
        <v>41</v>
      </c>
      <c r="L608">
        <v>3</v>
      </c>
      <c r="M608" s="12">
        <f t="shared" si="176"/>
        <v>0.49233458707602862</v>
      </c>
      <c r="N608">
        <f t="shared" si="173"/>
        <v>5.2890033166812497E-2</v>
      </c>
      <c r="O608">
        <f t="shared" si="177"/>
        <v>0.70166558065507856</v>
      </c>
      <c r="P608" t="s">
        <v>689</v>
      </c>
      <c r="S608">
        <f t="shared" si="178"/>
        <v>3.9677614678899062</v>
      </c>
      <c r="W608">
        <f t="shared" si="179"/>
        <v>42.185483870967744</v>
      </c>
      <c r="Y608">
        <v>2017</v>
      </c>
      <c r="Z608">
        <f>2025-AVERAGE($Y$517:$Y$692)</f>
        <v>11.48863636363626</v>
      </c>
      <c r="AA608">
        <v>3.3817350388853901E-4</v>
      </c>
      <c r="AB608">
        <v>1.48951605215329E-6</v>
      </c>
      <c r="AC608" t="s">
        <v>261</v>
      </c>
      <c r="AD608" s="3" t="s">
        <v>261</v>
      </c>
      <c r="AE608">
        <v>0</v>
      </c>
      <c r="AF608" t="str">
        <f t="shared" si="142"/>
        <v>Non-US</v>
      </c>
      <c r="AI608">
        <f t="shared" si="180"/>
        <v>3.2903225806451615</v>
      </c>
      <c r="AJ608">
        <f t="shared" si="181"/>
        <v>1.048</v>
      </c>
      <c r="AK608" t="s">
        <v>112</v>
      </c>
      <c r="AL608">
        <v>40</v>
      </c>
      <c r="AM608" t="s">
        <v>140</v>
      </c>
      <c r="AN608" t="s">
        <v>364</v>
      </c>
      <c r="AO608">
        <v>0.78700000000000003</v>
      </c>
    </row>
    <row r="609" spans="1:41" ht="15.6">
      <c r="A609">
        <v>14</v>
      </c>
      <c r="B609" t="s">
        <v>363</v>
      </c>
      <c r="C609" t="s">
        <v>362</v>
      </c>
      <c r="E609" s="3">
        <f t="shared" si="174"/>
        <v>34.659090909090914</v>
      </c>
      <c r="F609">
        <v>2023</v>
      </c>
      <c r="G609">
        <f t="shared" si="182"/>
        <v>2</v>
      </c>
      <c r="H609">
        <v>0.28000000000000003</v>
      </c>
      <c r="I609">
        <v>0.61</v>
      </c>
      <c r="J609">
        <f t="shared" si="175"/>
        <v>176</v>
      </c>
      <c r="K609">
        <v>41</v>
      </c>
      <c r="L609">
        <v>3</v>
      </c>
      <c r="M609" s="12">
        <f t="shared" si="176"/>
        <v>0.49233458707602862</v>
      </c>
      <c r="N609">
        <f t="shared" si="173"/>
        <v>5.2890033166812497E-2</v>
      </c>
      <c r="O609">
        <f t="shared" si="177"/>
        <v>0.70166558065507856</v>
      </c>
      <c r="P609" t="s">
        <v>597</v>
      </c>
      <c r="Q609" t="s">
        <v>527</v>
      </c>
      <c r="R609">
        <v>4.4050000000000002</v>
      </c>
      <c r="S609">
        <f t="shared" si="178"/>
        <v>3.9677614678899062</v>
      </c>
      <c r="U609">
        <v>40</v>
      </c>
      <c r="V609" t="s">
        <v>138</v>
      </c>
      <c r="W609">
        <f t="shared" si="179"/>
        <v>42.185483870967744</v>
      </c>
      <c r="Y609">
        <v>2016</v>
      </c>
      <c r="Z609">
        <f>2025-AVERAGE($Y$517:$Y$692)</f>
        <v>11.48863636363626</v>
      </c>
      <c r="AA609">
        <v>7.5417647322304895E-2</v>
      </c>
      <c r="AB609">
        <v>0.91928981594038905</v>
      </c>
      <c r="AC609">
        <v>15</v>
      </c>
      <c r="AD609" s="3">
        <v>-0.80000000000001104</v>
      </c>
      <c r="AE609">
        <v>0</v>
      </c>
      <c r="AF609" t="str">
        <f t="shared" si="142"/>
        <v>Non-US</v>
      </c>
      <c r="AG609">
        <v>3</v>
      </c>
      <c r="AH609">
        <v>1</v>
      </c>
      <c r="AI609">
        <f t="shared" si="180"/>
        <v>3.2903225806451615</v>
      </c>
      <c r="AJ609">
        <f t="shared" si="181"/>
        <v>1.048</v>
      </c>
      <c r="AK609" t="s">
        <v>112</v>
      </c>
      <c r="AL609">
        <v>40</v>
      </c>
      <c r="AM609" t="s">
        <v>140</v>
      </c>
      <c r="AN609" t="s">
        <v>364</v>
      </c>
      <c r="AO609">
        <v>0.78700000000000003</v>
      </c>
    </row>
    <row r="610" spans="1:41" ht="15.6">
      <c r="A610">
        <v>14</v>
      </c>
      <c r="B610" t="s">
        <v>363</v>
      </c>
      <c r="C610" t="s">
        <v>362</v>
      </c>
      <c r="E610" s="3">
        <f t="shared" si="174"/>
        <v>34.659090909090914</v>
      </c>
      <c r="F610">
        <v>2023</v>
      </c>
      <c r="G610">
        <f t="shared" si="182"/>
        <v>2</v>
      </c>
      <c r="H610">
        <v>0.28000000000000003</v>
      </c>
      <c r="I610">
        <v>0.61</v>
      </c>
      <c r="J610">
        <f t="shared" si="175"/>
        <v>176</v>
      </c>
      <c r="K610">
        <v>41</v>
      </c>
      <c r="L610">
        <v>3</v>
      </c>
      <c r="M610" s="12">
        <f t="shared" si="176"/>
        <v>0.49233458707602862</v>
      </c>
      <c r="N610">
        <f t="shared" si="173"/>
        <v>5.2890033166812497E-2</v>
      </c>
      <c r="O610">
        <f t="shared" si="177"/>
        <v>0.70166558065507856</v>
      </c>
      <c r="P610" t="s">
        <v>690</v>
      </c>
      <c r="S610">
        <f t="shared" si="178"/>
        <v>3.9677614678899062</v>
      </c>
      <c r="W610">
        <f t="shared" si="179"/>
        <v>42.185483870967744</v>
      </c>
      <c r="Y610">
        <v>2014</v>
      </c>
      <c r="Z610">
        <f>2025-AVERAGE($Y$517:$Y$692)</f>
        <v>11.48863636363626</v>
      </c>
      <c r="AA610">
        <v>2.5055958839137402E-3</v>
      </c>
      <c r="AB610">
        <v>0.45912152522411498</v>
      </c>
      <c r="AC610" t="s">
        <v>261</v>
      </c>
      <c r="AD610" s="3">
        <v>0.2</v>
      </c>
      <c r="AE610">
        <v>0</v>
      </c>
      <c r="AF610" t="str">
        <f t="shared" si="142"/>
        <v>Non-US</v>
      </c>
      <c r="AI610">
        <f t="shared" si="180"/>
        <v>3.2903225806451615</v>
      </c>
      <c r="AJ610">
        <f t="shared" si="181"/>
        <v>1.048</v>
      </c>
      <c r="AK610" t="s">
        <v>112</v>
      </c>
      <c r="AL610">
        <v>40</v>
      </c>
      <c r="AM610" t="s">
        <v>140</v>
      </c>
      <c r="AN610" t="s">
        <v>364</v>
      </c>
      <c r="AO610">
        <v>0.78700000000000003</v>
      </c>
    </row>
    <row r="611" spans="1:41" ht="15.6">
      <c r="A611">
        <v>14</v>
      </c>
      <c r="B611" t="s">
        <v>363</v>
      </c>
      <c r="C611" t="s">
        <v>362</v>
      </c>
      <c r="E611" s="3">
        <f t="shared" si="174"/>
        <v>34.659090909090914</v>
      </c>
      <c r="F611">
        <v>2023</v>
      </c>
      <c r="G611">
        <f t="shared" si="182"/>
        <v>2</v>
      </c>
      <c r="H611">
        <v>0.28000000000000003</v>
      </c>
      <c r="I611">
        <v>0.61</v>
      </c>
      <c r="J611">
        <f t="shared" si="175"/>
        <v>176</v>
      </c>
      <c r="K611">
        <v>41</v>
      </c>
      <c r="L611">
        <v>3</v>
      </c>
      <c r="M611" s="12">
        <f t="shared" si="176"/>
        <v>0.49233458707602862</v>
      </c>
      <c r="N611">
        <f t="shared" si="173"/>
        <v>5.2890033166812497E-2</v>
      </c>
      <c r="O611">
        <f t="shared" si="177"/>
        <v>0.70166558065507856</v>
      </c>
      <c r="P611" t="s">
        <v>691</v>
      </c>
      <c r="Q611" t="s">
        <v>774</v>
      </c>
      <c r="R611">
        <v>6.5720000000000001</v>
      </c>
      <c r="S611">
        <f t="shared" si="178"/>
        <v>3.9677614678899062</v>
      </c>
      <c r="U611">
        <v>27</v>
      </c>
      <c r="V611" t="s">
        <v>138</v>
      </c>
      <c r="W611">
        <f t="shared" si="179"/>
        <v>42.185483870967744</v>
      </c>
      <c r="Y611">
        <v>2004</v>
      </c>
      <c r="Z611">
        <f>2025-AVERAGE($Y$517:$Y$692)</f>
        <v>11.48863636363626</v>
      </c>
      <c r="AA611" t="s">
        <v>261</v>
      </c>
      <c r="AB611" t="s">
        <v>261</v>
      </c>
      <c r="AC611" t="s">
        <v>261</v>
      </c>
      <c r="AD611" s="3" t="s">
        <v>261</v>
      </c>
      <c r="AE611">
        <v>0</v>
      </c>
      <c r="AF611" t="str">
        <f t="shared" si="142"/>
        <v>Non-US</v>
      </c>
      <c r="AG611">
        <v>2</v>
      </c>
      <c r="AH611">
        <v>1</v>
      </c>
      <c r="AI611">
        <f t="shared" si="180"/>
        <v>3.2903225806451615</v>
      </c>
      <c r="AJ611">
        <f t="shared" si="181"/>
        <v>1.048</v>
      </c>
      <c r="AK611" t="s">
        <v>112</v>
      </c>
      <c r="AL611">
        <v>40</v>
      </c>
      <c r="AM611" t="s">
        <v>140</v>
      </c>
      <c r="AN611" t="s">
        <v>364</v>
      </c>
      <c r="AO611">
        <v>0.78700000000000003</v>
      </c>
    </row>
    <row r="612" spans="1:41" ht="15.6">
      <c r="A612">
        <v>14</v>
      </c>
      <c r="B612" t="s">
        <v>363</v>
      </c>
      <c r="C612" t="s">
        <v>362</v>
      </c>
      <c r="E612" s="3">
        <f t="shared" si="174"/>
        <v>34.659090909090914</v>
      </c>
      <c r="F612">
        <v>2023</v>
      </c>
      <c r="G612">
        <f t="shared" si="182"/>
        <v>2</v>
      </c>
      <c r="H612">
        <v>0.28000000000000003</v>
      </c>
      <c r="I612">
        <v>0.61</v>
      </c>
      <c r="J612">
        <f t="shared" si="175"/>
        <v>176</v>
      </c>
      <c r="K612">
        <v>41</v>
      </c>
      <c r="L612">
        <v>3</v>
      </c>
      <c r="M612" s="12">
        <f t="shared" si="176"/>
        <v>0.49233458707602862</v>
      </c>
      <c r="N612">
        <f t="shared" si="173"/>
        <v>5.2890033166812497E-2</v>
      </c>
      <c r="O612">
        <f t="shared" si="177"/>
        <v>0.70166558065507856</v>
      </c>
      <c r="P612" t="s">
        <v>598</v>
      </c>
      <c r="Q612" t="s">
        <v>527</v>
      </c>
      <c r="R612">
        <v>3.8290000000000002</v>
      </c>
      <c r="S612">
        <f t="shared" si="178"/>
        <v>3.9677614678899062</v>
      </c>
      <c r="U612">
        <v>38</v>
      </c>
      <c r="V612" t="s">
        <v>138</v>
      </c>
      <c r="W612">
        <f t="shared" si="179"/>
        <v>42.185483870967744</v>
      </c>
      <c r="Y612">
        <v>2011</v>
      </c>
      <c r="Z612">
        <f>2025-AVERAGE($Y$517:$Y$692)</f>
        <v>11.48863636363626</v>
      </c>
      <c r="AA612">
        <v>0.430100520801797</v>
      </c>
      <c r="AB612">
        <v>7.8106164906167606E-5</v>
      </c>
      <c r="AC612" t="s">
        <v>261</v>
      </c>
      <c r="AD612" s="3" t="s">
        <v>261</v>
      </c>
      <c r="AE612">
        <v>0</v>
      </c>
      <c r="AF612" t="str">
        <f t="shared" si="142"/>
        <v>Non-US</v>
      </c>
      <c r="AG612">
        <v>2</v>
      </c>
      <c r="AH612">
        <v>3</v>
      </c>
      <c r="AI612">
        <f t="shared" si="180"/>
        <v>3.2903225806451615</v>
      </c>
      <c r="AJ612">
        <f t="shared" si="181"/>
        <v>1.048</v>
      </c>
      <c r="AK612" t="s">
        <v>112</v>
      </c>
      <c r="AL612">
        <v>40</v>
      </c>
      <c r="AM612" t="s">
        <v>140</v>
      </c>
      <c r="AN612" t="s">
        <v>364</v>
      </c>
      <c r="AO612">
        <v>0.78700000000000003</v>
      </c>
    </row>
    <row r="613" spans="1:41" ht="15.6">
      <c r="A613">
        <v>14</v>
      </c>
      <c r="B613" t="s">
        <v>363</v>
      </c>
      <c r="C613" t="s">
        <v>362</v>
      </c>
      <c r="E613" s="3">
        <f t="shared" si="174"/>
        <v>34.659090909090914</v>
      </c>
      <c r="F613">
        <v>2023</v>
      </c>
      <c r="G613">
        <f t="shared" si="182"/>
        <v>2</v>
      </c>
      <c r="H613">
        <v>0.28000000000000003</v>
      </c>
      <c r="I613">
        <v>0.61</v>
      </c>
      <c r="J613">
        <f t="shared" si="175"/>
        <v>176</v>
      </c>
      <c r="K613">
        <v>41</v>
      </c>
      <c r="L613">
        <v>3</v>
      </c>
      <c r="M613" s="12">
        <f t="shared" si="176"/>
        <v>0.49233458707602862</v>
      </c>
      <c r="N613">
        <f t="shared" ref="N613:N644" si="183">$O$517/SQRT($J$517)</f>
        <v>5.2890033166812497E-2</v>
      </c>
      <c r="O613">
        <f t="shared" si="177"/>
        <v>0.70166558065507856</v>
      </c>
      <c r="P613" t="s">
        <v>692</v>
      </c>
      <c r="Q613" t="s">
        <v>527</v>
      </c>
      <c r="R613">
        <v>4.4050000000000002</v>
      </c>
      <c r="S613">
        <f t="shared" si="178"/>
        <v>3.9677614678899062</v>
      </c>
      <c r="U613">
        <v>40</v>
      </c>
      <c r="V613" t="s">
        <v>138</v>
      </c>
      <c r="W613">
        <f t="shared" si="179"/>
        <v>42.185483870967744</v>
      </c>
      <c r="Y613">
        <v>2016</v>
      </c>
      <c r="Z613">
        <f>2025-AVERAGE($Y$517:$Y$692)</f>
        <v>11.48863636363626</v>
      </c>
      <c r="AA613">
        <v>5.5763734403413398E-6</v>
      </c>
      <c r="AB613">
        <v>1.8240723614277799E-2</v>
      </c>
      <c r="AC613">
        <v>7.18</v>
      </c>
      <c r="AD613" s="3">
        <v>-0.12</v>
      </c>
      <c r="AE613">
        <v>0</v>
      </c>
      <c r="AF613" t="str">
        <f t="shared" si="142"/>
        <v>Non-US</v>
      </c>
      <c r="AG613">
        <v>3</v>
      </c>
      <c r="AH613">
        <v>1</v>
      </c>
      <c r="AI613">
        <f t="shared" si="180"/>
        <v>3.2903225806451615</v>
      </c>
      <c r="AJ613">
        <f t="shared" si="181"/>
        <v>1.048</v>
      </c>
      <c r="AK613" t="s">
        <v>112</v>
      </c>
      <c r="AL613">
        <v>40</v>
      </c>
      <c r="AM613" t="s">
        <v>140</v>
      </c>
      <c r="AN613" t="s">
        <v>364</v>
      </c>
      <c r="AO613">
        <v>0.78700000000000003</v>
      </c>
    </row>
    <row r="614" spans="1:41" ht="15.6">
      <c r="A614">
        <v>14</v>
      </c>
      <c r="B614" t="s">
        <v>363</v>
      </c>
      <c r="C614" t="s">
        <v>362</v>
      </c>
      <c r="E614" s="3">
        <f t="shared" si="174"/>
        <v>34.659090909090914</v>
      </c>
      <c r="F614">
        <v>2023</v>
      </c>
      <c r="G614">
        <f t="shared" si="182"/>
        <v>2</v>
      </c>
      <c r="H614">
        <v>0.28000000000000003</v>
      </c>
      <c r="I614">
        <v>0.61</v>
      </c>
      <c r="J614">
        <f t="shared" si="175"/>
        <v>176</v>
      </c>
      <c r="K614">
        <v>41</v>
      </c>
      <c r="L614">
        <v>3</v>
      </c>
      <c r="M614" s="12">
        <f t="shared" si="176"/>
        <v>0.49233458707602862</v>
      </c>
      <c r="N614">
        <f t="shared" si="183"/>
        <v>5.2890033166812497E-2</v>
      </c>
      <c r="O614">
        <f t="shared" si="177"/>
        <v>0.70166558065507856</v>
      </c>
      <c r="P614" t="s">
        <v>693</v>
      </c>
      <c r="Q614" t="s">
        <v>473</v>
      </c>
      <c r="S614">
        <f t="shared" si="178"/>
        <v>3.9677614678899062</v>
      </c>
      <c r="U614">
        <v>47</v>
      </c>
      <c r="V614" t="s">
        <v>138</v>
      </c>
      <c r="W614">
        <f t="shared" si="179"/>
        <v>42.185483870967744</v>
      </c>
      <c r="Y614">
        <v>2011</v>
      </c>
      <c r="Z614">
        <f>2025-AVERAGE($Y$517:$Y$692)</f>
        <v>11.48863636363626</v>
      </c>
      <c r="AA614" t="s">
        <v>261</v>
      </c>
      <c r="AB614" t="s">
        <v>261</v>
      </c>
      <c r="AC614" t="s">
        <v>261</v>
      </c>
      <c r="AD614" s="3">
        <v>0.26</v>
      </c>
      <c r="AE614">
        <v>0</v>
      </c>
      <c r="AF614" t="str">
        <f t="shared" si="142"/>
        <v>Non-US</v>
      </c>
      <c r="AG614">
        <v>2</v>
      </c>
      <c r="AH614">
        <v>1</v>
      </c>
      <c r="AI614">
        <f t="shared" si="180"/>
        <v>3.2903225806451615</v>
      </c>
      <c r="AJ614">
        <f t="shared" si="181"/>
        <v>1.048</v>
      </c>
      <c r="AK614" t="s">
        <v>112</v>
      </c>
      <c r="AL614">
        <v>40</v>
      </c>
      <c r="AM614" t="s">
        <v>140</v>
      </c>
      <c r="AN614" t="s">
        <v>364</v>
      </c>
      <c r="AO614">
        <v>0.78700000000000003</v>
      </c>
    </row>
    <row r="615" spans="1:41" ht="15.6">
      <c r="A615">
        <v>14</v>
      </c>
      <c r="B615" t="s">
        <v>363</v>
      </c>
      <c r="C615" t="s">
        <v>362</v>
      </c>
      <c r="E615" s="3">
        <f t="shared" si="174"/>
        <v>34.659090909090914</v>
      </c>
      <c r="F615">
        <v>2023</v>
      </c>
      <c r="G615">
        <f t="shared" si="182"/>
        <v>2</v>
      </c>
      <c r="H615">
        <v>0.28000000000000003</v>
      </c>
      <c r="I615">
        <v>0.61</v>
      </c>
      <c r="J615">
        <f t="shared" si="175"/>
        <v>176</v>
      </c>
      <c r="K615">
        <v>41</v>
      </c>
      <c r="L615">
        <v>3</v>
      </c>
      <c r="M615" s="12">
        <f t="shared" si="176"/>
        <v>0.49233458707602862</v>
      </c>
      <c r="N615">
        <f t="shared" si="183"/>
        <v>5.2890033166812497E-2</v>
      </c>
      <c r="O615">
        <f t="shared" si="177"/>
        <v>0.70166558065507856</v>
      </c>
      <c r="P615" t="s">
        <v>694</v>
      </c>
      <c r="Q615" t="s">
        <v>775</v>
      </c>
      <c r="R615">
        <v>4.6879999999999997</v>
      </c>
      <c r="S615">
        <f t="shared" si="178"/>
        <v>3.9677614678899062</v>
      </c>
      <c r="U615">
        <v>82</v>
      </c>
      <c r="V615" t="s">
        <v>138</v>
      </c>
      <c r="W615">
        <f t="shared" si="179"/>
        <v>42.185483870967744</v>
      </c>
      <c r="Y615">
        <v>2020</v>
      </c>
      <c r="Z615">
        <f>2025-AVERAGE($Y$517:$Y$692)</f>
        <v>11.48863636363626</v>
      </c>
      <c r="AA615" t="s">
        <v>261</v>
      </c>
      <c r="AB615" t="s">
        <v>261</v>
      </c>
      <c r="AC615" t="s">
        <v>261</v>
      </c>
      <c r="AD615" s="3" t="s">
        <v>261</v>
      </c>
      <c r="AE615">
        <v>0</v>
      </c>
      <c r="AF615" t="str">
        <f t="shared" si="142"/>
        <v>Non-US</v>
      </c>
      <c r="AG615">
        <v>2</v>
      </c>
      <c r="AH615">
        <v>1</v>
      </c>
      <c r="AI615">
        <f t="shared" si="180"/>
        <v>3.2903225806451615</v>
      </c>
      <c r="AJ615">
        <f t="shared" si="181"/>
        <v>1.048</v>
      </c>
      <c r="AK615" t="s">
        <v>112</v>
      </c>
      <c r="AL615">
        <v>40</v>
      </c>
      <c r="AM615" t="s">
        <v>140</v>
      </c>
      <c r="AN615" t="s">
        <v>364</v>
      </c>
      <c r="AO615">
        <v>0.78700000000000003</v>
      </c>
    </row>
    <row r="616" spans="1:41" ht="15.6">
      <c r="A616">
        <v>14</v>
      </c>
      <c r="B616" t="s">
        <v>363</v>
      </c>
      <c r="C616" t="s">
        <v>362</v>
      </c>
      <c r="E616" s="3">
        <f t="shared" si="174"/>
        <v>34.659090909090914</v>
      </c>
      <c r="F616">
        <v>2023</v>
      </c>
      <c r="G616">
        <f t="shared" si="182"/>
        <v>2</v>
      </c>
      <c r="H616">
        <v>0.28000000000000003</v>
      </c>
      <c r="I616">
        <v>0.61</v>
      </c>
      <c r="J616">
        <f t="shared" si="175"/>
        <v>176</v>
      </c>
      <c r="K616">
        <v>41</v>
      </c>
      <c r="L616">
        <v>3</v>
      </c>
      <c r="M616" s="12">
        <f t="shared" si="176"/>
        <v>0.49233458707602862</v>
      </c>
      <c r="N616">
        <f t="shared" si="183"/>
        <v>5.2890033166812497E-2</v>
      </c>
      <c r="O616">
        <f t="shared" si="177"/>
        <v>0.70166558065507856</v>
      </c>
      <c r="P616" t="s">
        <v>695</v>
      </c>
      <c r="Q616" t="s">
        <v>529</v>
      </c>
      <c r="R616">
        <v>6.0960000000000001</v>
      </c>
      <c r="S616">
        <f t="shared" si="178"/>
        <v>3.9677614678899062</v>
      </c>
      <c r="U616" t="s">
        <v>261</v>
      </c>
      <c r="V616" t="s">
        <v>138</v>
      </c>
      <c r="W616">
        <f t="shared" si="179"/>
        <v>42.185483870967744</v>
      </c>
      <c r="Y616">
        <v>2008</v>
      </c>
      <c r="Z616">
        <f>2025-AVERAGE($Y$517:$Y$692)</f>
        <v>11.48863636363626</v>
      </c>
      <c r="AA616" t="s">
        <v>261</v>
      </c>
      <c r="AB616">
        <v>0.89347873209481499</v>
      </c>
      <c r="AC616" t="s">
        <v>261</v>
      </c>
      <c r="AD616" s="3" t="s">
        <v>261</v>
      </c>
      <c r="AE616">
        <v>0</v>
      </c>
      <c r="AF616" t="str">
        <f t="shared" si="142"/>
        <v>Non-US</v>
      </c>
      <c r="AG616">
        <v>4</v>
      </c>
      <c r="AH616">
        <v>1</v>
      </c>
      <c r="AI616">
        <f t="shared" si="180"/>
        <v>3.2903225806451615</v>
      </c>
      <c r="AJ616">
        <f t="shared" si="181"/>
        <v>1.048</v>
      </c>
      <c r="AK616" t="s">
        <v>112</v>
      </c>
      <c r="AL616">
        <v>40</v>
      </c>
      <c r="AM616" t="s">
        <v>140</v>
      </c>
      <c r="AN616" t="s">
        <v>364</v>
      </c>
      <c r="AO616">
        <v>0.78700000000000003</v>
      </c>
    </row>
    <row r="617" spans="1:41" ht="15.6">
      <c r="A617">
        <v>14</v>
      </c>
      <c r="B617" t="s">
        <v>363</v>
      </c>
      <c r="C617" t="s">
        <v>362</v>
      </c>
      <c r="E617" s="3">
        <f t="shared" si="174"/>
        <v>34.659090909090914</v>
      </c>
      <c r="F617">
        <v>2023</v>
      </c>
      <c r="G617">
        <f t="shared" si="182"/>
        <v>2</v>
      </c>
      <c r="H617">
        <v>0.28000000000000003</v>
      </c>
      <c r="I617">
        <v>0.61</v>
      </c>
      <c r="J617">
        <f t="shared" si="175"/>
        <v>176</v>
      </c>
      <c r="K617">
        <v>41</v>
      </c>
      <c r="L617">
        <v>3</v>
      </c>
      <c r="M617" s="12">
        <f t="shared" si="176"/>
        <v>0.49233458707602862</v>
      </c>
      <c r="N617">
        <f t="shared" si="183"/>
        <v>5.2890033166812497E-2</v>
      </c>
      <c r="O617">
        <f t="shared" si="177"/>
        <v>0.70166558065507856</v>
      </c>
      <c r="P617" t="s">
        <v>696</v>
      </c>
      <c r="S617">
        <f t="shared" si="178"/>
        <v>3.9677614678899062</v>
      </c>
      <c r="W617">
        <f t="shared" si="179"/>
        <v>42.185483870967744</v>
      </c>
      <c r="Y617">
        <v>2013</v>
      </c>
      <c r="Z617">
        <f>2025-AVERAGE($Y$517:$Y$692)</f>
        <v>11.48863636363626</v>
      </c>
      <c r="AA617">
        <v>4.1253097563087498E-5</v>
      </c>
      <c r="AB617">
        <v>4.69833588964036E-2</v>
      </c>
      <c r="AC617" t="s">
        <v>261</v>
      </c>
      <c r="AD617" s="3">
        <v>0.6</v>
      </c>
      <c r="AE617">
        <v>0</v>
      </c>
      <c r="AF617" t="str">
        <f t="shared" si="142"/>
        <v>Non-US</v>
      </c>
      <c r="AI617">
        <f t="shared" si="180"/>
        <v>3.2903225806451615</v>
      </c>
      <c r="AJ617">
        <f t="shared" si="181"/>
        <v>1.048</v>
      </c>
      <c r="AK617" t="s">
        <v>112</v>
      </c>
      <c r="AL617">
        <v>40</v>
      </c>
      <c r="AM617" t="s">
        <v>140</v>
      </c>
      <c r="AN617" t="s">
        <v>364</v>
      </c>
      <c r="AO617">
        <v>0.78700000000000003</v>
      </c>
    </row>
    <row r="618" spans="1:41" ht="15.6">
      <c r="A618">
        <v>14</v>
      </c>
      <c r="B618" t="s">
        <v>363</v>
      </c>
      <c r="C618" t="s">
        <v>362</v>
      </c>
      <c r="E618" s="3">
        <f t="shared" si="174"/>
        <v>34.659090909090914</v>
      </c>
      <c r="F618">
        <v>2023</v>
      </c>
      <c r="G618">
        <f t="shared" si="182"/>
        <v>2</v>
      </c>
      <c r="H618">
        <v>0.28000000000000003</v>
      </c>
      <c r="I618">
        <v>0.61</v>
      </c>
      <c r="J618">
        <f t="shared" si="175"/>
        <v>176</v>
      </c>
      <c r="K618">
        <v>41</v>
      </c>
      <c r="L618">
        <v>3</v>
      </c>
      <c r="M618" s="12">
        <f t="shared" si="176"/>
        <v>0.49233458707602862</v>
      </c>
      <c r="N618">
        <f t="shared" si="183"/>
        <v>5.2890033166812497E-2</v>
      </c>
      <c r="O618">
        <f t="shared" si="177"/>
        <v>0.70166558065507856</v>
      </c>
      <c r="P618" t="s">
        <v>697</v>
      </c>
      <c r="S618">
        <f t="shared" si="178"/>
        <v>3.9677614678899062</v>
      </c>
      <c r="W618">
        <f t="shared" si="179"/>
        <v>42.185483870967744</v>
      </c>
      <c r="Y618">
        <v>2011</v>
      </c>
      <c r="Z618">
        <f>2025-AVERAGE($Y$517:$Y$692)</f>
        <v>11.48863636363626</v>
      </c>
      <c r="AA618" t="s">
        <v>261</v>
      </c>
      <c r="AB618" t="s">
        <v>261</v>
      </c>
      <c r="AC618" t="s">
        <v>261</v>
      </c>
      <c r="AD618" s="3" t="s">
        <v>261</v>
      </c>
      <c r="AE618">
        <v>0</v>
      </c>
      <c r="AF618" t="str">
        <f t="shared" si="142"/>
        <v>Non-US</v>
      </c>
      <c r="AI618">
        <f t="shared" si="180"/>
        <v>3.2903225806451615</v>
      </c>
      <c r="AJ618">
        <f t="shared" si="181"/>
        <v>1.048</v>
      </c>
      <c r="AK618" t="s">
        <v>112</v>
      </c>
      <c r="AL618">
        <v>40</v>
      </c>
      <c r="AM618" t="s">
        <v>140</v>
      </c>
      <c r="AN618" t="s">
        <v>364</v>
      </c>
      <c r="AO618">
        <v>0.78700000000000003</v>
      </c>
    </row>
    <row r="619" spans="1:41" ht="15.6">
      <c r="A619">
        <v>14</v>
      </c>
      <c r="B619" t="s">
        <v>363</v>
      </c>
      <c r="C619" t="s">
        <v>362</v>
      </c>
      <c r="E619" s="3">
        <f t="shared" si="174"/>
        <v>34.659090909090914</v>
      </c>
      <c r="F619">
        <v>2023</v>
      </c>
      <c r="G619">
        <f t="shared" si="182"/>
        <v>2</v>
      </c>
      <c r="H619">
        <v>0.28000000000000003</v>
      </c>
      <c r="I619">
        <v>0.61</v>
      </c>
      <c r="J619">
        <f t="shared" si="175"/>
        <v>176</v>
      </c>
      <c r="K619">
        <v>41</v>
      </c>
      <c r="L619">
        <v>3</v>
      </c>
      <c r="M619" s="12">
        <f t="shared" si="176"/>
        <v>0.49233458707602862</v>
      </c>
      <c r="N619">
        <f t="shared" si="183"/>
        <v>5.2890033166812497E-2</v>
      </c>
      <c r="O619">
        <f t="shared" si="177"/>
        <v>0.70166558065507856</v>
      </c>
      <c r="P619" t="s">
        <v>698</v>
      </c>
      <c r="Q619" t="s">
        <v>749</v>
      </c>
      <c r="R619">
        <v>7.0730000000000004</v>
      </c>
      <c r="S619">
        <f t="shared" si="178"/>
        <v>3.9677614678899062</v>
      </c>
      <c r="U619">
        <v>47</v>
      </c>
      <c r="V619" t="s">
        <v>138</v>
      </c>
      <c r="W619">
        <f t="shared" si="179"/>
        <v>42.185483870967744</v>
      </c>
      <c r="Y619">
        <v>2013</v>
      </c>
      <c r="Z619">
        <f>2025-AVERAGE($Y$517:$Y$692)</f>
        <v>11.48863636363626</v>
      </c>
      <c r="AA619" t="s">
        <v>261</v>
      </c>
      <c r="AB619" t="s">
        <v>261</v>
      </c>
      <c r="AC619" t="s">
        <v>261</v>
      </c>
      <c r="AD619" s="3" t="s">
        <v>261</v>
      </c>
      <c r="AE619">
        <v>0</v>
      </c>
      <c r="AF619" t="str">
        <f t="shared" si="142"/>
        <v>Non-US</v>
      </c>
      <c r="AG619">
        <v>3</v>
      </c>
      <c r="AH619">
        <v>1</v>
      </c>
      <c r="AI619">
        <f t="shared" si="180"/>
        <v>3.2903225806451615</v>
      </c>
      <c r="AJ619">
        <f t="shared" si="181"/>
        <v>1.048</v>
      </c>
      <c r="AK619" t="s">
        <v>112</v>
      </c>
      <c r="AL619">
        <v>40</v>
      </c>
      <c r="AM619" t="s">
        <v>140</v>
      </c>
      <c r="AN619" t="s">
        <v>364</v>
      </c>
      <c r="AO619">
        <v>0.78700000000000003</v>
      </c>
    </row>
    <row r="620" spans="1:41" ht="15.6">
      <c r="A620">
        <v>14</v>
      </c>
      <c r="B620" t="s">
        <v>363</v>
      </c>
      <c r="C620" t="s">
        <v>362</v>
      </c>
      <c r="E620" s="3">
        <f t="shared" si="174"/>
        <v>34.659090909090914</v>
      </c>
      <c r="F620">
        <v>2023</v>
      </c>
      <c r="G620">
        <f t="shared" si="182"/>
        <v>2</v>
      </c>
      <c r="H620">
        <v>0.28000000000000003</v>
      </c>
      <c r="I620">
        <v>0.61</v>
      </c>
      <c r="J620">
        <f t="shared" si="175"/>
        <v>176</v>
      </c>
      <c r="K620">
        <v>41</v>
      </c>
      <c r="L620">
        <v>3</v>
      </c>
      <c r="M620" s="12">
        <f t="shared" si="176"/>
        <v>0.49233458707602862</v>
      </c>
      <c r="N620">
        <f t="shared" si="183"/>
        <v>5.2890033166812497E-2</v>
      </c>
      <c r="O620">
        <f t="shared" si="177"/>
        <v>0.70166558065507856</v>
      </c>
      <c r="P620" t="s">
        <v>699</v>
      </c>
      <c r="S620">
        <f t="shared" si="178"/>
        <v>3.9677614678899062</v>
      </c>
      <c r="W620">
        <f t="shared" si="179"/>
        <v>42.185483870967744</v>
      </c>
      <c r="Y620">
        <v>2014</v>
      </c>
      <c r="Z620">
        <f>2025-AVERAGE($Y$517:$Y$692)</f>
        <v>11.48863636363626</v>
      </c>
      <c r="AA620">
        <v>0</v>
      </c>
      <c r="AB620">
        <v>0.60414653030481802</v>
      </c>
      <c r="AC620" t="s">
        <v>261</v>
      </c>
      <c r="AD620" s="3">
        <v>-0.09</v>
      </c>
      <c r="AE620">
        <v>0</v>
      </c>
      <c r="AF620" t="str">
        <f t="shared" si="142"/>
        <v>Non-US</v>
      </c>
      <c r="AI620">
        <f t="shared" si="180"/>
        <v>3.2903225806451615</v>
      </c>
      <c r="AJ620">
        <f t="shared" si="181"/>
        <v>1.048</v>
      </c>
      <c r="AK620" t="s">
        <v>112</v>
      </c>
      <c r="AL620">
        <v>40</v>
      </c>
      <c r="AM620" t="s">
        <v>140</v>
      </c>
      <c r="AN620" t="s">
        <v>364</v>
      </c>
      <c r="AO620">
        <v>0.78700000000000003</v>
      </c>
    </row>
    <row r="621" spans="1:41" ht="15.6">
      <c r="A621">
        <v>14</v>
      </c>
      <c r="B621" t="s">
        <v>363</v>
      </c>
      <c r="C621" t="s">
        <v>362</v>
      </c>
      <c r="E621" s="3">
        <f t="shared" si="174"/>
        <v>34.659090909090914</v>
      </c>
      <c r="F621">
        <v>2023</v>
      </c>
      <c r="G621">
        <f t="shared" si="182"/>
        <v>2</v>
      </c>
      <c r="H621">
        <v>0.28000000000000003</v>
      </c>
      <c r="I621">
        <v>0.61</v>
      </c>
      <c r="J621">
        <f t="shared" si="175"/>
        <v>176</v>
      </c>
      <c r="K621">
        <v>41</v>
      </c>
      <c r="L621">
        <v>3</v>
      </c>
      <c r="M621" s="12">
        <f t="shared" si="176"/>
        <v>0.49233458707602862</v>
      </c>
      <c r="N621">
        <f t="shared" si="183"/>
        <v>5.2890033166812497E-2</v>
      </c>
      <c r="O621">
        <f t="shared" si="177"/>
        <v>0.70166558065507856</v>
      </c>
      <c r="P621" t="s">
        <v>700</v>
      </c>
      <c r="Q621" t="s">
        <v>754</v>
      </c>
      <c r="R621">
        <v>1.4139999999999999</v>
      </c>
      <c r="S621">
        <f t="shared" si="178"/>
        <v>3.9677614678899062</v>
      </c>
      <c r="U621">
        <v>53</v>
      </c>
      <c r="V621" t="s">
        <v>755</v>
      </c>
      <c r="W621">
        <f t="shared" si="179"/>
        <v>42.185483870967744</v>
      </c>
      <c r="Y621">
        <v>2018</v>
      </c>
      <c r="Z621">
        <f>2025-AVERAGE($Y$517:$Y$692)</f>
        <v>11.48863636363626</v>
      </c>
      <c r="AA621">
        <v>1.1044226781904401E-3</v>
      </c>
      <c r="AB621">
        <v>1.7470022528124799E-7</v>
      </c>
      <c r="AC621" t="s">
        <v>261</v>
      </c>
      <c r="AD621" s="3">
        <v>1.3</v>
      </c>
      <c r="AE621">
        <v>0</v>
      </c>
      <c r="AF621" t="str">
        <f t="shared" si="142"/>
        <v>Non-US</v>
      </c>
      <c r="AG621">
        <v>6</v>
      </c>
      <c r="AH621">
        <v>1</v>
      </c>
      <c r="AI621">
        <f t="shared" si="180"/>
        <v>3.2903225806451615</v>
      </c>
      <c r="AJ621">
        <f t="shared" si="181"/>
        <v>1.048</v>
      </c>
      <c r="AK621" t="s">
        <v>112</v>
      </c>
      <c r="AL621">
        <v>40</v>
      </c>
      <c r="AM621" t="s">
        <v>140</v>
      </c>
      <c r="AN621" t="s">
        <v>364</v>
      </c>
      <c r="AO621">
        <v>0.78700000000000003</v>
      </c>
    </row>
    <row r="622" spans="1:41" ht="15.6">
      <c r="A622">
        <v>14</v>
      </c>
      <c r="B622" t="s">
        <v>363</v>
      </c>
      <c r="C622" t="s">
        <v>362</v>
      </c>
      <c r="E622" s="3">
        <f t="shared" si="174"/>
        <v>34.659090909090914</v>
      </c>
      <c r="F622">
        <v>2023</v>
      </c>
      <c r="G622">
        <f t="shared" si="182"/>
        <v>2</v>
      </c>
      <c r="H622">
        <v>0.28000000000000003</v>
      </c>
      <c r="I622">
        <v>0.61</v>
      </c>
      <c r="J622">
        <f t="shared" si="175"/>
        <v>176</v>
      </c>
      <c r="K622">
        <v>41</v>
      </c>
      <c r="L622">
        <v>3</v>
      </c>
      <c r="M622" s="12">
        <f t="shared" si="176"/>
        <v>0.49233458707602862</v>
      </c>
      <c r="N622">
        <f t="shared" si="183"/>
        <v>5.2890033166812497E-2</v>
      </c>
      <c r="O622">
        <f>_xlfn.STDEV.P($AD$517:$AD$692)</f>
        <v>0.70166558065507856</v>
      </c>
      <c r="P622" t="s">
        <v>599</v>
      </c>
      <c r="Q622" t="s">
        <v>527</v>
      </c>
      <c r="R622">
        <v>4.1189999999999998</v>
      </c>
      <c r="S622">
        <f t="shared" si="178"/>
        <v>3.9677614678899062</v>
      </c>
      <c r="U622">
        <v>29</v>
      </c>
      <c r="V622" t="s">
        <v>138</v>
      </c>
      <c r="W622">
        <f t="shared" si="179"/>
        <v>42.185483870967744</v>
      </c>
      <c r="Y622">
        <v>2013</v>
      </c>
      <c r="Z622">
        <f>2025-AVERAGE($Y$517:$Y$692)</f>
        <v>11.48863636363626</v>
      </c>
      <c r="AA622">
        <v>0.40501223201062397</v>
      </c>
      <c r="AB622">
        <v>2.92409499639768E-3</v>
      </c>
      <c r="AC622" t="s">
        <v>261</v>
      </c>
      <c r="AD622" s="3">
        <v>1.5</v>
      </c>
      <c r="AE622">
        <v>0</v>
      </c>
      <c r="AF622" t="str">
        <f t="shared" si="142"/>
        <v>Non-US</v>
      </c>
      <c r="AG622">
        <v>3</v>
      </c>
      <c r="AH622">
        <v>1</v>
      </c>
      <c r="AI622">
        <f t="shared" si="180"/>
        <v>3.2903225806451615</v>
      </c>
      <c r="AJ622">
        <f t="shared" si="181"/>
        <v>1.048</v>
      </c>
      <c r="AK622" t="s">
        <v>112</v>
      </c>
      <c r="AL622">
        <v>40</v>
      </c>
      <c r="AM622" t="s">
        <v>140</v>
      </c>
      <c r="AN622" t="s">
        <v>364</v>
      </c>
      <c r="AO622">
        <v>0.78700000000000003</v>
      </c>
    </row>
    <row r="623" spans="1:41" ht="15.6">
      <c r="A623">
        <v>14</v>
      </c>
      <c r="B623" t="s">
        <v>363</v>
      </c>
      <c r="C623" t="s">
        <v>362</v>
      </c>
      <c r="E623" s="3">
        <f t="shared" si="174"/>
        <v>34.659090909090914</v>
      </c>
      <c r="F623">
        <v>2023</v>
      </c>
      <c r="G623">
        <f t="shared" si="182"/>
        <v>2</v>
      </c>
      <c r="H623">
        <v>0.28000000000000003</v>
      </c>
      <c r="I623">
        <v>0.61</v>
      </c>
      <c r="J623">
        <f t="shared" si="175"/>
        <v>176</v>
      </c>
      <c r="K623">
        <v>41</v>
      </c>
      <c r="L623">
        <v>3</v>
      </c>
      <c r="M623" s="12">
        <f t="shared" si="176"/>
        <v>0.49233458707602862</v>
      </c>
      <c r="N623">
        <f t="shared" si="183"/>
        <v>5.2890033166812497E-2</v>
      </c>
      <c r="O623">
        <f t="shared" si="177"/>
        <v>0.70166558065507856</v>
      </c>
      <c r="P623" t="s">
        <v>701</v>
      </c>
      <c r="S623">
        <f t="shared" si="178"/>
        <v>3.9677614678899062</v>
      </c>
      <c r="W623">
        <f t="shared" si="179"/>
        <v>42.185483870967744</v>
      </c>
      <c r="Y623">
        <v>2011</v>
      </c>
      <c r="Z623">
        <f>2025-AVERAGE($Y$517:$Y$692)</f>
        <v>11.48863636363626</v>
      </c>
      <c r="AA623">
        <v>0</v>
      </c>
      <c r="AB623">
        <v>5.3956319968796298E-3</v>
      </c>
      <c r="AC623">
        <v>5.4160279141920604</v>
      </c>
      <c r="AD623" s="3">
        <v>0.29846909094331803</v>
      </c>
      <c r="AE623">
        <v>0</v>
      </c>
      <c r="AF623" t="str">
        <f t="shared" si="142"/>
        <v>Non-US</v>
      </c>
      <c r="AI623">
        <f t="shared" si="180"/>
        <v>3.2903225806451615</v>
      </c>
      <c r="AJ623">
        <f t="shared" si="181"/>
        <v>1.048</v>
      </c>
      <c r="AK623" t="s">
        <v>112</v>
      </c>
      <c r="AL623">
        <v>40</v>
      </c>
      <c r="AM623" t="s">
        <v>140</v>
      </c>
      <c r="AN623" t="s">
        <v>364</v>
      </c>
      <c r="AO623">
        <v>0.78700000000000003</v>
      </c>
    </row>
    <row r="624" spans="1:41" ht="15.6">
      <c r="A624">
        <v>14</v>
      </c>
      <c r="B624" t="s">
        <v>363</v>
      </c>
      <c r="C624" t="s">
        <v>362</v>
      </c>
      <c r="E624" s="3">
        <f t="shared" si="174"/>
        <v>34.659090909090914</v>
      </c>
      <c r="F624">
        <v>2023</v>
      </c>
      <c r="G624">
        <f t="shared" si="182"/>
        <v>2</v>
      </c>
      <c r="H624">
        <v>0.28000000000000003</v>
      </c>
      <c r="I624">
        <v>0.61</v>
      </c>
      <c r="J624">
        <f t="shared" si="175"/>
        <v>176</v>
      </c>
      <c r="K624">
        <v>41</v>
      </c>
      <c r="L624">
        <v>3</v>
      </c>
      <c r="M624" s="12">
        <f t="shared" si="176"/>
        <v>0.49233458707602862</v>
      </c>
      <c r="N624">
        <f t="shared" si="183"/>
        <v>5.2890033166812497E-2</v>
      </c>
      <c r="O624">
        <f t="shared" si="177"/>
        <v>0.70166558065507856</v>
      </c>
      <c r="P624" t="s">
        <v>702</v>
      </c>
      <c r="Q624" t="s">
        <v>527</v>
      </c>
      <c r="R624">
        <v>4.1159999999999997</v>
      </c>
      <c r="S624">
        <f t="shared" si="178"/>
        <v>3.9677614678899062</v>
      </c>
      <c r="U624">
        <v>15</v>
      </c>
      <c r="V624" t="s">
        <v>138</v>
      </c>
      <c r="W624">
        <f t="shared" si="179"/>
        <v>42.185483870967744</v>
      </c>
      <c r="Y624">
        <v>2018</v>
      </c>
      <c r="Z624">
        <f>2025-AVERAGE($Y$517:$Y$692)</f>
        <v>11.48863636363626</v>
      </c>
      <c r="AA624">
        <v>1.5001813125081699E-9</v>
      </c>
      <c r="AB624">
        <v>5.74940043546499E-4</v>
      </c>
      <c r="AC624">
        <v>0.41</v>
      </c>
      <c r="AD624" s="3">
        <v>1.4</v>
      </c>
      <c r="AE624">
        <v>0</v>
      </c>
      <c r="AF624" t="str">
        <f t="shared" si="142"/>
        <v>Non-US</v>
      </c>
      <c r="AG624">
        <v>4</v>
      </c>
      <c r="AH624">
        <v>1</v>
      </c>
      <c r="AI624">
        <f t="shared" si="180"/>
        <v>3.2903225806451615</v>
      </c>
      <c r="AJ624">
        <f t="shared" si="181"/>
        <v>1.048</v>
      </c>
      <c r="AK624" t="s">
        <v>112</v>
      </c>
      <c r="AL624">
        <v>40</v>
      </c>
      <c r="AM624" t="s">
        <v>140</v>
      </c>
      <c r="AN624" t="s">
        <v>364</v>
      </c>
      <c r="AO624">
        <v>0.78700000000000003</v>
      </c>
    </row>
    <row r="625" spans="1:41" ht="15.6">
      <c r="A625">
        <v>14</v>
      </c>
      <c r="B625" t="s">
        <v>363</v>
      </c>
      <c r="C625" t="s">
        <v>362</v>
      </c>
      <c r="E625" s="3">
        <f t="shared" si="174"/>
        <v>34.659090909090914</v>
      </c>
      <c r="F625">
        <v>2023</v>
      </c>
      <c r="G625">
        <f t="shared" si="182"/>
        <v>2</v>
      </c>
      <c r="H625">
        <v>0.28000000000000003</v>
      </c>
      <c r="I625">
        <v>0.61</v>
      </c>
      <c r="J625">
        <f t="shared" si="175"/>
        <v>176</v>
      </c>
      <c r="K625">
        <v>41</v>
      </c>
      <c r="L625">
        <v>3</v>
      </c>
      <c r="M625" s="12">
        <f t="shared" si="176"/>
        <v>0.49233458707602862</v>
      </c>
      <c r="N625">
        <f t="shared" si="183"/>
        <v>5.2890033166812497E-2</v>
      </c>
      <c r="O625">
        <f t="shared" si="177"/>
        <v>0.70166558065507856</v>
      </c>
      <c r="P625" t="s">
        <v>600</v>
      </c>
      <c r="Q625" t="s">
        <v>527</v>
      </c>
      <c r="R625">
        <v>4.1280000000000001</v>
      </c>
      <c r="S625">
        <f t="shared" si="178"/>
        <v>3.9677614678899062</v>
      </c>
      <c r="U625">
        <v>37</v>
      </c>
      <c r="V625" t="s">
        <v>138</v>
      </c>
      <c r="W625">
        <f t="shared" si="179"/>
        <v>42.185483870967744</v>
      </c>
      <c r="Y625">
        <v>2017</v>
      </c>
      <c r="Z625">
        <f>2025-AVERAGE($Y$517:$Y$692)</f>
        <v>11.48863636363626</v>
      </c>
      <c r="AA625">
        <v>5.1209671745440201E-2</v>
      </c>
      <c r="AB625">
        <v>1.37873815724571E-3</v>
      </c>
      <c r="AC625" t="s">
        <v>261</v>
      </c>
      <c r="AD625" s="3">
        <v>0.7</v>
      </c>
      <c r="AE625">
        <v>0</v>
      </c>
      <c r="AF625" t="str">
        <f t="shared" si="142"/>
        <v>Non-US</v>
      </c>
      <c r="AG625">
        <v>5</v>
      </c>
      <c r="AH625">
        <v>1</v>
      </c>
      <c r="AI625">
        <f t="shared" si="180"/>
        <v>3.2903225806451615</v>
      </c>
      <c r="AJ625">
        <f t="shared" si="181"/>
        <v>1.048</v>
      </c>
      <c r="AK625" t="s">
        <v>112</v>
      </c>
      <c r="AL625">
        <v>40</v>
      </c>
      <c r="AM625" t="s">
        <v>140</v>
      </c>
      <c r="AN625" t="s">
        <v>364</v>
      </c>
      <c r="AO625">
        <v>0.78700000000000003</v>
      </c>
    </row>
    <row r="626" spans="1:41" ht="15.6">
      <c r="A626">
        <v>14</v>
      </c>
      <c r="B626" t="s">
        <v>363</v>
      </c>
      <c r="C626" t="s">
        <v>362</v>
      </c>
      <c r="E626" s="3">
        <f t="shared" si="174"/>
        <v>34.659090909090914</v>
      </c>
      <c r="F626">
        <v>2023</v>
      </c>
      <c r="G626">
        <f t="shared" si="182"/>
        <v>2</v>
      </c>
      <c r="H626">
        <v>0.28000000000000003</v>
      </c>
      <c r="I626">
        <v>0.61</v>
      </c>
      <c r="J626">
        <f t="shared" si="175"/>
        <v>176</v>
      </c>
      <c r="K626">
        <v>41</v>
      </c>
      <c r="L626">
        <v>3</v>
      </c>
      <c r="M626" s="12">
        <f t="shared" si="176"/>
        <v>0.49233458707602862</v>
      </c>
      <c r="N626">
        <f t="shared" si="183"/>
        <v>5.2890033166812497E-2</v>
      </c>
      <c r="O626">
        <f t="shared" si="177"/>
        <v>0.70166558065507856</v>
      </c>
      <c r="P626" t="s">
        <v>601</v>
      </c>
      <c r="Q626" t="s">
        <v>776</v>
      </c>
      <c r="R626">
        <v>0.30599999999999999</v>
      </c>
      <c r="S626">
        <f t="shared" si="178"/>
        <v>3.9677614678899062</v>
      </c>
      <c r="U626">
        <v>17</v>
      </c>
      <c r="V626" t="s">
        <v>138</v>
      </c>
      <c r="W626">
        <f t="shared" si="179"/>
        <v>42.185483870967744</v>
      </c>
      <c r="Y626">
        <v>2018</v>
      </c>
      <c r="Z626">
        <f>2025-AVERAGE($Y$517:$Y$692)</f>
        <v>11.48863636363626</v>
      </c>
      <c r="AA626">
        <v>0.36853400258934998</v>
      </c>
      <c r="AB626">
        <v>9.9426929796899398E-3</v>
      </c>
      <c r="AC626" t="s">
        <v>261</v>
      </c>
      <c r="AD626" s="3">
        <v>0.9</v>
      </c>
      <c r="AE626">
        <v>0</v>
      </c>
      <c r="AF626" t="str">
        <f t="shared" si="142"/>
        <v>Non-US</v>
      </c>
      <c r="AG626">
        <v>4</v>
      </c>
      <c r="AH626">
        <v>1</v>
      </c>
      <c r="AI626">
        <f t="shared" si="180"/>
        <v>3.2903225806451615</v>
      </c>
      <c r="AJ626">
        <f t="shared" si="181"/>
        <v>1.048</v>
      </c>
      <c r="AK626" t="s">
        <v>112</v>
      </c>
      <c r="AL626">
        <v>40</v>
      </c>
      <c r="AM626" t="s">
        <v>140</v>
      </c>
      <c r="AN626" t="s">
        <v>364</v>
      </c>
      <c r="AO626">
        <v>0.78700000000000003</v>
      </c>
    </row>
    <row r="627" spans="1:41" ht="15.6">
      <c r="A627">
        <v>14</v>
      </c>
      <c r="B627" t="s">
        <v>363</v>
      </c>
      <c r="C627" t="s">
        <v>362</v>
      </c>
      <c r="E627" s="3">
        <f t="shared" si="174"/>
        <v>34.659090909090914</v>
      </c>
      <c r="F627">
        <v>2023</v>
      </c>
      <c r="G627">
        <f t="shared" si="182"/>
        <v>2</v>
      </c>
      <c r="H627">
        <v>0.28000000000000003</v>
      </c>
      <c r="I627">
        <v>0.61</v>
      </c>
      <c r="J627">
        <f t="shared" si="175"/>
        <v>176</v>
      </c>
      <c r="K627">
        <v>41</v>
      </c>
      <c r="L627">
        <v>3</v>
      </c>
      <c r="M627" s="12">
        <f t="shared" si="176"/>
        <v>0.49233458707602862</v>
      </c>
      <c r="N627">
        <f t="shared" si="183"/>
        <v>5.2890033166812497E-2</v>
      </c>
      <c r="O627">
        <f t="shared" si="177"/>
        <v>0.70166558065507856</v>
      </c>
      <c r="P627" t="s">
        <v>703</v>
      </c>
      <c r="Q627" t="s">
        <v>777</v>
      </c>
      <c r="R627">
        <v>10.333</v>
      </c>
      <c r="S627">
        <f t="shared" si="178"/>
        <v>3.9677614678899062</v>
      </c>
      <c r="U627">
        <v>26</v>
      </c>
      <c r="V627" t="s">
        <v>755</v>
      </c>
      <c r="W627">
        <f t="shared" si="179"/>
        <v>42.185483870967744</v>
      </c>
      <c r="Y627">
        <v>2005</v>
      </c>
      <c r="Z627">
        <f>2025-AVERAGE($Y$517:$Y$692)</f>
        <v>11.48863636363626</v>
      </c>
      <c r="AA627" t="s">
        <v>261</v>
      </c>
      <c r="AB627" t="s">
        <v>261</v>
      </c>
      <c r="AC627" t="s">
        <v>261</v>
      </c>
      <c r="AD627" s="3" t="s">
        <v>261</v>
      </c>
      <c r="AE627">
        <v>0</v>
      </c>
      <c r="AF627" t="str">
        <f t="shared" si="142"/>
        <v>Non-US</v>
      </c>
      <c r="AG627">
        <v>2</v>
      </c>
      <c r="AH627">
        <v>1</v>
      </c>
      <c r="AI627">
        <f t="shared" si="180"/>
        <v>3.2903225806451615</v>
      </c>
      <c r="AJ627">
        <f t="shared" si="181"/>
        <v>1.048</v>
      </c>
      <c r="AK627" t="s">
        <v>112</v>
      </c>
      <c r="AL627">
        <v>40</v>
      </c>
      <c r="AM627" t="s">
        <v>140</v>
      </c>
      <c r="AN627" t="s">
        <v>364</v>
      </c>
      <c r="AO627">
        <v>0.78700000000000003</v>
      </c>
    </row>
    <row r="628" spans="1:41" ht="15.6">
      <c r="A628">
        <v>14</v>
      </c>
      <c r="B628" t="s">
        <v>363</v>
      </c>
      <c r="C628" t="s">
        <v>362</v>
      </c>
      <c r="E628" s="3">
        <f t="shared" si="174"/>
        <v>34.659090909090914</v>
      </c>
      <c r="F628">
        <v>2023</v>
      </c>
      <c r="G628">
        <f t="shared" si="182"/>
        <v>2</v>
      </c>
      <c r="H628">
        <v>0.28000000000000003</v>
      </c>
      <c r="I628">
        <v>0.61</v>
      </c>
      <c r="J628">
        <f t="shared" si="175"/>
        <v>176</v>
      </c>
      <c r="K628">
        <v>41</v>
      </c>
      <c r="L628">
        <v>3</v>
      </c>
      <c r="M628" s="12">
        <f t="shared" si="176"/>
        <v>0.49233458707602862</v>
      </c>
      <c r="N628">
        <f t="shared" si="183"/>
        <v>5.2890033166812497E-2</v>
      </c>
      <c r="O628">
        <f t="shared" si="177"/>
        <v>0.70166558065507856</v>
      </c>
      <c r="P628" t="s">
        <v>704</v>
      </c>
      <c r="Q628" t="s">
        <v>772</v>
      </c>
      <c r="R628">
        <v>4.2009999999999996</v>
      </c>
      <c r="S628">
        <f t="shared" si="178"/>
        <v>3.9677614678899062</v>
      </c>
      <c r="U628">
        <v>43</v>
      </c>
      <c r="V628" t="s">
        <v>138</v>
      </c>
      <c r="W628">
        <f t="shared" si="179"/>
        <v>42.185483870967744</v>
      </c>
      <c r="Y628">
        <v>2017</v>
      </c>
      <c r="Z628">
        <f>2025-AVERAGE($Y$517:$Y$692)</f>
        <v>11.48863636363626</v>
      </c>
      <c r="AA628">
        <v>0</v>
      </c>
      <c r="AB628">
        <v>3.8073942411518102E-4</v>
      </c>
      <c r="AC628" t="s">
        <v>261</v>
      </c>
      <c r="AD628" s="3">
        <v>0.2</v>
      </c>
      <c r="AE628">
        <v>0</v>
      </c>
      <c r="AF628" t="str">
        <f t="shared" si="142"/>
        <v>Non-US</v>
      </c>
      <c r="AG628">
        <v>3</v>
      </c>
      <c r="AH628">
        <v>1</v>
      </c>
      <c r="AI628">
        <f t="shared" si="180"/>
        <v>3.2903225806451615</v>
      </c>
      <c r="AJ628">
        <f t="shared" si="181"/>
        <v>1.048</v>
      </c>
      <c r="AK628" t="s">
        <v>112</v>
      </c>
      <c r="AL628">
        <v>40</v>
      </c>
      <c r="AM628" t="s">
        <v>140</v>
      </c>
      <c r="AN628" t="s">
        <v>364</v>
      </c>
      <c r="AO628">
        <v>0.78700000000000003</v>
      </c>
    </row>
    <row r="629" spans="1:41" ht="15.6">
      <c r="A629">
        <v>14</v>
      </c>
      <c r="B629" t="s">
        <v>363</v>
      </c>
      <c r="C629" t="s">
        <v>362</v>
      </c>
      <c r="E629" s="3">
        <f t="shared" si="174"/>
        <v>34.659090909090914</v>
      </c>
      <c r="F629">
        <v>2023</v>
      </c>
      <c r="G629">
        <f t="shared" si="182"/>
        <v>2</v>
      </c>
      <c r="H629">
        <v>0.28000000000000003</v>
      </c>
      <c r="I629">
        <v>0.61</v>
      </c>
      <c r="J629">
        <f t="shared" si="175"/>
        <v>176</v>
      </c>
      <c r="K629">
        <v>41</v>
      </c>
      <c r="L629">
        <v>3</v>
      </c>
      <c r="M629" s="12">
        <f t="shared" si="176"/>
        <v>0.49233458707602862</v>
      </c>
      <c r="N629">
        <f t="shared" si="183"/>
        <v>5.2890033166812497E-2</v>
      </c>
      <c r="O629">
        <f t="shared" si="177"/>
        <v>0.70166558065507856</v>
      </c>
      <c r="P629" t="s">
        <v>705</v>
      </c>
      <c r="Q629" t="s">
        <v>772</v>
      </c>
      <c r="R629">
        <v>3.7050000000000001</v>
      </c>
      <c r="S629">
        <f t="shared" si="178"/>
        <v>3.9677614678899062</v>
      </c>
      <c r="U629">
        <v>110</v>
      </c>
      <c r="V629" t="s">
        <v>138</v>
      </c>
      <c r="W629">
        <f t="shared" si="179"/>
        <v>42.185483870967744</v>
      </c>
      <c r="Y629">
        <v>2015</v>
      </c>
      <c r="Z629">
        <f>2025-AVERAGE($Y$517:$Y$692)</f>
        <v>11.48863636363626</v>
      </c>
      <c r="AA629">
        <v>0</v>
      </c>
      <c r="AB629">
        <v>3.9689311852333002E-3</v>
      </c>
      <c r="AC629">
        <v>3.05</v>
      </c>
      <c r="AD629" s="3">
        <v>-0.79999999999999905</v>
      </c>
      <c r="AE629">
        <v>0</v>
      </c>
      <c r="AF629" t="str">
        <f t="shared" si="142"/>
        <v>Non-US</v>
      </c>
      <c r="AG629">
        <v>1</v>
      </c>
      <c r="AH629">
        <v>1</v>
      </c>
      <c r="AI629">
        <f t="shared" si="180"/>
        <v>3.2903225806451615</v>
      </c>
      <c r="AJ629">
        <f t="shared" si="181"/>
        <v>1.048</v>
      </c>
      <c r="AK629" t="s">
        <v>112</v>
      </c>
      <c r="AL629">
        <v>40</v>
      </c>
      <c r="AM629" t="s">
        <v>140</v>
      </c>
      <c r="AN629" t="s">
        <v>364</v>
      </c>
      <c r="AO629">
        <v>0.78700000000000003</v>
      </c>
    </row>
    <row r="630" spans="1:41" ht="15.6">
      <c r="A630">
        <v>14</v>
      </c>
      <c r="B630" t="s">
        <v>363</v>
      </c>
      <c r="C630" t="s">
        <v>362</v>
      </c>
      <c r="E630" s="3">
        <f t="shared" si="174"/>
        <v>34.659090909090914</v>
      </c>
      <c r="F630">
        <v>2023</v>
      </c>
      <c r="G630">
        <f t="shared" si="182"/>
        <v>2</v>
      </c>
      <c r="H630">
        <v>0.28000000000000003</v>
      </c>
      <c r="I630">
        <v>0.61</v>
      </c>
      <c r="J630">
        <f t="shared" si="175"/>
        <v>176</v>
      </c>
      <c r="K630">
        <v>41</v>
      </c>
      <c r="L630">
        <v>3</v>
      </c>
      <c r="M630" s="12">
        <f t="shared" si="176"/>
        <v>0.49233458707602862</v>
      </c>
      <c r="N630">
        <f t="shared" si="183"/>
        <v>5.2890033166812497E-2</v>
      </c>
      <c r="O630">
        <f t="shared" si="177"/>
        <v>0.70166558065507856</v>
      </c>
      <c r="P630" t="s">
        <v>706</v>
      </c>
      <c r="Q630" t="s">
        <v>473</v>
      </c>
      <c r="R630">
        <v>1.6950000000000001</v>
      </c>
      <c r="S630">
        <f t="shared" si="178"/>
        <v>3.9677614678899062</v>
      </c>
      <c r="U630">
        <v>7</v>
      </c>
      <c r="V630" t="s">
        <v>138</v>
      </c>
      <c r="W630">
        <f t="shared" si="179"/>
        <v>42.185483870967744</v>
      </c>
      <c r="Y630">
        <v>2012</v>
      </c>
      <c r="Z630">
        <f>2025-AVERAGE($Y$517:$Y$692)</f>
        <v>11.48863636363626</v>
      </c>
      <c r="AA630">
        <v>2.9309887850104101E-14</v>
      </c>
      <c r="AB630">
        <v>0.72301638894133302</v>
      </c>
      <c r="AC630" t="s">
        <v>261</v>
      </c>
      <c r="AD630" s="3">
        <v>-0.1</v>
      </c>
      <c r="AE630">
        <v>0</v>
      </c>
      <c r="AF630" t="str">
        <f t="shared" si="142"/>
        <v>Non-US</v>
      </c>
      <c r="AG630">
        <v>3</v>
      </c>
      <c r="AH630">
        <v>1</v>
      </c>
      <c r="AI630">
        <f t="shared" si="180"/>
        <v>3.2903225806451615</v>
      </c>
      <c r="AJ630">
        <f t="shared" si="181"/>
        <v>1.048</v>
      </c>
      <c r="AK630" t="s">
        <v>112</v>
      </c>
      <c r="AL630">
        <v>40</v>
      </c>
      <c r="AM630" t="s">
        <v>140</v>
      </c>
      <c r="AN630" t="s">
        <v>364</v>
      </c>
      <c r="AO630">
        <v>0.78700000000000003</v>
      </c>
    </row>
    <row r="631" spans="1:41" ht="15.6">
      <c r="A631">
        <v>14</v>
      </c>
      <c r="B631" t="s">
        <v>363</v>
      </c>
      <c r="C631" t="s">
        <v>362</v>
      </c>
      <c r="E631" s="3">
        <f t="shared" si="174"/>
        <v>34.659090909090914</v>
      </c>
      <c r="F631">
        <v>2023</v>
      </c>
      <c r="G631">
        <f t="shared" si="182"/>
        <v>2</v>
      </c>
      <c r="H631">
        <v>0.28000000000000003</v>
      </c>
      <c r="I631">
        <v>0.61</v>
      </c>
      <c r="J631">
        <f t="shared" si="175"/>
        <v>176</v>
      </c>
      <c r="K631">
        <v>41</v>
      </c>
      <c r="L631">
        <v>3</v>
      </c>
      <c r="M631" s="12">
        <f t="shared" si="176"/>
        <v>0.49233458707602862</v>
      </c>
      <c r="N631">
        <f t="shared" si="183"/>
        <v>5.2890033166812497E-2</v>
      </c>
      <c r="O631">
        <f t="shared" si="177"/>
        <v>0.70166558065507856</v>
      </c>
      <c r="P631" t="s">
        <v>707</v>
      </c>
      <c r="S631">
        <f t="shared" si="178"/>
        <v>3.9677614678899062</v>
      </c>
      <c r="W631">
        <f t="shared" si="179"/>
        <v>42.185483870967744</v>
      </c>
      <c r="Y631">
        <v>2012</v>
      </c>
      <c r="Z631">
        <f>2025-AVERAGE($Y$517:$Y$692)</f>
        <v>11.48863636363626</v>
      </c>
      <c r="AA631" t="s">
        <v>261</v>
      </c>
      <c r="AB631" t="s">
        <v>261</v>
      </c>
      <c r="AC631" t="s">
        <v>261</v>
      </c>
      <c r="AD631" s="3" t="s">
        <v>261</v>
      </c>
      <c r="AE631">
        <v>0</v>
      </c>
      <c r="AF631" t="str">
        <f t="shared" si="142"/>
        <v>Non-US</v>
      </c>
      <c r="AI631">
        <f t="shared" si="180"/>
        <v>3.2903225806451615</v>
      </c>
      <c r="AJ631">
        <f t="shared" si="181"/>
        <v>1.048</v>
      </c>
      <c r="AK631" t="s">
        <v>112</v>
      </c>
      <c r="AL631">
        <v>40</v>
      </c>
      <c r="AM631" t="s">
        <v>140</v>
      </c>
      <c r="AN631" t="s">
        <v>364</v>
      </c>
      <c r="AO631">
        <v>0.78700000000000003</v>
      </c>
    </row>
    <row r="632" spans="1:41" ht="15.6">
      <c r="A632">
        <v>14</v>
      </c>
      <c r="B632" t="s">
        <v>363</v>
      </c>
      <c r="C632" t="s">
        <v>362</v>
      </c>
      <c r="E632" s="3">
        <f t="shared" si="174"/>
        <v>34.659090909090914</v>
      </c>
      <c r="F632">
        <v>2023</v>
      </c>
      <c r="G632">
        <f t="shared" si="182"/>
        <v>2</v>
      </c>
      <c r="H632">
        <v>0.28000000000000003</v>
      </c>
      <c r="I632">
        <v>0.61</v>
      </c>
      <c r="J632">
        <f t="shared" si="175"/>
        <v>176</v>
      </c>
      <c r="K632">
        <v>41</v>
      </c>
      <c r="L632">
        <v>3</v>
      </c>
      <c r="M632" s="12">
        <f t="shared" si="176"/>
        <v>0.49233458707602862</v>
      </c>
      <c r="N632">
        <f t="shared" si="183"/>
        <v>5.2890033166812497E-2</v>
      </c>
      <c r="O632">
        <f t="shared" si="177"/>
        <v>0.70166558065507856</v>
      </c>
      <c r="P632" t="s">
        <v>602</v>
      </c>
      <c r="S632">
        <f t="shared" si="178"/>
        <v>3.9677614678899062</v>
      </c>
      <c r="W632">
        <f t="shared" si="179"/>
        <v>42.185483870967744</v>
      </c>
      <c r="Y632">
        <v>2015</v>
      </c>
      <c r="Z632">
        <f>2025-AVERAGE($Y$517:$Y$692)</f>
        <v>11.48863636363626</v>
      </c>
      <c r="AA632">
        <v>0.82455856742911104</v>
      </c>
      <c r="AB632">
        <v>2.0396308014880799E-13</v>
      </c>
      <c r="AC632" t="s">
        <v>261</v>
      </c>
      <c r="AD632" s="3">
        <v>1.8</v>
      </c>
      <c r="AE632">
        <v>0</v>
      </c>
      <c r="AF632" t="str">
        <f t="shared" si="142"/>
        <v>Non-US</v>
      </c>
      <c r="AI632">
        <f t="shared" si="180"/>
        <v>3.2903225806451615</v>
      </c>
      <c r="AJ632">
        <f t="shared" si="181"/>
        <v>1.048</v>
      </c>
      <c r="AK632" t="s">
        <v>112</v>
      </c>
      <c r="AL632">
        <v>40</v>
      </c>
      <c r="AM632" t="s">
        <v>140</v>
      </c>
      <c r="AN632" t="s">
        <v>364</v>
      </c>
      <c r="AO632">
        <v>0.78700000000000003</v>
      </c>
    </row>
    <row r="633" spans="1:41" ht="15.6">
      <c r="A633">
        <v>14</v>
      </c>
      <c r="B633" t="s">
        <v>363</v>
      </c>
      <c r="C633" t="s">
        <v>362</v>
      </c>
      <c r="E633" s="3">
        <f t="shared" si="174"/>
        <v>34.659090909090914</v>
      </c>
      <c r="F633">
        <v>2023</v>
      </c>
      <c r="G633">
        <f t="shared" si="182"/>
        <v>2</v>
      </c>
      <c r="H633">
        <v>0.28000000000000003</v>
      </c>
      <c r="I633">
        <v>0.61</v>
      </c>
      <c r="J633">
        <f t="shared" si="175"/>
        <v>176</v>
      </c>
      <c r="K633">
        <v>41</v>
      </c>
      <c r="L633">
        <v>3</v>
      </c>
      <c r="M633" s="12">
        <f t="shared" si="176"/>
        <v>0.49233458707602862</v>
      </c>
      <c r="N633">
        <f t="shared" si="183"/>
        <v>5.2890033166812497E-2</v>
      </c>
      <c r="O633">
        <f t="shared" si="177"/>
        <v>0.70166558065507856</v>
      </c>
      <c r="P633" t="s">
        <v>708</v>
      </c>
      <c r="Q633" t="s">
        <v>762</v>
      </c>
      <c r="R633" t="s">
        <v>261</v>
      </c>
      <c r="S633">
        <f t="shared" si="178"/>
        <v>3.9677614678899062</v>
      </c>
      <c r="U633">
        <v>26</v>
      </c>
      <c r="V633" t="s">
        <v>138</v>
      </c>
      <c r="W633">
        <f t="shared" si="179"/>
        <v>42.185483870967744</v>
      </c>
      <c r="Y633">
        <v>1998</v>
      </c>
      <c r="Z633">
        <f>2025-AVERAGE($Y$517:$Y$692)</f>
        <v>11.48863636363626</v>
      </c>
      <c r="AA633" t="s">
        <v>261</v>
      </c>
      <c r="AB633" t="s">
        <v>261</v>
      </c>
      <c r="AC633" t="s">
        <v>261</v>
      </c>
      <c r="AD633" s="3" t="s">
        <v>261</v>
      </c>
      <c r="AE633">
        <v>0</v>
      </c>
      <c r="AF633" t="str">
        <f t="shared" si="142"/>
        <v>Non-US</v>
      </c>
      <c r="AG633">
        <v>3</v>
      </c>
      <c r="AH633">
        <v>1</v>
      </c>
      <c r="AI633">
        <f t="shared" si="180"/>
        <v>3.2903225806451615</v>
      </c>
      <c r="AJ633">
        <f t="shared" si="181"/>
        <v>1.048</v>
      </c>
      <c r="AK633" t="s">
        <v>112</v>
      </c>
      <c r="AL633">
        <v>40</v>
      </c>
      <c r="AM633" t="s">
        <v>140</v>
      </c>
      <c r="AN633" t="s">
        <v>364</v>
      </c>
      <c r="AO633">
        <v>0.78700000000000003</v>
      </c>
    </row>
    <row r="634" spans="1:41" ht="15.6">
      <c r="A634">
        <v>14</v>
      </c>
      <c r="B634" t="s">
        <v>363</v>
      </c>
      <c r="C634" t="s">
        <v>362</v>
      </c>
      <c r="E634" s="3">
        <f t="shared" si="174"/>
        <v>34.659090909090914</v>
      </c>
      <c r="F634">
        <v>2023</v>
      </c>
      <c r="G634">
        <f t="shared" si="182"/>
        <v>2</v>
      </c>
      <c r="H634">
        <v>0.28000000000000003</v>
      </c>
      <c r="I634">
        <v>0.61</v>
      </c>
      <c r="J634">
        <f t="shared" si="175"/>
        <v>176</v>
      </c>
      <c r="K634">
        <v>41</v>
      </c>
      <c r="L634">
        <v>3</v>
      </c>
      <c r="M634" s="12">
        <f t="shared" si="176"/>
        <v>0.49233458707602862</v>
      </c>
      <c r="N634">
        <f t="shared" si="183"/>
        <v>5.2890033166812497E-2</v>
      </c>
      <c r="O634">
        <f t="shared" si="177"/>
        <v>0.70166558065507856</v>
      </c>
      <c r="P634" t="s">
        <v>709</v>
      </c>
      <c r="S634">
        <f t="shared" si="178"/>
        <v>3.9677614678899062</v>
      </c>
      <c r="W634">
        <f t="shared" si="179"/>
        <v>42.185483870967744</v>
      </c>
      <c r="Y634">
        <v>2012</v>
      </c>
      <c r="Z634">
        <f>2025-AVERAGE($Y$517:$Y$692)</f>
        <v>11.48863636363626</v>
      </c>
      <c r="AA634">
        <v>1.5008120413106901E-7</v>
      </c>
      <c r="AB634">
        <v>0.97620271970248895</v>
      </c>
      <c r="AC634" t="s">
        <v>261</v>
      </c>
      <c r="AD634" s="3">
        <v>0</v>
      </c>
      <c r="AE634">
        <v>0</v>
      </c>
      <c r="AF634" t="str">
        <f t="shared" si="142"/>
        <v>Non-US</v>
      </c>
      <c r="AI634">
        <f t="shared" si="180"/>
        <v>3.2903225806451615</v>
      </c>
      <c r="AJ634">
        <f t="shared" si="181"/>
        <v>1.048</v>
      </c>
      <c r="AK634" t="s">
        <v>112</v>
      </c>
      <c r="AL634">
        <v>40</v>
      </c>
      <c r="AM634" t="s">
        <v>140</v>
      </c>
      <c r="AN634" t="s">
        <v>364</v>
      </c>
      <c r="AO634">
        <v>0.78700000000000003</v>
      </c>
    </row>
    <row r="635" spans="1:41" ht="15.6">
      <c r="A635">
        <v>14</v>
      </c>
      <c r="B635" t="s">
        <v>363</v>
      </c>
      <c r="C635" t="s">
        <v>362</v>
      </c>
      <c r="E635" s="3">
        <f t="shared" si="174"/>
        <v>34.659090909090914</v>
      </c>
      <c r="F635">
        <v>2023</v>
      </c>
      <c r="G635">
        <f t="shared" si="182"/>
        <v>2</v>
      </c>
      <c r="H635">
        <v>0.28000000000000003</v>
      </c>
      <c r="I635">
        <v>0.61</v>
      </c>
      <c r="J635">
        <f t="shared" si="175"/>
        <v>176</v>
      </c>
      <c r="K635">
        <v>41</v>
      </c>
      <c r="L635">
        <v>3</v>
      </c>
      <c r="M635" s="12">
        <f t="shared" si="176"/>
        <v>0.49233458707602862</v>
      </c>
      <c r="N635">
        <f t="shared" si="183"/>
        <v>5.2890033166812497E-2</v>
      </c>
      <c r="O635">
        <f t="shared" si="177"/>
        <v>0.70166558065507856</v>
      </c>
      <c r="P635" t="s">
        <v>603</v>
      </c>
      <c r="Q635" t="s">
        <v>527</v>
      </c>
      <c r="R635">
        <v>4.3460000000000001</v>
      </c>
      <c r="S635">
        <f t="shared" si="178"/>
        <v>3.9677614678899062</v>
      </c>
      <c r="U635">
        <v>30</v>
      </c>
      <c r="V635" t="s">
        <v>138</v>
      </c>
      <c r="W635">
        <f t="shared" si="179"/>
        <v>42.185483870967744</v>
      </c>
      <c r="Y635">
        <v>2015</v>
      </c>
      <c r="Z635">
        <f>2025-AVERAGE($Y$517:$Y$692)</f>
        <v>11.48863636363626</v>
      </c>
      <c r="AA635">
        <v>0.46758213125226</v>
      </c>
      <c r="AB635">
        <v>7.4798421180073394E-21</v>
      </c>
      <c r="AC635">
        <v>3.04</v>
      </c>
      <c r="AD635" s="3">
        <v>1.2</v>
      </c>
      <c r="AE635">
        <v>0</v>
      </c>
      <c r="AF635" t="str">
        <f t="shared" si="142"/>
        <v>Non-US</v>
      </c>
      <c r="AG635">
        <v>3</v>
      </c>
      <c r="AH635">
        <v>1</v>
      </c>
      <c r="AI635">
        <f t="shared" si="180"/>
        <v>3.2903225806451615</v>
      </c>
      <c r="AJ635">
        <f t="shared" si="181"/>
        <v>1.048</v>
      </c>
      <c r="AK635" t="s">
        <v>112</v>
      </c>
      <c r="AL635">
        <v>40</v>
      </c>
      <c r="AM635" t="s">
        <v>140</v>
      </c>
      <c r="AN635" t="s">
        <v>364</v>
      </c>
      <c r="AO635">
        <v>0.78700000000000003</v>
      </c>
    </row>
    <row r="636" spans="1:41" ht="15.6">
      <c r="A636">
        <v>14</v>
      </c>
      <c r="B636" t="s">
        <v>363</v>
      </c>
      <c r="C636" t="s">
        <v>362</v>
      </c>
      <c r="E636" s="3">
        <f t="shared" si="174"/>
        <v>34.659090909090914</v>
      </c>
      <c r="F636">
        <v>2023</v>
      </c>
      <c r="G636">
        <f t="shared" si="182"/>
        <v>2</v>
      </c>
      <c r="H636">
        <v>0.28000000000000003</v>
      </c>
      <c r="I636">
        <v>0.61</v>
      </c>
      <c r="J636">
        <f t="shared" si="175"/>
        <v>176</v>
      </c>
      <c r="K636">
        <v>41</v>
      </c>
      <c r="L636">
        <v>3</v>
      </c>
      <c r="M636" s="12">
        <f t="shared" si="176"/>
        <v>0.49233458707602862</v>
      </c>
      <c r="N636">
        <f t="shared" si="183"/>
        <v>5.2890033166812497E-2</v>
      </c>
      <c r="O636">
        <f t="shared" si="177"/>
        <v>0.70166558065507856</v>
      </c>
      <c r="P636" t="s">
        <v>604</v>
      </c>
      <c r="Q636" t="s">
        <v>473</v>
      </c>
      <c r="R636">
        <v>1.571</v>
      </c>
      <c r="S636">
        <f t="shared" si="178"/>
        <v>3.9677614678899062</v>
      </c>
      <c r="U636">
        <v>46</v>
      </c>
      <c r="V636" t="s">
        <v>138</v>
      </c>
      <c r="W636">
        <f t="shared" si="179"/>
        <v>42.185483870967744</v>
      </c>
      <c r="Y636">
        <v>2018</v>
      </c>
      <c r="Z636">
        <f>2025-AVERAGE($Y$517:$Y$692)</f>
        <v>11.48863636363626</v>
      </c>
      <c r="AA636">
        <v>0.16137244747294799</v>
      </c>
      <c r="AB636">
        <v>8.2916703881702903E-4</v>
      </c>
      <c r="AC636" t="s">
        <v>261</v>
      </c>
      <c r="AD636" s="3">
        <v>2.4</v>
      </c>
      <c r="AE636">
        <v>0</v>
      </c>
      <c r="AF636" t="str">
        <f t="shared" si="142"/>
        <v>Non-US</v>
      </c>
      <c r="AG636">
        <v>3</v>
      </c>
      <c r="AH636">
        <v>1</v>
      </c>
      <c r="AI636">
        <f t="shared" si="180"/>
        <v>3.2903225806451615</v>
      </c>
      <c r="AJ636">
        <f t="shared" si="181"/>
        <v>1.048</v>
      </c>
      <c r="AK636" t="s">
        <v>112</v>
      </c>
      <c r="AL636">
        <v>40</v>
      </c>
      <c r="AM636" t="s">
        <v>140</v>
      </c>
      <c r="AN636" t="s">
        <v>364</v>
      </c>
      <c r="AO636">
        <v>0.78700000000000003</v>
      </c>
    </row>
    <row r="637" spans="1:41" ht="15.6">
      <c r="A637">
        <v>14</v>
      </c>
      <c r="B637" t="s">
        <v>363</v>
      </c>
      <c r="C637" t="s">
        <v>362</v>
      </c>
      <c r="E637" s="3">
        <f t="shared" si="174"/>
        <v>34.659090909090914</v>
      </c>
      <c r="F637">
        <v>2023</v>
      </c>
      <c r="G637">
        <f t="shared" si="182"/>
        <v>2</v>
      </c>
      <c r="H637">
        <v>0.28000000000000003</v>
      </c>
      <c r="I637">
        <v>0.61</v>
      </c>
      <c r="J637">
        <f t="shared" si="175"/>
        <v>176</v>
      </c>
      <c r="K637">
        <v>41</v>
      </c>
      <c r="L637">
        <v>3</v>
      </c>
      <c r="M637" s="12">
        <f t="shared" si="176"/>
        <v>0.49233458707602862</v>
      </c>
      <c r="N637">
        <f t="shared" si="183"/>
        <v>5.2890033166812497E-2</v>
      </c>
      <c r="O637">
        <f t="shared" si="177"/>
        <v>0.70166558065507856</v>
      </c>
      <c r="P637" t="s">
        <v>710</v>
      </c>
      <c r="Q637" t="s">
        <v>527</v>
      </c>
      <c r="R637">
        <v>2.706</v>
      </c>
      <c r="S637">
        <f t="shared" si="178"/>
        <v>3.9677614678899062</v>
      </c>
      <c r="U637">
        <v>39</v>
      </c>
      <c r="V637" t="s">
        <v>138</v>
      </c>
      <c r="W637">
        <f t="shared" si="179"/>
        <v>42.185483870967744</v>
      </c>
      <c r="Y637">
        <v>2003</v>
      </c>
      <c r="Z637">
        <f>2025-AVERAGE($Y$517:$Y$692)</f>
        <v>11.48863636363626</v>
      </c>
      <c r="AA637">
        <v>7.4643843673953799E-3</v>
      </c>
      <c r="AB637">
        <v>0.18493981368621701</v>
      </c>
      <c r="AC637" t="s">
        <v>261</v>
      </c>
      <c r="AD637" s="3">
        <v>0.45</v>
      </c>
      <c r="AE637">
        <v>0</v>
      </c>
      <c r="AF637" t="str">
        <f t="shared" si="142"/>
        <v>Non-US</v>
      </c>
      <c r="AG637">
        <v>2</v>
      </c>
      <c r="AH637">
        <v>1</v>
      </c>
      <c r="AI637">
        <f t="shared" si="180"/>
        <v>3.2903225806451615</v>
      </c>
      <c r="AJ637">
        <f t="shared" si="181"/>
        <v>1.048</v>
      </c>
      <c r="AK637" t="s">
        <v>112</v>
      </c>
      <c r="AL637">
        <v>40</v>
      </c>
      <c r="AM637" t="s">
        <v>140</v>
      </c>
      <c r="AN637" t="s">
        <v>364</v>
      </c>
      <c r="AO637">
        <v>0.78700000000000003</v>
      </c>
    </row>
    <row r="638" spans="1:41" ht="15.6">
      <c r="A638">
        <v>14</v>
      </c>
      <c r="B638" t="s">
        <v>363</v>
      </c>
      <c r="C638" t="s">
        <v>362</v>
      </c>
      <c r="E638" s="3">
        <f t="shared" si="174"/>
        <v>34.659090909090914</v>
      </c>
      <c r="F638">
        <v>2023</v>
      </c>
      <c r="G638">
        <f t="shared" si="182"/>
        <v>2</v>
      </c>
      <c r="H638">
        <v>0.28000000000000003</v>
      </c>
      <c r="I638">
        <v>0.61</v>
      </c>
      <c r="J638">
        <f t="shared" si="175"/>
        <v>176</v>
      </c>
      <c r="K638">
        <v>41</v>
      </c>
      <c r="L638">
        <v>3</v>
      </c>
      <c r="M638" s="12">
        <f t="shared" si="176"/>
        <v>0.49233458707602862</v>
      </c>
      <c r="N638">
        <f t="shared" si="183"/>
        <v>5.2890033166812497E-2</v>
      </c>
      <c r="O638">
        <f t="shared" si="177"/>
        <v>0.70166558065507856</v>
      </c>
      <c r="P638" t="s">
        <v>605</v>
      </c>
      <c r="Q638" t="s">
        <v>527</v>
      </c>
      <c r="S638">
        <f t="shared" si="178"/>
        <v>3.9677614678899062</v>
      </c>
      <c r="U638">
        <v>30</v>
      </c>
      <c r="V638" t="s">
        <v>138</v>
      </c>
      <c r="W638">
        <f t="shared" si="179"/>
        <v>42.185483870967744</v>
      </c>
      <c r="Y638">
        <v>2015</v>
      </c>
      <c r="Z638">
        <f>2025-AVERAGE($Y$517:$Y$692)</f>
        <v>11.48863636363626</v>
      </c>
      <c r="AA638">
        <v>0.23445074984720601</v>
      </c>
      <c r="AB638">
        <v>1.5671954926466899E-7</v>
      </c>
      <c r="AC638" t="s">
        <v>261</v>
      </c>
      <c r="AD638" s="3">
        <v>1.78</v>
      </c>
      <c r="AE638">
        <v>0</v>
      </c>
      <c r="AF638" t="str">
        <f t="shared" si="142"/>
        <v>Non-US</v>
      </c>
      <c r="AG638">
        <v>3</v>
      </c>
      <c r="AH638">
        <v>1</v>
      </c>
      <c r="AI638">
        <f t="shared" si="180"/>
        <v>3.2903225806451615</v>
      </c>
      <c r="AJ638">
        <f t="shared" si="181"/>
        <v>1.048</v>
      </c>
      <c r="AK638" t="s">
        <v>112</v>
      </c>
      <c r="AL638">
        <v>40</v>
      </c>
      <c r="AM638" t="s">
        <v>140</v>
      </c>
      <c r="AN638" t="s">
        <v>364</v>
      </c>
      <c r="AO638">
        <v>0.78700000000000003</v>
      </c>
    </row>
    <row r="639" spans="1:41" ht="15.6">
      <c r="A639">
        <v>14</v>
      </c>
      <c r="B639" t="s">
        <v>363</v>
      </c>
      <c r="C639" t="s">
        <v>362</v>
      </c>
      <c r="E639" s="3">
        <f t="shared" si="174"/>
        <v>34.659090909090914</v>
      </c>
      <c r="F639">
        <v>2023</v>
      </c>
      <c r="G639">
        <f t="shared" si="182"/>
        <v>2</v>
      </c>
      <c r="H639">
        <v>0.28000000000000003</v>
      </c>
      <c r="I639">
        <v>0.61</v>
      </c>
      <c r="J639">
        <f t="shared" si="175"/>
        <v>176</v>
      </c>
      <c r="K639">
        <v>41</v>
      </c>
      <c r="L639">
        <v>3</v>
      </c>
      <c r="M639" s="12">
        <f t="shared" si="176"/>
        <v>0.49233458707602862</v>
      </c>
      <c r="N639">
        <f t="shared" si="183"/>
        <v>5.2890033166812497E-2</v>
      </c>
      <c r="O639">
        <f t="shared" si="177"/>
        <v>0.70166558065507856</v>
      </c>
      <c r="P639" t="s">
        <v>606</v>
      </c>
      <c r="Q639" t="s">
        <v>522</v>
      </c>
      <c r="R639">
        <v>2.7349999999999999</v>
      </c>
      <c r="S639">
        <f t="shared" si="178"/>
        <v>3.9677614678899062</v>
      </c>
      <c r="U639">
        <v>38</v>
      </c>
      <c r="V639" t="s">
        <v>138</v>
      </c>
      <c r="W639">
        <f t="shared" si="179"/>
        <v>42.185483870967744</v>
      </c>
      <c r="Y639">
        <v>2015</v>
      </c>
      <c r="Z639">
        <f>2025-AVERAGE($Y$517:$Y$692)</f>
        <v>11.48863636363626</v>
      </c>
      <c r="AA639">
        <v>8.5938577710574504E-2</v>
      </c>
      <c r="AB639">
        <v>0.34810825038770499</v>
      </c>
      <c r="AC639">
        <v>0.44</v>
      </c>
      <c r="AD639" s="3">
        <v>0.14000000000000001</v>
      </c>
      <c r="AE639">
        <v>0</v>
      </c>
      <c r="AF639" t="str">
        <f t="shared" si="142"/>
        <v>Non-US</v>
      </c>
      <c r="AG639">
        <v>3</v>
      </c>
      <c r="AH639">
        <v>1</v>
      </c>
      <c r="AI639">
        <f t="shared" si="180"/>
        <v>3.2903225806451615</v>
      </c>
      <c r="AJ639">
        <f t="shared" si="181"/>
        <v>1.048</v>
      </c>
      <c r="AK639" t="s">
        <v>112</v>
      </c>
      <c r="AL639">
        <v>40</v>
      </c>
      <c r="AM639" t="s">
        <v>140</v>
      </c>
      <c r="AN639" t="s">
        <v>364</v>
      </c>
      <c r="AO639">
        <v>0.78700000000000003</v>
      </c>
    </row>
    <row r="640" spans="1:41" ht="15.6">
      <c r="A640">
        <v>14</v>
      </c>
      <c r="B640" t="s">
        <v>363</v>
      </c>
      <c r="C640" t="s">
        <v>362</v>
      </c>
      <c r="E640" s="3">
        <f t="shared" si="174"/>
        <v>34.659090909090914</v>
      </c>
      <c r="F640">
        <v>2023</v>
      </c>
      <c r="G640">
        <f t="shared" si="182"/>
        <v>2</v>
      </c>
      <c r="H640">
        <v>0.28000000000000003</v>
      </c>
      <c r="I640">
        <v>0.61</v>
      </c>
      <c r="J640">
        <f t="shared" si="175"/>
        <v>176</v>
      </c>
      <c r="K640">
        <v>41</v>
      </c>
      <c r="L640">
        <v>3</v>
      </c>
      <c r="M640" s="12">
        <f t="shared" si="176"/>
        <v>0.49233458707602862</v>
      </c>
      <c r="N640">
        <f t="shared" si="183"/>
        <v>5.2890033166812497E-2</v>
      </c>
      <c r="O640">
        <f t="shared" si="177"/>
        <v>0.70166558065507856</v>
      </c>
      <c r="P640" t="s">
        <v>607</v>
      </c>
      <c r="Q640" t="s">
        <v>527</v>
      </c>
      <c r="S640">
        <f t="shared" si="178"/>
        <v>3.9677614678899062</v>
      </c>
      <c r="U640">
        <v>37</v>
      </c>
      <c r="V640" t="s">
        <v>138</v>
      </c>
      <c r="W640">
        <f t="shared" si="179"/>
        <v>42.185483870967744</v>
      </c>
      <c r="Y640">
        <v>2017</v>
      </c>
      <c r="Z640">
        <f>2025-AVERAGE($Y$517:$Y$692)</f>
        <v>11.48863636363626</v>
      </c>
      <c r="AA640">
        <v>6.1610401799753398E-2</v>
      </c>
      <c r="AB640">
        <v>3.3264143619756098E-4</v>
      </c>
      <c r="AC640">
        <v>0.84999999999999898</v>
      </c>
      <c r="AD640" s="3">
        <v>0.56000000000000005</v>
      </c>
      <c r="AE640">
        <v>0</v>
      </c>
      <c r="AF640" t="str">
        <f t="shared" si="142"/>
        <v>Non-US</v>
      </c>
      <c r="AG640">
        <v>4</v>
      </c>
      <c r="AH640">
        <v>1</v>
      </c>
      <c r="AI640">
        <f t="shared" si="180"/>
        <v>3.2903225806451615</v>
      </c>
      <c r="AJ640">
        <f t="shared" si="181"/>
        <v>1.048</v>
      </c>
      <c r="AK640" t="s">
        <v>112</v>
      </c>
      <c r="AL640">
        <v>40</v>
      </c>
      <c r="AM640" t="s">
        <v>140</v>
      </c>
      <c r="AN640" t="s">
        <v>364</v>
      </c>
      <c r="AO640">
        <v>0.78700000000000003</v>
      </c>
    </row>
    <row r="641" spans="1:41" ht="15.6">
      <c r="A641">
        <v>14</v>
      </c>
      <c r="B641" t="s">
        <v>363</v>
      </c>
      <c r="C641" t="s">
        <v>362</v>
      </c>
      <c r="E641" s="3">
        <f t="shared" si="174"/>
        <v>34.659090909090914</v>
      </c>
      <c r="F641">
        <v>2023</v>
      </c>
      <c r="G641">
        <f t="shared" si="182"/>
        <v>2</v>
      </c>
      <c r="H641">
        <v>0.28000000000000003</v>
      </c>
      <c r="I641">
        <v>0.61</v>
      </c>
      <c r="J641">
        <f t="shared" si="175"/>
        <v>176</v>
      </c>
      <c r="K641">
        <v>41</v>
      </c>
      <c r="L641">
        <v>3</v>
      </c>
      <c r="M641" s="12">
        <f t="shared" si="176"/>
        <v>0.49233458707602862</v>
      </c>
      <c r="N641">
        <f t="shared" si="183"/>
        <v>5.2890033166812497E-2</v>
      </c>
      <c r="O641">
        <f t="shared" si="177"/>
        <v>0.70166558065507856</v>
      </c>
      <c r="P641" t="s">
        <v>711</v>
      </c>
      <c r="Q641" t="s">
        <v>527</v>
      </c>
      <c r="S641">
        <f t="shared" si="178"/>
        <v>3.9677614678899062</v>
      </c>
      <c r="U641">
        <v>37</v>
      </c>
      <c r="V641" t="s">
        <v>138</v>
      </c>
      <c r="W641">
        <f t="shared" si="179"/>
        <v>42.185483870967744</v>
      </c>
      <c r="Y641">
        <v>2017</v>
      </c>
      <c r="Z641">
        <f>2025-AVERAGE($Y$517:$Y$692)</f>
        <v>11.48863636363626</v>
      </c>
      <c r="AA641">
        <v>0</v>
      </c>
      <c r="AB641">
        <v>1.39890181767557E-4</v>
      </c>
      <c r="AC641">
        <v>1.1299999999999999</v>
      </c>
      <c r="AD641" s="3" t="s">
        <v>261</v>
      </c>
      <c r="AE641">
        <v>0</v>
      </c>
      <c r="AF641" t="str">
        <f t="shared" si="142"/>
        <v>Non-US</v>
      </c>
      <c r="AG641">
        <v>4</v>
      </c>
      <c r="AH641">
        <v>1</v>
      </c>
      <c r="AI641">
        <f t="shared" si="180"/>
        <v>3.2903225806451615</v>
      </c>
      <c r="AJ641">
        <f t="shared" si="181"/>
        <v>1.048</v>
      </c>
      <c r="AK641" t="s">
        <v>112</v>
      </c>
      <c r="AL641">
        <v>40</v>
      </c>
      <c r="AM641" t="s">
        <v>140</v>
      </c>
      <c r="AN641" t="s">
        <v>364</v>
      </c>
      <c r="AO641">
        <v>0.78700000000000003</v>
      </c>
    </row>
    <row r="642" spans="1:41" ht="15.6">
      <c r="A642">
        <v>14</v>
      </c>
      <c r="B642" t="s">
        <v>363</v>
      </c>
      <c r="C642" t="s">
        <v>362</v>
      </c>
      <c r="E642" s="3">
        <f t="shared" si="174"/>
        <v>34.659090909090914</v>
      </c>
      <c r="F642">
        <v>2023</v>
      </c>
      <c r="G642">
        <f t="shared" si="182"/>
        <v>2</v>
      </c>
      <c r="H642">
        <v>0.28000000000000003</v>
      </c>
      <c r="I642">
        <v>0.61</v>
      </c>
      <c r="J642">
        <f t="shared" si="175"/>
        <v>176</v>
      </c>
      <c r="K642">
        <v>41</v>
      </c>
      <c r="L642">
        <v>3</v>
      </c>
      <c r="M642" s="12">
        <f t="shared" si="176"/>
        <v>0.49233458707602862</v>
      </c>
      <c r="N642">
        <f t="shared" si="183"/>
        <v>5.2890033166812497E-2</v>
      </c>
      <c r="O642">
        <f t="shared" si="177"/>
        <v>0.70166558065507856</v>
      </c>
      <c r="P642" t="s">
        <v>608</v>
      </c>
      <c r="Q642" t="s">
        <v>527</v>
      </c>
      <c r="S642">
        <f t="shared" si="178"/>
        <v>3.9677614678899062</v>
      </c>
      <c r="U642">
        <v>36</v>
      </c>
      <c r="V642" t="s">
        <v>138</v>
      </c>
      <c r="W642">
        <f t="shared" si="179"/>
        <v>42.185483870967744</v>
      </c>
      <c r="Y642">
        <v>2019</v>
      </c>
      <c r="Z642">
        <f>2025-AVERAGE($Y$517:$Y$692)</f>
        <v>11.48863636363626</v>
      </c>
      <c r="AA642">
        <v>0.67043862714053504</v>
      </c>
      <c r="AB642">
        <v>1.04556436019021E-2</v>
      </c>
      <c r="AC642" t="s">
        <v>261</v>
      </c>
      <c r="AD642" s="3">
        <v>1</v>
      </c>
      <c r="AE642">
        <v>0</v>
      </c>
      <c r="AF642" t="str">
        <f t="shared" si="142"/>
        <v>Non-US</v>
      </c>
      <c r="AG642">
        <v>3</v>
      </c>
      <c r="AH642">
        <v>1</v>
      </c>
      <c r="AI642">
        <f t="shared" si="180"/>
        <v>3.2903225806451615</v>
      </c>
      <c r="AJ642">
        <f t="shared" si="181"/>
        <v>1.048</v>
      </c>
      <c r="AK642" t="s">
        <v>112</v>
      </c>
      <c r="AL642">
        <v>40</v>
      </c>
      <c r="AM642" t="s">
        <v>140</v>
      </c>
      <c r="AN642" t="s">
        <v>364</v>
      </c>
      <c r="AO642">
        <v>0.78700000000000003</v>
      </c>
    </row>
    <row r="643" spans="1:41" ht="15.6">
      <c r="A643">
        <v>14</v>
      </c>
      <c r="B643" t="s">
        <v>363</v>
      </c>
      <c r="C643" t="s">
        <v>362</v>
      </c>
      <c r="E643" s="3">
        <f t="shared" si="174"/>
        <v>34.659090909090914</v>
      </c>
      <c r="F643">
        <v>2023</v>
      </c>
      <c r="G643">
        <f t="shared" si="182"/>
        <v>2</v>
      </c>
      <c r="H643">
        <v>0.28000000000000003</v>
      </c>
      <c r="I643">
        <v>0.61</v>
      </c>
      <c r="J643">
        <f t="shared" si="175"/>
        <v>176</v>
      </c>
      <c r="K643">
        <v>41</v>
      </c>
      <c r="L643">
        <v>3</v>
      </c>
      <c r="M643" s="12">
        <f t="shared" si="176"/>
        <v>0.49233458707602862</v>
      </c>
      <c r="N643">
        <f t="shared" si="183"/>
        <v>5.2890033166812497E-2</v>
      </c>
      <c r="O643">
        <f t="shared" si="177"/>
        <v>0.70166558065507856</v>
      </c>
      <c r="P643" t="s">
        <v>712</v>
      </c>
      <c r="Q643" t="s">
        <v>745</v>
      </c>
      <c r="S643">
        <f t="shared" si="178"/>
        <v>3.9677614678899062</v>
      </c>
      <c r="U643">
        <v>34</v>
      </c>
      <c r="V643" t="s">
        <v>138</v>
      </c>
      <c r="W643">
        <f t="shared" si="179"/>
        <v>42.185483870967744</v>
      </c>
      <c r="Y643">
        <v>2019</v>
      </c>
      <c r="Z643">
        <f>2025-AVERAGE($Y$517:$Y$692)</f>
        <v>11.48863636363626</v>
      </c>
      <c r="AA643">
        <v>0</v>
      </c>
      <c r="AB643">
        <v>5.7825178942854298E-5</v>
      </c>
      <c r="AC643">
        <v>2.2677868380553599</v>
      </c>
      <c r="AD643" s="3">
        <v>1.2477637592561599</v>
      </c>
      <c r="AE643">
        <v>0</v>
      </c>
      <c r="AF643" t="str">
        <f t="shared" si="142"/>
        <v>Non-US</v>
      </c>
      <c r="AG643">
        <v>13</v>
      </c>
      <c r="AH643">
        <v>1</v>
      </c>
      <c r="AI643">
        <f t="shared" si="180"/>
        <v>3.2903225806451615</v>
      </c>
      <c r="AJ643">
        <f t="shared" si="181"/>
        <v>1.048</v>
      </c>
      <c r="AK643" t="s">
        <v>112</v>
      </c>
      <c r="AL643">
        <v>40</v>
      </c>
      <c r="AM643" t="s">
        <v>140</v>
      </c>
      <c r="AN643" t="s">
        <v>364</v>
      </c>
      <c r="AO643">
        <v>0.78700000000000003</v>
      </c>
    </row>
    <row r="644" spans="1:41" ht="15.6">
      <c r="A644">
        <v>14</v>
      </c>
      <c r="B644" t="s">
        <v>363</v>
      </c>
      <c r="C644" t="s">
        <v>362</v>
      </c>
      <c r="E644" s="3">
        <f t="shared" si="174"/>
        <v>34.659090909090914</v>
      </c>
      <c r="F644">
        <v>2023</v>
      </c>
      <c r="G644">
        <f t="shared" si="182"/>
        <v>2</v>
      </c>
      <c r="H644">
        <v>0.28000000000000003</v>
      </c>
      <c r="I644">
        <v>0.61</v>
      </c>
      <c r="J644">
        <f t="shared" si="175"/>
        <v>176</v>
      </c>
      <c r="K644">
        <v>41</v>
      </c>
      <c r="L644">
        <v>3</v>
      </c>
      <c r="M644" s="12">
        <f t="shared" si="176"/>
        <v>0.49233458707602862</v>
      </c>
      <c r="N644">
        <f t="shared" si="183"/>
        <v>5.2890033166812497E-2</v>
      </c>
      <c r="O644">
        <f t="shared" si="177"/>
        <v>0.70166558065507856</v>
      </c>
      <c r="P644" t="s">
        <v>713</v>
      </c>
      <c r="Q644" t="s">
        <v>527</v>
      </c>
      <c r="R644">
        <v>4.3460000000000001</v>
      </c>
      <c r="S644">
        <f t="shared" si="178"/>
        <v>3.9677614678899062</v>
      </c>
      <c r="U644">
        <v>23</v>
      </c>
      <c r="V644" t="s">
        <v>138</v>
      </c>
      <c r="W644">
        <f t="shared" si="179"/>
        <v>42.185483870967744</v>
      </c>
      <c r="Y644">
        <v>2014</v>
      </c>
      <c r="Z644">
        <f>2025-AVERAGE($Y$517:$Y$692)</f>
        <v>11.48863636363626</v>
      </c>
      <c r="AA644">
        <v>2.83966423605801E-2</v>
      </c>
      <c r="AB644">
        <v>4.8412524375161196E-3</v>
      </c>
      <c r="AC644">
        <v>0.22999999999999901</v>
      </c>
      <c r="AD644" s="3">
        <v>0.99199999999999999</v>
      </c>
      <c r="AE644">
        <v>0</v>
      </c>
      <c r="AF644" t="str">
        <f t="shared" si="142"/>
        <v>Non-US</v>
      </c>
      <c r="AG644">
        <v>2</v>
      </c>
      <c r="AH644">
        <v>1</v>
      </c>
      <c r="AI644">
        <f t="shared" si="180"/>
        <v>3.2903225806451615</v>
      </c>
      <c r="AJ644">
        <f t="shared" si="181"/>
        <v>1.048</v>
      </c>
      <c r="AK644" t="s">
        <v>112</v>
      </c>
      <c r="AL644">
        <v>40</v>
      </c>
      <c r="AM644" t="s">
        <v>140</v>
      </c>
      <c r="AN644" t="s">
        <v>364</v>
      </c>
      <c r="AO644">
        <v>0.78700000000000003</v>
      </c>
    </row>
    <row r="645" spans="1:41" ht="15.6">
      <c r="A645">
        <v>14</v>
      </c>
      <c r="B645" t="s">
        <v>363</v>
      </c>
      <c r="C645" t="s">
        <v>362</v>
      </c>
      <c r="E645" s="3">
        <f t="shared" si="174"/>
        <v>34.659090909090914</v>
      </c>
      <c r="F645">
        <v>2023</v>
      </c>
      <c r="G645">
        <f t="shared" si="182"/>
        <v>2</v>
      </c>
      <c r="H645">
        <v>0.28000000000000003</v>
      </c>
      <c r="I645">
        <v>0.61</v>
      </c>
      <c r="J645">
        <f t="shared" si="175"/>
        <v>176</v>
      </c>
      <c r="K645">
        <v>41</v>
      </c>
      <c r="L645">
        <v>3</v>
      </c>
      <c r="M645" s="12">
        <f t="shared" si="176"/>
        <v>0.49233458707602862</v>
      </c>
      <c r="N645">
        <f t="shared" ref="N645:N676" si="184">$O$517/SQRT($J$517)</f>
        <v>5.2890033166812497E-2</v>
      </c>
      <c r="O645">
        <f t="shared" si="177"/>
        <v>0.70166558065507856</v>
      </c>
      <c r="P645" t="s">
        <v>714</v>
      </c>
      <c r="Q645" t="s">
        <v>750</v>
      </c>
      <c r="R645">
        <v>1.236</v>
      </c>
      <c r="S645">
        <f t="shared" si="178"/>
        <v>3.9677614678899062</v>
      </c>
      <c r="U645">
        <v>87</v>
      </c>
      <c r="V645" t="s">
        <v>138</v>
      </c>
      <c r="W645">
        <f t="shared" si="179"/>
        <v>42.185483870967744</v>
      </c>
      <c r="Y645">
        <v>2016</v>
      </c>
      <c r="Z645">
        <f>2025-AVERAGE($Y$517:$Y$692)</f>
        <v>11.48863636363626</v>
      </c>
      <c r="AA645">
        <v>9.2581737265451296E-6</v>
      </c>
      <c r="AB645" t="s">
        <v>261</v>
      </c>
      <c r="AC645">
        <v>1.28</v>
      </c>
      <c r="AD645" s="3">
        <v>0.53003</v>
      </c>
      <c r="AE645">
        <v>0</v>
      </c>
      <c r="AF645" t="str">
        <f t="shared" si="142"/>
        <v>Non-US</v>
      </c>
      <c r="AG645">
        <v>2</v>
      </c>
      <c r="AH645">
        <v>1</v>
      </c>
      <c r="AI645">
        <f t="shared" si="180"/>
        <v>3.2903225806451615</v>
      </c>
      <c r="AJ645">
        <f t="shared" si="181"/>
        <v>1.048</v>
      </c>
      <c r="AK645" t="s">
        <v>112</v>
      </c>
      <c r="AL645">
        <v>40</v>
      </c>
      <c r="AM645" t="s">
        <v>140</v>
      </c>
      <c r="AN645" t="s">
        <v>364</v>
      </c>
      <c r="AO645">
        <v>0.78700000000000003</v>
      </c>
    </row>
    <row r="646" spans="1:41" ht="15.6">
      <c r="A646">
        <v>14</v>
      </c>
      <c r="B646" t="s">
        <v>363</v>
      </c>
      <c r="C646" t="s">
        <v>362</v>
      </c>
      <c r="E646" s="3">
        <f t="shared" ref="E646:E692" si="185">100*(61/176)</f>
        <v>34.659090909090914</v>
      </c>
      <c r="F646">
        <v>2023</v>
      </c>
      <c r="G646">
        <f t="shared" si="182"/>
        <v>2</v>
      </c>
      <c r="H646">
        <v>0.28000000000000003</v>
      </c>
      <c r="I646">
        <v>0.61</v>
      </c>
      <c r="J646">
        <f t="shared" ref="J646:J692" si="186">COUNTA($P$517:$P$692)</f>
        <v>176</v>
      </c>
      <c r="K646">
        <v>41</v>
      </c>
      <c r="L646">
        <v>3</v>
      </c>
      <c r="M646" s="12">
        <f t="shared" ref="M646:M692" si="187">_xlfn.VAR.P($AD$517:$AD$692)</f>
        <v>0.49233458707602862</v>
      </c>
      <c r="N646">
        <f t="shared" si="184"/>
        <v>5.2890033166812497E-2</v>
      </c>
      <c r="O646">
        <f t="shared" ref="O646:O692" si="188">_xlfn.STDEV.P($AD$517:$AD$692)</f>
        <v>0.70166558065507856</v>
      </c>
      <c r="P646" t="s">
        <v>715</v>
      </c>
      <c r="Q646" t="s">
        <v>527</v>
      </c>
      <c r="R646">
        <v>4.4050000000000002</v>
      </c>
      <c r="S646">
        <f t="shared" ref="S646:S692" si="189">AVERAGE($R$517:$R$692)</f>
        <v>3.9677614678899062</v>
      </c>
      <c r="U646">
        <v>21</v>
      </c>
      <c r="V646" t="s">
        <v>138</v>
      </c>
      <c r="W646">
        <f t="shared" ref="W646:W692" si="190">AVERAGE($U$517:$U$692)</f>
        <v>42.185483870967744</v>
      </c>
      <c r="Y646">
        <v>2016</v>
      </c>
      <c r="Z646">
        <f>2025-AVERAGE($Y$517:$Y$692)</f>
        <v>11.48863636363626</v>
      </c>
      <c r="AA646">
        <v>1.8328330492312899E-2</v>
      </c>
      <c r="AB646">
        <v>3.5532785746001098E-2</v>
      </c>
      <c r="AC646" t="s">
        <v>261</v>
      </c>
      <c r="AD646" s="3">
        <v>-0.05</v>
      </c>
      <c r="AE646">
        <v>0</v>
      </c>
      <c r="AF646" t="str">
        <f t="shared" si="142"/>
        <v>Non-US</v>
      </c>
      <c r="AG646">
        <v>2</v>
      </c>
      <c r="AH646">
        <v>1</v>
      </c>
      <c r="AI646">
        <f t="shared" ref="AI646:AI692" si="191">AVERAGE($AG$517:$AG$692)</f>
        <v>3.2903225806451615</v>
      </c>
      <c r="AJ646">
        <f t="shared" ref="AJ646:AJ692" si="192">AVERAGE($AH$517:$AH$692)</f>
        <v>1.048</v>
      </c>
      <c r="AK646" t="s">
        <v>112</v>
      </c>
      <c r="AL646">
        <v>40</v>
      </c>
      <c r="AM646" t="s">
        <v>140</v>
      </c>
      <c r="AN646" t="s">
        <v>364</v>
      </c>
      <c r="AO646">
        <v>0.78700000000000003</v>
      </c>
    </row>
    <row r="647" spans="1:41" ht="15.6">
      <c r="A647">
        <v>14</v>
      </c>
      <c r="B647" t="s">
        <v>363</v>
      </c>
      <c r="C647" t="s">
        <v>362</v>
      </c>
      <c r="E647" s="3">
        <f t="shared" si="185"/>
        <v>34.659090909090914</v>
      </c>
      <c r="F647">
        <v>2023</v>
      </c>
      <c r="G647">
        <f t="shared" si="182"/>
        <v>2</v>
      </c>
      <c r="H647">
        <v>0.28000000000000003</v>
      </c>
      <c r="I647">
        <v>0.61</v>
      </c>
      <c r="J647">
        <f t="shared" si="186"/>
        <v>176</v>
      </c>
      <c r="K647">
        <v>41</v>
      </c>
      <c r="L647">
        <v>3</v>
      </c>
      <c r="M647" s="12">
        <f t="shared" si="187"/>
        <v>0.49233458707602862</v>
      </c>
      <c r="N647">
        <f t="shared" si="184"/>
        <v>5.2890033166812497E-2</v>
      </c>
      <c r="O647">
        <f t="shared" si="188"/>
        <v>0.70166558065507856</v>
      </c>
      <c r="P647" t="s">
        <v>716</v>
      </c>
      <c r="Q647" t="s">
        <v>527</v>
      </c>
      <c r="R647">
        <v>4.4050000000000002</v>
      </c>
      <c r="S647">
        <f t="shared" si="189"/>
        <v>3.9677614678899062</v>
      </c>
      <c r="U647">
        <v>43</v>
      </c>
      <c r="V647" t="s">
        <v>138</v>
      </c>
      <c r="W647">
        <f t="shared" si="190"/>
        <v>42.185483870967744</v>
      </c>
      <c r="Y647">
        <v>2016</v>
      </c>
      <c r="Z647">
        <f>2025-AVERAGE($Y$517:$Y$692)</f>
        <v>11.48863636363626</v>
      </c>
      <c r="AA647">
        <v>0</v>
      </c>
      <c r="AB647">
        <v>5.66541751146468E-2</v>
      </c>
      <c r="AC647" t="s">
        <v>261</v>
      </c>
      <c r="AD647" s="3">
        <v>-0.55000000000000004</v>
      </c>
      <c r="AE647">
        <v>0</v>
      </c>
      <c r="AF647" t="str">
        <f t="shared" si="142"/>
        <v>Non-US</v>
      </c>
      <c r="AG647">
        <v>2</v>
      </c>
      <c r="AH647">
        <v>1</v>
      </c>
      <c r="AI647">
        <f t="shared" si="191"/>
        <v>3.2903225806451615</v>
      </c>
      <c r="AJ647">
        <f t="shared" si="192"/>
        <v>1.048</v>
      </c>
      <c r="AK647" t="s">
        <v>112</v>
      </c>
      <c r="AL647">
        <v>40</v>
      </c>
      <c r="AM647" t="s">
        <v>140</v>
      </c>
      <c r="AN647" t="s">
        <v>364</v>
      </c>
      <c r="AO647">
        <v>0.78700000000000003</v>
      </c>
    </row>
    <row r="648" spans="1:41" ht="15.6">
      <c r="A648">
        <v>14</v>
      </c>
      <c r="B648" t="s">
        <v>363</v>
      </c>
      <c r="C648" t="s">
        <v>362</v>
      </c>
      <c r="E648" s="3">
        <f t="shared" si="185"/>
        <v>34.659090909090914</v>
      </c>
      <c r="F648">
        <v>2023</v>
      </c>
      <c r="G648">
        <f t="shared" si="182"/>
        <v>2</v>
      </c>
      <c r="H648">
        <v>0.28000000000000003</v>
      </c>
      <c r="I648">
        <v>0.61</v>
      </c>
      <c r="J648">
        <f t="shared" si="186"/>
        <v>176</v>
      </c>
      <c r="K648">
        <v>41</v>
      </c>
      <c r="L648">
        <v>3</v>
      </c>
      <c r="M648" s="12">
        <f t="shared" si="187"/>
        <v>0.49233458707602862</v>
      </c>
      <c r="N648">
        <f t="shared" si="184"/>
        <v>5.2890033166812497E-2</v>
      </c>
      <c r="O648">
        <f t="shared" si="188"/>
        <v>0.70166558065507856</v>
      </c>
      <c r="P648" t="s">
        <v>717</v>
      </c>
      <c r="Q648" t="s">
        <v>527</v>
      </c>
      <c r="R648">
        <v>4.4050000000000002</v>
      </c>
      <c r="S648">
        <f t="shared" si="189"/>
        <v>3.9677614678899062</v>
      </c>
      <c r="U648">
        <v>43</v>
      </c>
      <c r="V648" t="s">
        <v>138</v>
      </c>
      <c r="W648">
        <f t="shared" si="190"/>
        <v>42.185483870967744</v>
      </c>
      <c r="Y648">
        <v>2016</v>
      </c>
      <c r="Z648">
        <f>2025-AVERAGE($Y$517:$Y$692)</f>
        <v>11.48863636363626</v>
      </c>
      <c r="AA648">
        <v>1.6704834329583901E-5</v>
      </c>
      <c r="AB648">
        <v>5.6226336781606101E-2</v>
      </c>
      <c r="AC648" t="s">
        <v>261</v>
      </c>
      <c r="AD648" s="3">
        <v>0.4</v>
      </c>
      <c r="AE648">
        <v>0</v>
      </c>
      <c r="AF648" t="str">
        <f t="shared" si="142"/>
        <v>Non-US</v>
      </c>
      <c r="AG648">
        <v>2</v>
      </c>
      <c r="AH648">
        <v>1</v>
      </c>
      <c r="AI648">
        <f t="shared" si="191"/>
        <v>3.2903225806451615</v>
      </c>
      <c r="AJ648">
        <f t="shared" si="192"/>
        <v>1.048</v>
      </c>
      <c r="AK648" t="s">
        <v>112</v>
      </c>
      <c r="AL648">
        <v>40</v>
      </c>
      <c r="AM648" t="s">
        <v>140</v>
      </c>
      <c r="AN648" t="s">
        <v>364</v>
      </c>
      <c r="AO648">
        <v>0.78700000000000003</v>
      </c>
    </row>
    <row r="649" spans="1:41" ht="15.6">
      <c r="A649">
        <v>14</v>
      </c>
      <c r="B649" t="s">
        <v>363</v>
      </c>
      <c r="C649" t="s">
        <v>362</v>
      </c>
      <c r="E649" s="3">
        <f t="shared" si="185"/>
        <v>34.659090909090914</v>
      </c>
      <c r="F649">
        <v>2023</v>
      </c>
      <c r="G649">
        <f t="shared" si="182"/>
        <v>2</v>
      </c>
      <c r="H649">
        <v>0.28000000000000003</v>
      </c>
      <c r="I649">
        <v>0.61</v>
      </c>
      <c r="J649">
        <f t="shared" si="186"/>
        <v>176</v>
      </c>
      <c r="K649">
        <v>41</v>
      </c>
      <c r="L649">
        <v>3</v>
      </c>
      <c r="M649" s="12">
        <f t="shared" si="187"/>
        <v>0.49233458707602862</v>
      </c>
      <c r="N649">
        <f t="shared" si="184"/>
        <v>5.2890033166812497E-2</v>
      </c>
      <c r="O649">
        <f t="shared" si="188"/>
        <v>0.70166558065507856</v>
      </c>
      <c r="P649" t="s">
        <v>718</v>
      </c>
      <c r="S649">
        <f t="shared" si="189"/>
        <v>3.9677614678899062</v>
      </c>
      <c r="W649">
        <f t="shared" si="190"/>
        <v>42.185483870967744</v>
      </c>
      <c r="Y649">
        <v>2020</v>
      </c>
      <c r="Z649">
        <f>2025-AVERAGE($Y$517:$Y$692)</f>
        <v>11.48863636363626</v>
      </c>
      <c r="AA649">
        <v>2.0429151370571201E-7</v>
      </c>
      <c r="AB649">
        <v>0.52056783559777897</v>
      </c>
      <c r="AC649" t="s">
        <v>261</v>
      </c>
      <c r="AD649" s="3">
        <v>0.1</v>
      </c>
      <c r="AE649">
        <v>0</v>
      </c>
      <c r="AF649" t="str">
        <f t="shared" si="142"/>
        <v>Non-US</v>
      </c>
      <c r="AI649">
        <f t="shared" si="191"/>
        <v>3.2903225806451615</v>
      </c>
      <c r="AJ649">
        <f t="shared" si="192"/>
        <v>1.048</v>
      </c>
      <c r="AK649" t="s">
        <v>112</v>
      </c>
      <c r="AL649">
        <v>40</v>
      </c>
      <c r="AM649" t="s">
        <v>140</v>
      </c>
      <c r="AN649" t="s">
        <v>364</v>
      </c>
      <c r="AO649">
        <v>0.78700000000000003</v>
      </c>
    </row>
    <row r="650" spans="1:41" ht="15.6">
      <c r="A650">
        <v>14</v>
      </c>
      <c r="B650" t="s">
        <v>363</v>
      </c>
      <c r="C650" t="s">
        <v>362</v>
      </c>
      <c r="E650" s="3">
        <f t="shared" si="185"/>
        <v>34.659090909090914</v>
      </c>
      <c r="F650">
        <v>2023</v>
      </c>
      <c r="G650">
        <f t="shared" si="182"/>
        <v>2</v>
      </c>
      <c r="H650">
        <v>0.28000000000000003</v>
      </c>
      <c r="I650">
        <v>0.61</v>
      </c>
      <c r="J650">
        <f t="shared" si="186"/>
        <v>176</v>
      </c>
      <c r="K650">
        <v>41</v>
      </c>
      <c r="L650">
        <v>3</v>
      </c>
      <c r="M650" s="12">
        <f t="shared" si="187"/>
        <v>0.49233458707602862</v>
      </c>
      <c r="N650">
        <f t="shared" si="184"/>
        <v>5.2890033166812497E-2</v>
      </c>
      <c r="O650">
        <f t="shared" si="188"/>
        <v>0.70166558065507856</v>
      </c>
      <c r="P650" t="s">
        <v>609</v>
      </c>
      <c r="Q650" t="s">
        <v>521</v>
      </c>
      <c r="R650">
        <v>1.825</v>
      </c>
      <c r="S650">
        <f t="shared" si="189"/>
        <v>3.9677614678899062</v>
      </c>
      <c r="U650">
        <v>60</v>
      </c>
      <c r="V650" t="s">
        <v>138</v>
      </c>
      <c r="W650">
        <f t="shared" si="190"/>
        <v>42.185483870967744</v>
      </c>
      <c r="Y650">
        <v>2021</v>
      </c>
      <c r="Z650">
        <f>2025-AVERAGE($Y$517:$Y$692)</f>
        <v>11.48863636363626</v>
      </c>
      <c r="AA650">
        <v>0.41605991648101198</v>
      </c>
      <c r="AB650" t="s">
        <v>261</v>
      </c>
      <c r="AC650">
        <v>0.32</v>
      </c>
      <c r="AD650" s="3">
        <v>0.45720699999999997</v>
      </c>
      <c r="AE650">
        <v>0</v>
      </c>
      <c r="AF650" t="str">
        <f t="shared" si="142"/>
        <v>Non-US</v>
      </c>
      <c r="AG650">
        <v>3</v>
      </c>
      <c r="AH650">
        <v>1</v>
      </c>
      <c r="AI650">
        <f t="shared" si="191"/>
        <v>3.2903225806451615</v>
      </c>
      <c r="AJ650">
        <f t="shared" si="192"/>
        <v>1.048</v>
      </c>
      <c r="AK650" t="s">
        <v>112</v>
      </c>
      <c r="AL650">
        <v>40</v>
      </c>
      <c r="AM650" t="s">
        <v>140</v>
      </c>
      <c r="AN650" t="s">
        <v>364</v>
      </c>
      <c r="AO650">
        <v>0.78700000000000003</v>
      </c>
    </row>
    <row r="651" spans="1:41" ht="15.6">
      <c r="A651">
        <v>14</v>
      </c>
      <c r="B651" t="s">
        <v>363</v>
      </c>
      <c r="C651" t="s">
        <v>362</v>
      </c>
      <c r="E651" s="3">
        <f t="shared" si="185"/>
        <v>34.659090909090914</v>
      </c>
      <c r="F651">
        <v>2023</v>
      </c>
      <c r="G651">
        <f t="shared" si="182"/>
        <v>2</v>
      </c>
      <c r="H651">
        <v>0.28000000000000003</v>
      </c>
      <c r="I651">
        <v>0.61</v>
      </c>
      <c r="J651">
        <f t="shared" si="186"/>
        <v>176</v>
      </c>
      <c r="K651">
        <v>41</v>
      </c>
      <c r="L651">
        <v>3</v>
      </c>
      <c r="M651" s="12">
        <f t="shared" si="187"/>
        <v>0.49233458707602862</v>
      </c>
      <c r="N651">
        <f t="shared" si="184"/>
        <v>5.2890033166812497E-2</v>
      </c>
      <c r="O651">
        <f t="shared" si="188"/>
        <v>0.70166558065507856</v>
      </c>
      <c r="P651" t="s">
        <v>610</v>
      </c>
      <c r="Q651" t="s">
        <v>752</v>
      </c>
      <c r="R651">
        <v>2.7719999999999998</v>
      </c>
      <c r="S651">
        <f t="shared" si="189"/>
        <v>3.9677614678899062</v>
      </c>
      <c r="U651">
        <v>31</v>
      </c>
      <c r="V651" t="s">
        <v>753</v>
      </c>
      <c r="W651">
        <f t="shared" si="190"/>
        <v>42.185483870967744</v>
      </c>
      <c r="Y651">
        <v>2016</v>
      </c>
      <c r="Z651">
        <f>2025-AVERAGE($Y$517:$Y$692)</f>
        <v>11.48863636363626</v>
      </c>
      <c r="AA651">
        <v>0.71919801546411799</v>
      </c>
      <c r="AB651" t="s">
        <v>261</v>
      </c>
      <c r="AC651">
        <v>0.21</v>
      </c>
      <c r="AD651" s="3">
        <v>0.14000000000000001</v>
      </c>
      <c r="AE651">
        <v>0</v>
      </c>
      <c r="AF651" t="str">
        <f t="shared" si="142"/>
        <v>Non-US</v>
      </c>
      <c r="AG651">
        <v>3</v>
      </c>
      <c r="AH651">
        <v>1</v>
      </c>
      <c r="AI651">
        <f t="shared" si="191"/>
        <v>3.2903225806451615</v>
      </c>
      <c r="AJ651">
        <f t="shared" si="192"/>
        <v>1.048</v>
      </c>
      <c r="AK651" t="s">
        <v>112</v>
      </c>
      <c r="AL651">
        <v>40</v>
      </c>
      <c r="AM651" t="s">
        <v>140</v>
      </c>
      <c r="AN651" t="s">
        <v>364</v>
      </c>
      <c r="AO651">
        <v>0.78700000000000003</v>
      </c>
    </row>
    <row r="652" spans="1:41" s="2" customFormat="1" ht="15.6">
      <c r="A652">
        <v>14</v>
      </c>
      <c r="B652" s="2" t="s">
        <v>363</v>
      </c>
      <c r="C652" s="2" t="s">
        <v>362</v>
      </c>
      <c r="D652" s="3"/>
      <c r="E652" s="3">
        <f t="shared" si="185"/>
        <v>34.659090909090914</v>
      </c>
      <c r="F652">
        <v>2023</v>
      </c>
      <c r="G652">
        <f t="shared" si="182"/>
        <v>2</v>
      </c>
      <c r="H652" s="2">
        <v>0.28000000000000003</v>
      </c>
      <c r="I652" s="2">
        <v>0.61</v>
      </c>
      <c r="J652" s="2">
        <f t="shared" si="186"/>
        <v>176</v>
      </c>
      <c r="K652" s="2">
        <v>41</v>
      </c>
      <c r="L652" s="2">
        <v>3</v>
      </c>
      <c r="M652" s="12">
        <f t="shared" si="187"/>
        <v>0.49233458707602862</v>
      </c>
      <c r="N652" s="2">
        <f t="shared" si="184"/>
        <v>5.2890033166812497E-2</v>
      </c>
      <c r="O652" s="2">
        <f t="shared" si="188"/>
        <v>0.70166558065507856</v>
      </c>
      <c r="P652" s="2" t="s">
        <v>611</v>
      </c>
      <c r="Q652" s="2" t="s">
        <v>527</v>
      </c>
      <c r="R652" s="2">
        <v>4.4050000000000002</v>
      </c>
      <c r="S652" s="2">
        <f t="shared" si="189"/>
        <v>3.9677614678899062</v>
      </c>
      <c r="U652" s="2">
        <v>22</v>
      </c>
      <c r="V652" s="2" t="s">
        <v>138</v>
      </c>
      <c r="W652" s="2">
        <f t="shared" si="190"/>
        <v>42.185483870967744</v>
      </c>
      <c r="Y652" s="2">
        <v>2016</v>
      </c>
      <c r="Z652">
        <f>2025-AVERAGE($Y$517:$Y$692)</f>
        <v>11.48863636363626</v>
      </c>
      <c r="AA652" s="2">
        <v>0.51533305175925004</v>
      </c>
      <c r="AB652" s="2">
        <v>2.3509275718249202E-8</v>
      </c>
      <c r="AC652" s="2">
        <v>0.62</v>
      </c>
      <c r="AD652" s="3">
        <v>0.71</v>
      </c>
      <c r="AE652">
        <v>0</v>
      </c>
      <c r="AF652" s="2" t="str">
        <f t="shared" si="142"/>
        <v>Non-US</v>
      </c>
      <c r="AG652" s="2">
        <v>3</v>
      </c>
      <c r="AH652" s="2">
        <v>1</v>
      </c>
      <c r="AI652" s="2">
        <f t="shared" si="191"/>
        <v>3.2903225806451615</v>
      </c>
      <c r="AJ652" s="2">
        <f t="shared" si="192"/>
        <v>1.048</v>
      </c>
      <c r="AK652" s="2" t="s">
        <v>112</v>
      </c>
      <c r="AL652" s="2">
        <v>40</v>
      </c>
      <c r="AM652" s="2" t="s">
        <v>140</v>
      </c>
      <c r="AN652" s="2" t="s">
        <v>364</v>
      </c>
      <c r="AO652" s="2">
        <v>0.78700000000000003</v>
      </c>
    </row>
    <row r="653" spans="1:41" s="2" customFormat="1" ht="15.6">
      <c r="A653">
        <v>14</v>
      </c>
      <c r="B653" s="2" t="s">
        <v>363</v>
      </c>
      <c r="C653" s="2" t="s">
        <v>362</v>
      </c>
      <c r="D653" s="3"/>
      <c r="E653" s="3">
        <f t="shared" si="185"/>
        <v>34.659090909090914</v>
      </c>
      <c r="F653">
        <v>2023</v>
      </c>
      <c r="G653">
        <f t="shared" si="182"/>
        <v>2</v>
      </c>
      <c r="H653" s="2">
        <v>0.28000000000000003</v>
      </c>
      <c r="I653" s="2">
        <v>0.61</v>
      </c>
      <c r="J653" s="2">
        <f t="shared" si="186"/>
        <v>176</v>
      </c>
      <c r="K653" s="2">
        <v>41</v>
      </c>
      <c r="L653" s="2">
        <v>3</v>
      </c>
      <c r="M653" s="12">
        <f t="shared" si="187"/>
        <v>0.49233458707602862</v>
      </c>
      <c r="N653" s="2">
        <f t="shared" si="184"/>
        <v>5.2890033166812497E-2</v>
      </c>
      <c r="O653" s="2">
        <f t="shared" si="188"/>
        <v>0.70166558065507856</v>
      </c>
      <c r="P653" s="2" t="s">
        <v>612</v>
      </c>
      <c r="Q653" s="2" t="s">
        <v>778</v>
      </c>
      <c r="R653" s="2" t="s">
        <v>261</v>
      </c>
      <c r="S653" s="2">
        <f t="shared" si="189"/>
        <v>3.9677614678899062</v>
      </c>
      <c r="U653" s="2">
        <v>65</v>
      </c>
      <c r="V653" s="2" t="s">
        <v>138</v>
      </c>
      <c r="W653" s="2">
        <f t="shared" si="190"/>
        <v>42.185483870967744</v>
      </c>
      <c r="Y653" s="2">
        <v>2019</v>
      </c>
      <c r="Z653">
        <f>2025-AVERAGE($Y$517:$Y$692)</f>
        <v>11.48863636363626</v>
      </c>
      <c r="AA653" s="2">
        <v>0.382586758859215</v>
      </c>
      <c r="AB653" s="2" t="s">
        <v>261</v>
      </c>
      <c r="AC653" s="2">
        <v>4.976</v>
      </c>
      <c r="AD653" s="3">
        <v>2.6384500000000002</v>
      </c>
      <c r="AE653">
        <v>0</v>
      </c>
      <c r="AF653" s="2" t="str">
        <f t="shared" si="142"/>
        <v>Non-US</v>
      </c>
      <c r="AG653" s="2">
        <v>5</v>
      </c>
      <c r="AH653" s="2">
        <v>1</v>
      </c>
      <c r="AI653" s="2">
        <f t="shared" si="191"/>
        <v>3.2903225806451615</v>
      </c>
      <c r="AJ653" s="2">
        <f t="shared" si="192"/>
        <v>1.048</v>
      </c>
      <c r="AK653" s="2" t="s">
        <v>112</v>
      </c>
      <c r="AL653" s="2">
        <v>40</v>
      </c>
      <c r="AM653" s="2" t="s">
        <v>140</v>
      </c>
      <c r="AN653" s="2" t="s">
        <v>364</v>
      </c>
      <c r="AO653" s="2">
        <v>0.78700000000000003</v>
      </c>
    </row>
    <row r="654" spans="1:41" s="2" customFormat="1" ht="15.6">
      <c r="A654">
        <v>14</v>
      </c>
      <c r="B654" s="2" t="s">
        <v>363</v>
      </c>
      <c r="C654" s="2" t="s">
        <v>362</v>
      </c>
      <c r="D654" s="3"/>
      <c r="E654" s="3">
        <f t="shared" si="185"/>
        <v>34.659090909090914</v>
      </c>
      <c r="F654">
        <v>2023</v>
      </c>
      <c r="G654">
        <f t="shared" si="182"/>
        <v>2</v>
      </c>
      <c r="H654" s="2">
        <v>0.28000000000000003</v>
      </c>
      <c r="I654" s="2">
        <v>0.61</v>
      </c>
      <c r="J654" s="2">
        <f t="shared" si="186"/>
        <v>176</v>
      </c>
      <c r="K654" s="2">
        <v>41</v>
      </c>
      <c r="L654" s="2">
        <v>3</v>
      </c>
      <c r="M654" s="12">
        <f t="shared" si="187"/>
        <v>0.49233458707602862</v>
      </c>
      <c r="N654" s="2">
        <f t="shared" si="184"/>
        <v>5.2890033166812497E-2</v>
      </c>
      <c r="O654" s="2">
        <f t="shared" si="188"/>
        <v>0.70166558065507856</v>
      </c>
      <c r="P654" s="2" t="s">
        <v>613</v>
      </c>
      <c r="Q654" s="2" t="s">
        <v>743</v>
      </c>
      <c r="R654" s="2">
        <v>2.0230000000000001</v>
      </c>
      <c r="S654" s="2">
        <f t="shared" si="189"/>
        <v>3.9677614678899062</v>
      </c>
      <c r="U654" s="2">
        <v>46</v>
      </c>
      <c r="V654" s="2" t="s">
        <v>138</v>
      </c>
      <c r="W654" s="2">
        <f t="shared" si="190"/>
        <v>42.185483870967744</v>
      </c>
      <c r="Y654" s="2">
        <v>2022</v>
      </c>
      <c r="Z654">
        <f>2025-AVERAGE($Y$517:$Y$692)</f>
        <v>11.48863636363626</v>
      </c>
      <c r="AA654" s="2">
        <v>0.218626986142058</v>
      </c>
      <c r="AB654" s="2" t="s">
        <v>261</v>
      </c>
      <c r="AC654" s="2">
        <v>0.6875</v>
      </c>
      <c r="AD654" s="3">
        <v>0.61904761904761896</v>
      </c>
      <c r="AE654">
        <v>0</v>
      </c>
      <c r="AF654" s="2" t="str">
        <f t="shared" si="142"/>
        <v>Non-US</v>
      </c>
      <c r="AG654" s="2">
        <v>5</v>
      </c>
      <c r="AH654" s="2">
        <v>1</v>
      </c>
      <c r="AI654" s="2">
        <f t="shared" si="191"/>
        <v>3.2903225806451615</v>
      </c>
      <c r="AJ654" s="2">
        <f t="shared" si="192"/>
        <v>1.048</v>
      </c>
      <c r="AK654" s="2" t="s">
        <v>112</v>
      </c>
      <c r="AL654" s="2">
        <v>40</v>
      </c>
      <c r="AM654" s="2" t="s">
        <v>140</v>
      </c>
      <c r="AN654" s="2" t="s">
        <v>364</v>
      </c>
      <c r="AO654" s="2">
        <v>0.78700000000000003</v>
      </c>
    </row>
    <row r="655" spans="1:41" s="2" customFormat="1" ht="15.6">
      <c r="A655">
        <v>14</v>
      </c>
      <c r="B655" s="2" t="s">
        <v>363</v>
      </c>
      <c r="C655" s="2" t="s">
        <v>362</v>
      </c>
      <c r="D655" s="3"/>
      <c r="E655" s="3">
        <f t="shared" si="185"/>
        <v>34.659090909090914</v>
      </c>
      <c r="F655">
        <v>2023</v>
      </c>
      <c r="G655">
        <f t="shared" si="182"/>
        <v>2</v>
      </c>
      <c r="H655" s="2">
        <v>0.28000000000000003</v>
      </c>
      <c r="I655" s="2">
        <v>0.61</v>
      </c>
      <c r="J655" s="2">
        <f t="shared" si="186"/>
        <v>176</v>
      </c>
      <c r="K655" s="2">
        <v>41</v>
      </c>
      <c r="L655" s="2">
        <v>3</v>
      </c>
      <c r="M655" s="12">
        <f t="shared" si="187"/>
        <v>0.49233458707602862</v>
      </c>
      <c r="N655" s="2">
        <f t="shared" si="184"/>
        <v>5.2890033166812497E-2</v>
      </c>
      <c r="O655" s="2">
        <f t="shared" si="188"/>
        <v>0.70166558065507856</v>
      </c>
      <c r="P655" s="2" t="s">
        <v>719</v>
      </c>
      <c r="Q655" s="2" t="s">
        <v>527</v>
      </c>
      <c r="R655" s="2">
        <v>4.1280000000000001</v>
      </c>
      <c r="S655" s="2">
        <f t="shared" si="189"/>
        <v>3.9677614678899062</v>
      </c>
      <c r="U655" s="2">
        <v>47</v>
      </c>
      <c r="V655" s="2" t="s">
        <v>138</v>
      </c>
      <c r="W655" s="2">
        <f t="shared" si="190"/>
        <v>42.185483870967744</v>
      </c>
      <c r="Y655" s="2">
        <v>2017</v>
      </c>
      <c r="Z655">
        <f>2025-AVERAGE($Y$517:$Y$692)</f>
        <v>11.48863636363626</v>
      </c>
      <c r="AA655" s="2">
        <v>3.7891329279758398E-2</v>
      </c>
      <c r="AB655" s="2">
        <v>0.13455342556918501</v>
      </c>
      <c r="AC655" s="2">
        <v>4.0799999999999903</v>
      </c>
      <c r="AD655" s="3">
        <v>1.5</v>
      </c>
      <c r="AE655">
        <v>0</v>
      </c>
      <c r="AF655" s="2" t="str">
        <f t="shared" si="142"/>
        <v>Non-US</v>
      </c>
      <c r="AG655" s="2">
        <v>4</v>
      </c>
      <c r="AH655" s="2">
        <v>1</v>
      </c>
      <c r="AI655" s="2">
        <f t="shared" si="191"/>
        <v>3.2903225806451615</v>
      </c>
      <c r="AJ655" s="2">
        <f t="shared" si="192"/>
        <v>1.048</v>
      </c>
      <c r="AK655" s="2" t="s">
        <v>112</v>
      </c>
      <c r="AL655" s="2">
        <v>40</v>
      </c>
      <c r="AM655" s="2" t="s">
        <v>140</v>
      </c>
      <c r="AN655" s="2" t="s">
        <v>364</v>
      </c>
      <c r="AO655" s="2">
        <v>0.78700000000000003</v>
      </c>
    </row>
    <row r="656" spans="1:41" s="2" customFormat="1" ht="15.6">
      <c r="A656">
        <v>14</v>
      </c>
      <c r="B656" s="2" t="s">
        <v>363</v>
      </c>
      <c r="C656" s="2" t="s">
        <v>362</v>
      </c>
      <c r="D656" s="3"/>
      <c r="E656" s="3">
        <f t="shared" si="185"/>
        <v>34.659090909090914</v>
      </c>
      <c r="F656">
        <v>2023</v>
      </c>
      <c r="G656">
        <f t="shared" si="182"/>
        <v>2</v>
      </c>
      <c r="H656" s="2">
        <v>0.28000000000000003</v>
      </c>
      <c r="I656" s="2">
        <v>0.61</v>
      </c>
      <c r="J656" s="2">
        <f t="shared" si="186"/>
        <v>176</v>
      </c>
      <c r="K656" s="2">
        <v>41</v>
      </c>
      <c r="L656" s="2">
        <v>3</v>
      </c>
      <c r="M656" s="12">
        <f t="shared" si="187"/>
        <v>0.49233458707602862</v>
      </c>
      <c r="N656" s="2">
        <f t="shared" si="184"/>
        <v>5.2890033166812497E-2</v>
      </c>
      <c r="O656" s="2">
        <f t="shared" si="188"/>
        <v>0.70166558065507856</v>
      </c>
      <c r="P656" s="2" t="s">
        <v>720</v>
      </c>
      <c r="Q656" s="2" t="s">
        <v>527</v>
      </c>
      <c r="R656" s="2">
        <v>4.1280000000000001</v>
      </c>
      <c r="S656" s="2">
        <f t="shared" si="189"/>
        <v>3.9677614678899062</v>
      </c>
      <c r="U656" s="2">
        <v>47</v>
      </c>
      <c r="V656" s="2" t="s">
        <v>138</v>
      </c>
      <c r="W656" s="2">
        <f t="shared" si="190"/>
        <v>42.185483870967744</v>
      </c>
      <c r="Y656" s="2">
        <v>2017</v>
      </c>
      <c r="Z656">
        <f>2025-AVERAGE($Y$517:$Y$692)</f>
        <v>11.48863636363626</v>
      </c>
      <c r="AA656" s="2">
        <v>5.7958254414502898E-4</v>
      </c>
      <c r="AB656" s="2">
        <v>5.1298606563135596E-41</v>
      </c>
      <c r="AC656" s="2">
        <v>12.2699999999999</v>
      </c>
      <c r="AD656" s="3">
        <v>1.35</v>
      </c>
      <c r="AE656">
        <v>0</v>
      </c>
      <c r="AF656" s="2" t="str">
        <f t="shared" si="142"/>
        <v>Non-US</v>
      </c>
      <c r="AI656" s="2">
        <f t="shared" si="191"/>
        <v>3.2903225806451615</v>
      </c>
      <c r="AJ656" s="2">
        <f t="shared" si="192"/>
        <v>1.048</v>
      </c>
      <c r="AK656" s="2" t="s">
        <v>112</v>
      </c>
      <c r="AL656" s="2">
        <v>40</v>
      </c>
      <c r="AM656" s="2" t="s">
        <v>140</v>
      </c>
      <c r="AN656" s="2" t="s">
        <v>364</v>
      </c>
      <c r="AO656" s="2">
        <v>0.78700000000000003</v>
      </c>
    </row>
    <row r="657" spans="1:41" s="2" customFormat="1" ht="15.6">
      <c r="A657">
        <v>14</v>
      </c>
      <c r="B657" s="2" t="s">
        <v>363</v>
      </c>
      <c r="C657" s="2" t="s">
        <v>362</v>
      </c>
      <c r="D657" s="3"/>
      <c r="E657" s="3">
        <f t="shared" si="185"/>
        <v>34.659090909090914</v>
      </c>
      <c r="F657">
        <v>2023</v>
      </c>
      <c r="G657">
        <f t="shared" si="182"/>
        <v>2</v>
      </c>
      <c r="H657" s="2">
        <v>0.28000000000000003</v>
      </c>
      <c r="I657" s="2">
        <v>0.61</v>
      </c>
      <c r="J657" s="2">
        <f t="shared" si="186"/>
        <v>176</v>
      </c>
      <c r="K657" s="2">
        <v>41</v>
      </c>
      <c r="L657" s="2">
        <v>3</v>
      </c>
      <c r="M657" s="12">
        <f t="shared" si="187"/>
        <v>0.49233458707602862</v>
      </c>
      <c r="N657" s="2">
        <f t="shared" si="184"/>
        <v>5.2890033166812497E-2</v>
      </c>
      <c r="O657" s="2">
        <f t="shared" si="188"/>
        <v>0.70166558065507856</v>
      </c>
      <c r="P657" s="2" t="s">
        <v>614</v>
      </c>
      <c r="S657" s="2">
        <f t="shared" si="189"/>
        <v>3.9677614678899062</v>
      </c>
      <c r="W657" s="2">
        <f t="shared" si="190"/>
        <v>42.185483870967744</v>
      </c>
      <c r="Y657" s="2">
        <v>2014</v>
      </c>
      <c r="Z657">
        <f>2025-AVERAGE($Y$517:$Y$692)</f>
        <v>11.48863636363626</v>
      </c>
      <c r="AA657" s="2">
        <v>0.97660549457529999</v>
      </c>
      <c r="AB657" s="2">
        <v>6.6313920467004294E-5</v>
      </c>
      <c r="AC657" s="2">
        <v>84</v>
      </c>
      <c r="AD657" s="3">
        <v>1.2</v>
      </c>
      <c r="AE657">
        <v>0</v>
      </c>
      <c r="AF657" s="2" t="str">
        <f t="shared" si="142"/>
        <v>Non-US</v>
      </c>
      <c r="AG657" s="2">
        <v>4</v>
      </c>
      <c r="AH657" s="2">
        <v>1</v>
      </c>
      <c r="AI657" s="2">
        <f t="shared" si="191"/>
        <v>3.2903225806451615</v>
      </c>
      <c r="AJ657" s="2">
        <f t="shared" si="192"/>
        <v>1.048</v>
      </c>
      <c r="AK657" s="2" t="s">
        <v>112</v>
      </c>
      <c r="AL657" s="2">
        <v>40</v>
      </c>
      <c r="AM657" s="2" t="s">
        <v>140</v>
      </c>
      <c r="AN657" s="2" t="s">
        <v>364</v>
      </c>
      <c r="AO657" s="2">
        <v>0.78700000000000003</v>
      </c>
    </row>
    <row r="658" spans="1:41" s="2" customFormat="1" ht="15.6">
      <c r="A658">
        <v>14</v>
      </c>
      <c r="B658" s="2" t="s">
        <v>363</v>
      </c>
      <c r="C658" s="2" t="s">
        <v>362</v>
      </c>
      <c r="D658" s="3"/>
      <c r="E658" s="3">
        <f t="shared" si="185"/>
        <v>34.659090909090914</v>
      </c>
      <c r="F658">
        <v>2023</v>
      </c>
      <c r="G658">
        <f t="shared" ref="G658:G721" si="193">2025-F658</f>
        <v>2</v>
      </c>
      <c r="H658" s="2">
        <v>0.28000000000000003</v>
      </c>
      <c r="I658" s="2">
        <v>0.61</v>
      </c>
      <c r="J658" s="2">
        <f t="shared" si="186"/>
        <v>176</v>
      </c>
      <c r="K658" s="2">
        <v>41</v>
      </c>
      <c r="L658" s="2">
        <v>3</v>
      </c>
      <c r="M658" s="12">
        <f t="shared" si="187"/>
        <v>0.49233458707602862</v>
      </c>
      <c r="N658" s="2">
        <f t="shared" si="184"/>
        <v>5.2890033166812497E-2</v>
      </c>
      <c r="O658" s="2">
        <f t="shared" si="188"/>
        <v>0.70166558065507856</v>
      </c>
      <c r="P658" s="2" t="s">
        <v>721</v>
      </c>
      <c r="Q658" s="2" t="s">
        <v>460</v>
      </c>
      <c r="R658" s="2">
        <v>2.645</v>
      </c>
      <c r="S658" s="2">
        <f t="shared" si="189"/>
        <v>3.9677614678899062</v>
      </c>
      <c r="U658" s="2">
        <v>52</v>
      </c>
      <c r="V658" s="2" t="s">
        <v>753</v>
      </c>
      <c r="W658" s="2">
        <f t="shared" si="190"/>
        <v>42.185483870967744</v>
      </c>
      <c r="Y658" s="2">
        <v>2020</v>
      </c>
      <c r="Z658">
        <f>2025-AVERAGE($Y$517:$Y$692)</f>
        <v>11.48863636363626</v>
      </c>
      <c r="AA658" s="2" t="s">
        <v>261</v>
      </c>
      <c r="AB658" s="2" t="s">
        <v>261</v>
      </c>
      <c r="AC658" s="2" t="s">
        <v>261</v>
      </c>
      <c r="AD658" s="3" t="s">
        <v>261</v>
      </c>
      <c r="AE658">
        <v>0</v>
      </c>
      <c r="AF658" s="2" t="str">
        <f t="shared" si="142"/>
        <v>Non-US</v>
      </c>
      <c r="AI658" s="2">
        <f t="shared" si="191"/>
        <v>3.2903225806451615</v>
      </c>
      <c r="AJ658" s="2">
        <f t="shared" si="192"/>
        <v>1.048</v>
      </c>
      <c r="AK658" s="2" t="s">
        <v>112</v>
      </c>
      <c r="AL658" s="2">
        <v>40</v>
      </c>
      <c r="AM658" s="2" t="s">
        <v>140</v>
      </c>
      <c r="AN658" s="2" t="s">
        <v>364</v>
      </c>
      <c r="AO658" s="2">
        <v>0.78700000000000003</v>
      </c>
    </row>
    <row r="659" spans="1:41" s="2" customFormat="1" ht="15.6">
      <c r="A659">
        <v>14</v>
      </c>
      <c r="B659" s="2" t="s">
        <v>363</v>
      </c>
      <c r="C659" s="2" t="s">
        <v>362</v>
      </c>
      <c r="D659" s="3"/>
      <c r="E659" s="3">
        <f t="shared" si="185"/>
        <v>34.659090909090914</v>
      </c>
      <c r="F659">
        <v>2023</v>
      </c>
      <c r="G659">
        <f t="shared" si="193"/>
        <v>2</v>
      </c>
      <c r="H659" s="2">
        <v>0.28000000000000003</v>
      </c>
      <c r="I659" s="2">
        <v>0.61</v>
      </c>
      <c r="J659" s="2">
        <f t="shared" si="186"/>
        <v>176</v>
      </c>
      <c r="K659" s="2">
        <v>41</v>
      </c>
      <c r="L659" s="2">
        <v>3</v>
      </c>
      <c r="M659" s="12">
        <f t="shared" si="187"/>
        <v>0.49233458707602862</v>
      </c>
      <c r="N659" s="2">
        <f t="shared" si="184"/>
        <v>5.2890033166812497E-2</v>
      </c>
      <c r="O659" s="2">
        <f t="shared" si="188"/>
        <v>0.70166558065507856</v>
      </c>
      <c r="P659" s="2" t="s">
        <v>722</v>
      </c>
      <c r="S659" s="2">
        <f t="shared" si="189"/>
        <v>3.9677614678899062</v>
      </c>
      <c r="W659" s="2">
        <f t="shared" si="190"/>
        <v>42.185483870967744</v>
      </c>
      <c r="Y659" s="2">
        <v>2015</v>
      </c>
      <c r="Z659">
        <f>2025-AVERAGE($Y$517:$Y$692)</f>
        <v>11.48863636363626</v>
      </c>
      <c r="AA659" s="2">
        <v>1.4816209215062701E-7</v>
      </c>
      <c r="AB659" s="2">
        <v>0.21212983359991899</v>
      </c>
      <c r="AC659" s="2" t="s">
        <v>261</v>
      </c>
      <c r="AD659" s="3">
        <v>0.23</v>
      </c>
      <c r="AE659">
        <v>0</v>
      </c>
      <c r="AF659" s="2" t="str">
        <f t="shared" si="142"/>
        <v>Non-US</v>
      </c>
      <c r="AI659" s="2">
        <f t="shared" si="191"/>
        <v>3.2903225806451615</v>
      </c>
      <c r="AJ659" s="2">
        <f t="shared" si="192"/>
        <v>1.048</v>
      </c>
      <c r="AK659" s="2" t="s">
        <v>112</v>
      </c>
      <c r="AL659" s="2">
        <v>40</v>
      </c>
      <c r="AM659" s="2" t="s">
        <v>140</v>
      </c>
      <c r="AN659" s="2" t="s">
        <v>364</v>
      </c>
      <c r="AO659" s="2">
        <v>0.78700000000000003</v>
      </c>
    </row>
    <row r="660" spans="1:41" s="2" customFormat="1" ht="15.6">
      <c r="A660">
        <v>14</v>
      </c>
      <c r="B660" s="2" t="s">
        <v>363</v>
      </c>
      <c r="C660" s="2" t="s">
        <v>362</v>
      </c>
      <c r="D660" s="3"/>
      <c r="E660" s="3">
        <f t="shared" si="185"/>
        <v>34.659090909090914</v>
      </c>
      <c r="F660">
        <v>2023</v>
      </c>
      <c r="G660">
        <f t="shared" si="193"/>
        <v>2</v>
      </c>
      <c r="H660" s="2">
        <v>0.28000000000000003</v>
      </c>
      <c r="I660" s="2">
        <v>0.61</v>
      </c>
      <c r="J660" s="2">
        <f t="shared" si="186"/>
        <v>176</v>
      </c>
      <c r="K660" s="2">
        <v>41</v>
      </c>
      <c r="L660" s="2">
        <v>3</v>
      </c>
      <c r="M660" s="12">
        <f t="shared" si="187"/>
        <v>0.49233458707602862</v>
      </c>
      <c r="N660" s="2">
        <f t="shared" si="184"/>
        <v>5.2890033166812497E-2</v>
      </c>
      <c r="O660" s="2">
        <f t="shared" si="188"/>
        <v>0.70166558065507856</v>
      </c>
      <c r="P660" s="2" t="s">
        <v>615</v>
      </c>
      <c r="S660" s="2">
        <f t="shared" si="189"/>
        <v>3.9677614678899062</v>
      </c>
      <c r="W660" s="2">
        <f t="shared" si="190"/>
        <v>42.185483870967744</v>
      </c>
      <c r="Y660" s="2">
        <v>2020</v>
      </c>
      <c r="Z660">
        <f>2025-AVERAGE($Y$517:$Y$692)</f>
        <v>11.48863636363626</v>
      </c>
      <c r="AA660" s="2">
        <v>0.279840671829865</v>
      </c>
      <c r="AB660" s="2" t="s">
        <v>261</v>
      </c>
      <c r="AC660" s="2">
        <v>0.31907894736842102</v>
      </c>
      <c r="AD660" s="3">
        <v>0.17076923076923001</v>
      </c>
      <c r="AE660">
        <v>0</v>
      </c>
      <c r="AF660" s="2" t="str">
        <f t="shared" si="142"/>
        <v>Non-US</v>
      </c>
      <c r="AI660" s="2">
        <f t="shared" si="191"/>
        <v>3.2903225806451615</v>
      </c>
      <c r="AJ660" s="2">
        <f t="shared" si="192"/>
        <v>1.048</v>
      </c>
      <c r="AK660" s="2" t="s">
        <v>112</v>
      </c>
      <c r="AL660" s="2">
        <v>40</v>
      </c>
      <c r="AM660" s="2" t="s">
        <v>140</v>
      </c>
      <c r="AN660" s="2" t="s">
        <v>364</v>
      </c>
      <c r="AO660" s="2">
        <v>0.78700000000000003</v>
      </c>
    </row>
    <row r="661" spans="1:41" s="2" customFormat="1" ht="15.6">
      <c r="A661">
        <v>14</v>
      </c>
      <c r="B661" s="2" t="s">
        <v>363</v>
      </c>
      <c r="C661" s="2" t="s">
        <v>362</v>
      </c>
      <c r="D661" s="3"/>
      <c r="E661" s="3">
        <f t="shared" si="185"/>
        <v>34.659090909090914</v>
      </c>
      <c r="F661">
        <v>2023</v>
      </c>
      <c r="G661">
        <f t="shared" si="193"/>
        <v>2</v>
      </c>
      <c r="H661" s="2">
        <v>0.28000000000000003</v>
      </c>
      <c r="I661" s="2">
        <v>0.61</v>
      </c>
      <c r="J661" s="2">
        <f t="shared" si="186"/>
        <v>176</v>
      </c>
      <c r="K661" s="2">
        <v>41</v>
      </c>
      <c r="L661" s="2">
        <v>3</v>
      </c>
      <c r="M661" s="12">
        <f t="shared" si="187"/>
        <v>0.49233458707602862</v>
      </c>
      <c r="N661" s="2">
        <f t="shared" si="184"/>
        <v>5.2890033166812497E-2</v>
      </c>
      <c r="O661" s="2">
        <f t="shared" si="188"/>
        <v>0.70166558065507856</v>
      </c>
      <c r="P661" s="2" t="s">
        <v>723</v>
      </c>
      <c r="S661" s="2">
        <f t="shared" si="189"/>
        <v>3.9677614678899062</v>
      </c>
      <c r="W661" s="2">
        <f t="shared" si="190"/>
        <v>42.185483870967744</v>
      </c>
      <c r="Y661" s="2">
        <v>2015</v>
      </c>
      <c r="Z661">
        <f>2025-AVERAGE($Y$517:$Y$692)</f>
        <v>11.48863636363626</v>
      </c>
      <c r="AA661" s="2">
        <v>6.9632681842790498E-9</v>
      </c>
      <c r="AB661" s="2">
        <v>0.36376642574259899</v>
      </c>
      <c r="AC661" s="2" t="s">
        <v>261</v>
      </c>
      <c r="AD661" s="3">
        <v>0.31</v>
      </c>
      <c r="AE661">
        <v>0</v>
      </c>
      <c r="AF661" s="2" t="str">
        <f t="shared" si="142"/>
        <v>Non-US</v>
      </c>
      <c r="AI661" s="2">
        <f t="shared" si="191"/>
        <v>3.2903225806451615</v>
      </c>
      <c r="AJ661" s="2">
        <f t="shared" si="192"/>
        <v>1.048</v>
      </c>
      <c r="AK661" s="2" t="s">
        <v>112</v>
      </c>
      <c r="AL661" s="2">
        <v>40</v>
      </c>
      <c r="AM661" s="2" t="s">
        <v>140</v>
      </c>
      <c r="AN661" s="2" t="s">
        <v>364</v>
      </c>
      <c r="AO661" s="2">
        <v>0.78700000000000003</v>
      </c>
    </row>
    <row r="662" spans="1:41" s="2" customFormat="1" ht="15.6">
      <c r="A662">
        <v>14</v>
      </c>
      <c r="B662" s="2" t="s">
        <v>363</v>
      </c>
      <c r="C662" s="2" t="s">
        <v>362</v>
      </c>
      <c r="D662" s="3"/>
      <c r="E662" s="3">
        <f t="shared" si="185"/>
        <v>34.659090909090914</v>
      </c>
      <c r="F662">
        <v>2023</v>
      </c>
      <c r="G662">
        <f t="shared" si="193"/>
        <v>2</v>
      </c>
      <c r="H662" s="2">
        <v>0.28000000000000003</v>
      </c>
      <c r="I662" s="2">
        <v>0.61</v>
      </c>
      <c r="J662" s="2">
        <f t="shared" si="186"/>
        <v>176</v>
      </c>
      <c r="K662" s="2">
        <v>41</v>
      </c>
      <c r="L662" s="2">
        <v>3</v>
      </c>
      <c r="M662" s="12">
        <f t="shared" si="187"/>
        <v>0.49233458707602862</v>
      </c>
      <c r="N662" s="2">
        <f t="shared" si="184"/>
        <v>5.2890033166812497E-2</v>
      </c>
      <c r="O662" s="2">
        <f t="shared" si="188"/>
        <v>0.70166558065507856</v>
      </c>
      <c r="P662" s="2" t="s">
        <v>616</v>
      </c>
      <c r="Q662" s="2" t="s">
        <v>527</v>
      </c>
      <c r="R662" s="2">
        <v>4.1159999999999997</v>
      </c>
      <c r="S662" s="2">
        <f t="shared" si="189"/>
        <v>3.9677614678899062</v>
      </c>
      <c r="U662" s="2">
        <v>41</v>
      </c>
      <c r="V662" s="2" t="s">
        <v>138</v>
      </c>
      <c r="W662" s="2">
        <f t="shared" si="190"/>
        <v>42.185483870967744</v>
      </c>
      <c r="Y662" s="2">
        <v>2018</v>
      </c>
      <c r="Z662">
        <f>2025-AVERAGE($Y$517:$Y$692)</f>
        <v>11.48863636363626</v>
      </c>
      <c r="AA662" s="2">
        <v>0.30167149623836398</v>
      </c>
      <c r="AB662" s="2">
        <v>1.8947169846994402E-2</v>
      </c>
      <c r="AC662" s="2" t="s">
        <v>261</v>
      </c>
      <c r="AD662" s="3">
        <v>0.7</v>
      </c>
      <c r="AE662">
        <v>0</v>
      </c>
      <c r="AF662" s="2" t="str">
        <f t="shared" si="142"/>
        <v>Non-US</v>
      </c>
      <c r="AG662" s="2">
        <v>3</v>
      </c>
      <c r="AH662" s="2">
        <v>1</v>
      </c>
      <c r="AI662" s="2">
        <f t="shared" si="191"/>
        <v>3.2903225806451615</v>
      </c>
      <c r="AJ662" s="2">
        <f t="shared" si="192"/>
        <v>1.048</v>
      </c>
      <c r="AK662" s="2" t="s">
        <v>112</v>
      </c>
      <c r="AL662" s="2">
        <v>40</v>
      </c>
      <c r="AM662" s="2" t="s">
        <v>140</v>
      </c>
      <c r="AN662" s="2" t="s">
        <v>364</v>
      </c>
      <c r="AO662" s="2">
        <v>0.78700000000000003</v>
      </c>
    </row>
    <row r="663" spans="1:41" s="2" customFormat="1" ht="15.6">
      <c r="A663">
        <v>14</v>
      </c>
      <c r="B663" s="2" t="s">
        <v>363</v>
      </c>
      <c r="C663" s="2" t="s">
        <v>362</v>
      </c>
      <c r="D663" s="3"/>
      <c r="E663" s="3">
        <f t="shared" si="185"/>
        <v>34.659090909090914</v>
      </c>
      <c r="F663">
        <v>2023</v>
      </c>
      <c r="G663">
        <f t="shared" si="193"/>
        <v>2</v>
      </c>
      <c r="H663" s="2">
        <v>0.28000000000000003</v>
      </c>
      <c r="I663" s="2">
        <v>0.61</v>
      </c>
      <c r="J663" s="2">
        <f t="shared" si="186"/>
        <v>176</v>
      </c>
      <c r="K663" s="2">
        <v>41</v>
      </c>
      <c r="L663" s="2">
        <v>3</v>
      </c>
      <c r="M663" s="12">
        <f t="shared" si="187"/>
        <v>0.49233458707602862</v>
      </c>
      <c r="N663" s="2">
        <f t="shared" si="184"/>
        <v>5.2890033166812497E-2</v>
      </c>
      <c r="O663" s="2">
        <f t="shared" si="188"/>
        <v>0.70166558065507856</v>
      </c>
      <c r="P663" s="2" t="s">
        <v>724</v>
      </c>
      <c r="Q663" s="2" t="s">
        <v>527</v>
      </c>
      <c r="R663" s="2">
        <v>3.3029999999999999</v>
      </c>
      <c r="S663" s="2">
        <f t="shared" si="189"/>
        <v>3.9677614678899062</v>
      </c>
      <c r="U663" s="2">
        <v>40</v>
      </c>
      <c r="V663" s="2" t="s">
        <v>138</v>
      </c>
      <c r="W663" s="2">
        <f t="shared" si="190"/>
        <v>42.185483870967744</v>
      </c>
      <c r="Y663" s="2">
        <v>2019</v>
      </c>
      <c r="Z663">
        <f>2025-AVERAGE($Y$517:$Y$692)</f>
        <v>11.48863636363626</v>
      </c>
      <c r="AA663" s="2" t="s">
        <v>261</v>
      </c>
      <c r="AB663" s="2">
        <v>0.97700529563873395</v>
      </c>
      <c r="AC663" s="2" t="s">
        <v>261</v>
      </c>
      <c r="AD663" s="3" t="s">
        <v>261</v>
      </c>
      <c r="AE663">
        <v>0</v>
      </c>
      <c r="AF663" s="2" t="str">
        <f t="shared" si="142"/>
        <v>Non-US</v>
      </c>
      <c r="AG663" s="2">
        <v>3</v>
      </c>
      <c r="AH663" s="2">
        <v>1</v>
      </c>
      <c r="AI663" s="2">
        <f t="shared" si="191"/>
        <v>3.2903225806451615</v>
      </c>
      <c r="AJ663" s="2">
        <f t="shared" si="192"/>
        <v>1.048</v>
      </c>
      <c r="AK663" s="2" t="s">
        <v>112</v>
      </c>
      <c r="AL663" s="2">
        <v>40</v>
      </c>
      <c r="AM663" s="2" t="s">
        <v>140</v>
      </c>
      <c r="AN663" s="2" t="s">
        <v>364</v>
      </c>
      <c r="AO663" s="2">
        <v>0.78700000000000003</v>
      </c>
    </row>
    <row r="664" spans="1:41" s="2" customFormat="1" ht="15.6">
      <c r="A664">
        <v>14</v>
      </c>
      <c r="B664" s="2" t="s">
        <v>363</v>
      </c>
      <c r="C664" s="2" t="s">
        <v>362</v>
      </c>
      <c r="D664" s="3"/>
      <c r="E664" s="3">
        <f t="shared" si="185"/>
        <v>34.659090909090914</v>
      </c>
      <c r="F664">
        <v>2023</v>
      </c>
      <c r="G664">
        <f t="shared" si="193"/>
        <v>2</v>
      </c>
      <c r="H664" s="2">
        <v>0.28000000000000003</v>
      </c>
      <c r="I664" s="2">
        <v>0.61</v>
      </c>
      <c r="J664" s="2">
        <f t="shared" si="186"/>
        <v>176</v>
      </c>
      <c r="K664" s="2">
        <v>41</v>
      </c>
      <c r="L664" s="2">
        <v>3</v>
      </c>
      <c r="M664" s="12">
        <f t="shared" si="187"/>
        <v>0.49233458707602862</v>
      </c>
      <c r="N664" s="2">
        <f t="shared" si="184"/>
        <v>5.2890033166812497E-2</v>
      </c>
      <c r="O664" s="2">
        <f t="shared" si="188"/>
        <v>0.70166558065507856</v>
      </c>
      <c r="P664" s="2" t="s">
        <v>725</v>
      </c>
      <c r="S664" s="2">
        <f t="shared" si="189"/>
        <v>3.9677614678899062</v>
      </c>
      <c r="W664" s="2">
        <f t="shared" si="190"/>
        <v>42.185483870967744</v>
      </c>
      <c r="Y664" s="2">
        <v>2020</v>
      </c>
      <c r="Z664">
        <f>2025-AVERAGE($Y$517:$Y$692)</f>
        <v>11.48863636363626</v>
      </c>
      <c r="AA664" s="2">
        <v>3.0625740002952099E-2</v>
      </c>
      <c r="AB664" s="2" t="s">
        <v>261</v>
      </c>
      <c r="AC664" s="2">
        <v>0.27</v>
      </c>
      <c r="AD664" s="3">
        <v>-0.06</v>
      </c>
      <c r="AE664">
        <v>0</v>
      </c>
      <c r="AF664" s="2" t="str">
        <f t="shared" si="142"/>
        <v>Non-US</v>
      </c>
      <c r="AI664" s="2">
        <f t="shared" si="191"/>
        <v>3.2903225806451615</v>
      </c>
      <c r="AJ664" s="2">
        <f t="shared" si="192"/>
        <v>1.048</v>
      </c>
      <c r="AK664" s="2" t="s">
        <v>112</v>
      </c>
      <c r="AL664" s="2">
        <v>40</v>
      </c>
      <c r="AM664" s="2" t="s">
        <v>140</v>
      </c>
      <c r="AN664" s="2" t="s">
        <v>364</v>
      </c>
      <c r="AO664" s="2">
        <v>0.78700000000000003</v>
      </c>
    </row>
    <row r="665" spans="1:41" s="2" customFormat="1" ht="15.6">
      <c r="A665">
        <v>14</v>
      </c>
      <c r="B665" s="2" t="s">
        <v>363</v>
      </c>
      <c r="C665" s="2" t="s">
        <v>362</v>
      </c>
      <c r="D665" s="3"/>
      <c r="E665" s="3">
        <f t="shared" si="185"/>
        <v>34.659090909090914</v>
      </c>
      <c r="F665">
        <v>2023</v>
      </c>
      <c r="G665">
        <f t="shared" si="193"/>
        <v>2</v>
      </c>
      <c r="H665" s="2">
        <v>0.28000000000000003</v>
      </c>
      <c r="I665" s="2">
        <v>0.61</v>
      </c>
      <c r="J665" s="2">
        <f t="shared" si="186"/>
        <v>176</v>
      </c>
      <c r="K665" s="2">
        <v>41</v>
      </c>
      <c r="L665" s="2">
        <v>3</v>
      </c>
      <c r="M665" s="12">
        <f t="shared" si="187"/>
        <v>0.49233458707602862</v>
      </c>
      <c r="N665" s="2">
        <f t="shared" si="184"/>
        <v>5.2890033166812497E-2</v>
      </c>
      <c r="O665" s="2">
        <f t="shared" si="188"/>
        <v>0.70166558065507856</v>
      </c>
      <c r="P665" s="2" t="s">
        <v>726</v>
      </c>
      <c r="Q665" s="2" t="s">
        <v>779</v>
      </c>
      <c r="R665" s="2">
        <v>1.915</v>
      </c>
      <c r="S665" s="2">
        <f t="shared" si="189"/>
        <v>3.9677614678899062</v>
      </c>
      <c r="U665" s="2">
        <v>78</v>
      </c>
      <c r="V665" s="2" t="s">
        <v>138</v>
      </c>
      <c r="W665" s="2">
        <f t="shared" si="190"/>
        <v>42.185483870967744</v>
      </c>
      <c r="Y665" s="2">
        <v>2019</v>
      </c>
      <c r="Z665">
        <f>2025-AVERAGE($Y$517:$Y$692)</f>
        <v>11.48863636363626</v>
      </c>
      <c r="AA665" s="2">
        <v>3.9663827777758302E-12</v>
      </c>
      <c r="AB665" s="2">
        <v>0.312441601669666</v>
      </c>
      <c r="AC665" s="2">
        <v>1.42</v>
      </c>
      <c r="AD665" s="3">
        <v>0.16</v>
      </c>
      <c r="AE665">
        <v>0</v>
      </c>
      <c r="AF665" s="2" t="str">
        <f t="shared" si="142"/>
        <v>Non-US</v>
      </c>
      <c r="AG665" s="2">
        <v>4</v>
      </c>
      <c r="AH665" s="2">
        <v>1</v>
      </c>
      <c r="AI665" s="2">
        <f t="shared" si="191"/>
        <v>3.2903225806451615</v>
      </c>
      <c r="AJ665" s="2">
        <f t="shared" si="192"/>
        <v>1.048</v>
      </c>
      <c r="AK665" s="2" t="s">
        <v>112</v>
      </c>
      <c r="AL665" s="2">
        <v>40</v>
      </c>
      <c r="AM665" s="2" t="s">
        <v>140</v>
      </c>
      <c r="AN665" s="2" t="s">
        <v>364</v>
      </c>
      <c r="AO665" s="2">
        <v>0.78700000000000003</v>
      </c>
    </row>
    <row r="666" spans="1:41" s="2" customFormat="1" ht="15.6">
      <c r="A666">
        <v>14</v>
      </c>
      <c r="B666" s="2" t="s">
        <v>363</v>
      </c>
      <c r="C666" s="2" t="s">
        <v>362</v>
      </c>
      <c r="D666" s="3"/>
      <c r="E666" s="3">
        <f t="shared" si="185"/>
        <v>34.659090909090914</v>
      </c>
      <c r="F666">
        <v>2023</v>
      </c>
      <c r="G666">
        <f t="shared" si="193"/>
        <v>2</v>
      </c>
      <c r="H666" s="2">
        <v>0.28000000000000003</v>
      </c>
      <c r="I666" s="2">
        <v>0.61</v>
      </c>
      <c r="J666" s="2">
        <f t="shared" si="186"/>
        <v>176</v>
      </c>
      <c r="K666" s="2">
        <v>41</v>
      </c>
      <c r="L666" s="2">
        <v>3</v>
      </c>
      <c r="M666" s="12">
        <f t="shared" si="187"/>
        <v>0.49233458707602862</v>
      </c>
      <c r="N666" s="2">
        <f t="shared" si="184"/>
        <v>5.2890033166812497E-2</v>
      </c>
      <c r="O666" s="2">
        <f t="shared" si="188"/>
        <v>0.70166558065507856</v>
      </c>
      <c r="P666" s="2" t="s">
        <v>727</v>
      </c>
      <c r="S666" s="2">
        <f t="shared" si="189"/>
        <v>3.9677614678899062</v>
      </c>
      <c r="W666" s="2">
        <f t="shared" si="190"/>
        <v>42.185483870967744</v>
      </c>
      <c r="Y666" s="2">
        <v>2019</v>
      </c>
      <c r="Z666">
        <f>2025-AVERAGE($Y$517:$Y$692)</f>
        <v>11.48863636363626</v>
      </c>
      <c r="AA666" s="2" t="s">
        <v>261</v>
      </c>
      <c r="AB666" s="2">
        <v>1.7344700393606401E-3</v>
      </c>
      <c r="AC666" s="2" t="s">
        <v>261</v>
      </c>
      <c r="AD666" s="3" t="s">
        <v>261</v>
      </c>
      <c r="AE666">
        <v>0</v>
      </c>
      <c r="AF666" s="2" t="str">
        <f t="shared" si="142"/>
        <v>Non-US</v>
      </c>
      <c r="AI666" s="2">
        <f t="shared" si="191"/>
        <v>3.2903225806451615</v>
      </c>
      <c r="AJ666" s="2">
        <f t="shared" si="192"/>
        <v>1.048</v>
      </c>
      <c r="AK666" s="2" t="s">
        <v>112</v>
      </c>
      <c r="AL666" s="2">
        <v>40</v>
      </c>
      <c r="AM666" s="2" t="s">
        <v>140</v>
      </c>
      <c r="AN666" s="2" t="s">
        <v>364</v>
      </c>
      <c r="AO666" s="2">
        <v>0.78700000000000003</v>
      </c>
    </row>
    <row r="667" spans="1:41" ht="15.6">
      <c r="A667">
        <v>14</v>
      </c>
      <c r="B667" t="s">
        <v>363</v>
      </c>
      <c r="C667" t="s">
        <v>362</v>
      </c>
      <c r="E667" s="3">
        <f t="shared" si="185"/>
        <v>34.659090909090914</v>
      </c>
      <c r="F667">
        <v>2023</v>
      </c>
      <c r="G667">
        <f t="shared" si="193"/>
        <v>2</v>
      </c>
      <c r="H667">
        <v>0.28000000000000003</v>
      </c>
      <c r="I667">
        <v>0.61</v>
      </c>
      <c r="J667">
        <f t="shared" si="186"/>
        <v>176</v>
      </c>
      <c r="K667">
        <v>41</v>
      </c>
      <c r="L667">
        <v>3</v>
      </c>
      <c r="M667" s="12">
        <f t="shared" si="187"/>
        <v>0.49233458707602862</v>
      </c>
      <c r="N667">
        <f t="shared" si="184"/>
        <v>5.2890033166812497E-2</v>
      </c>
      <c r="O667">
        <f t="shared" si="188"/>
        <v>0.70166558065507856</v>
      </c>
      <c r="P667" t="s">
        <v>617</v>
      </c>
      <c r="Q667" t="s">
        <v>758</v>
      </c>
      <c r="R667">
        <v>1.5009999999999999</v>
      </c>
      <c r="S667">
        <f t="shared" si="189"/>
        <v>3.9677614678899062</v>
      </c>
      <c r="U667">
        <v>46</v>
      </c>
      <c r="V667" t="s">
        <v>755</v>
      </c>
      <c r="W667">
        <f t="shared" si="190"/>
        <v>42.185483870967744</v>
      </c>
      <c r="Y667">
        <v>2018</v>
      </c>
      <c r="Z667">
        <f>2025-AVERAGE($Y$517:$Y$692)</f>
        <v>11.48863636363626</v>
      </c>
      <c r="AA667">
        <v>0.39381444463444398</v>
      </c>
      <c r="AB667">
        <v>6.2099407029401599E-7</v>
      </c>
      <c r="AC667">
        <v>0.94999999999999896</v>
      </c>
      <c r="AD667" s="3">
        <v>1.1399999999999999</v>
      </c>
      <c r="AE667">
        <v>0</v>
      </c>
      <c r="AF667" t="str">
        <f t="shared" si="142"/>
        <v>Non-US</v>
      </c>
      <c r="AG667">
        <v>4</v>
      </c>
      <c r="AH667">
        <v>1</v>
      </c>
      <c r="AI667">
        <f t="shared" si="191"/>
        <v>3.2903225806451615</v>
      </c>
      <c r="AJ667">
        <f t="shared" si="192"/>
        <v>1.048</v>
      </c>
      <c r="AK667" t="s">
        <v>112</v>
      </c>
      <c r="AL667">
        <v>40</v>
      </c>
      <c r="AM667" t="s">
        <v>140</v>
      </c>
      <c r="AN667" t="s">
        <v>364</v>
      </c>
      <c r="AO667">
        <v>0.78700000000000003</v>
      </c>
    </row>
    <row r="668" spans="1:41" ht="15.6">
      <c r="A668">
        <v>14</v>
      </c>
      <c r="B668" t="s">
        <v>363</v>
      </c>
      <c r="C668" t="s">
        <v>362</v>
      </c>
      <c r="E668" s="3">
        <f t="shared" si="185"/>
        <v>34.659090909090914</v>
      </c>
      <c r="F668">
        <v>2023</v>
      </c>
      <c r="G668">
        <f t="shared" si="193"/>
        <v>2</v>
      </c>
      <c r="H668">
        <v>0.28000000000000003</v>
      </c>
      <c r="I668">
        <v>0.61</v>
      </c>
      <c r="J668">
        <f t="shared" si="186"/>
        <v>176</v>
      </c>
      <c r="K668">
        <v>41</v>
      </c>
      <c r="L668">
        <v>3</v>
      </c>
      <c r="M668" s="12">
        <f t="shared" si="187"/>
        <v>0.49233458707602862</v>
      </c>
      <c r="N668">
        <f t="shared" si="184"/>
        <v>5.2890033166812497E-2</v>
      </c>
      <c r="O668">
        <f t="shared" si="188"/>
        <v>0.70166558065507856</v>
      </c>
      <c r="P668" t="s">
        <v>618</v>
      </c>
      <c r="S668">
        <f t="shared" si="189"/>
        <v>3.9677614678899062</v>
      </c>
      <c r="W668">
        <f t="shared" si="190"/>
        <v>42.185483870967744</v>
      </c>
      <c r="Y668">
        <v>2018</v>
      </c>
      <c r="Z668">
        <f>2025-AVERAGE($Y$517:$Y$692)</f>
        <v>11.48863636363626</v>
      </c>
      <c r="AA668">
        <v>0.46557043290203098</v>
      </c>
      <c r="AB668">
        <v>0.121273607571615</v>
      </c>
      <c r="AC668" t="s">
        <v>261</v>
      </c>
      <c r="AD668" s="3">
        <v>0.1</v>
      </c>
      <c r="AE668">
        <v>0</v>
      </c>
      <c r="AF668" t="str">
        <f t="shared" si="142"/>
        <v>Non-US</v>
      </c>
      <c r="AI668">
        <f t="shared" si="191"/>
        <v>3.2903225806451615</v>
      </c>
      <c r="AJ668">
        <f t="shared" si="192"/>
        <v>1.048</v>
      </c>
      <c r="AK668" t="s">
        <v>112</v>
      </c>
      <c r="AL668">
        <v>40</v>
      </c>
      <c r="AM668" t="s">
        <v>140</v>
      </c>
      <c r="AN668" t="s">
        <v>364</v>
      </c>
      <c r="AO668">
        <v>0.78700000000000003</v>
      </c>
    </row>
    <row r="669" spans="1:41" ht="15.6">
      <c r="A669">
        <v>14</v>
      </c>
      <c r="B669" t="s">
        <v>363</v>
      </c>
      <c r="C669" t="s">
        <v>362</v>
      </c>
      <c r="E669" s="3">
        <f t="shared" si="185"/>
        <v>34.659090909090914</v>
      </c>
      <c r="F669">
        <v>2023</v>
      </c>
      <c r="G669">
        <f t="shared" si="193"/>
        <v>2</v>
      </c>
      <c r="H669">
        <v>0.28000000000000003</v>
      </c>
      <c r="I669">
        <v>0.61</v>
      </c>
      <c r="J669">
        <f t="shared" si="186"/>
        <v>176</v>
      </c>
      <c r="K669">
        <v>41</v>
      </c>
      <c r="L669">
        <v>3</v>
      </c>
      <c r="M669" s="12">
        <f t="shared" si="187"/>
        <v>0.49233458707602862</v>
      </c>
      <c r="N669">
        <f t="shared" si="184"/>
        <v>5.2890033166812497E-2</v>
      </c>
      <c r="O669">
        <f t="shared" si="188"/>
        <v>0.70166558065507856</v>
      </c>
      <c r="P669" t="s">
        <v>728</v>
      </c>
      <c r="Q669" t="s">
        <v>760</v>
      </c>
      <c r="R669">
        <v>2.8740000000000001</v>
      </c>
      <c r="S669">
        <f t="shared" si="189"/>
        <v>3.9677614678899062</v>
      </c>
      <c r="U669">
        <v>35</v>
      </c>
      <c r="V669" t="s">
        <v>138</v>
      </c>
      <c r="W669">
        <f t="shared" si="190"/>
        <v>42.185483870967744</v>
      </c>
      <c r="Y669">
        <v>2021</v>
      </c>
      <c r="Z669">
        <f>2025-AVERAGE($Y$517:$Y$692)</f>
        <v>11.48863636363626</v>
      </c>
      <c r="AA669">
        <v>1.2418183364391201E-2</v>
      </c>
      <c r="AB669">
        <v>6.10772845063366E-29</v>
      </c>
      <c r="AC669">
        <v>1.32</v>
      </c>
      <c r="AD669" s="3">
        <v>0.9</v>
      </c>
      <c r="AE669">
        <v>0</v>
      </c>
      <c r="AF669" t="str">
        <f t="shared" si="142"/>
        <v>Non-US</v>
      </c>
      <c r="AG669">
        <v>5</v>
      </c>
      <c r="AH669">
        <v>1</v>
      </c>
      <c r="AI669">
        <f t="shared" si="191"/>
        <v>3.2903225806451615</v>
      </c>
      <c r="AJ669">
        <f t="shared" si="192"/>
        <v>1.048</v>
      </c>
      <c r="AK669" t="s">
        <v>112</v>
      </c>
      <c r="AL669">
        <v>40</v>
      </c>
      <c r="AM669" t="s">
        <v>140</v>
      </c>
      <c r="AN669" t="s">
        <v>364</v>
      </c>
      <c r="AO669">
        <v>0.78700000000000003</v>
      </c>
    </row>
    <row r="670" spans="1:41" ht="15.6">
      <c r="A670">
        <v>14</v>
      </c>
      <c r="B670" t="s">
        <v>363</v>
      </c>
      <c r="C670" t="s">
        <v>362</v>
      </c>
      <c r="E670" s="3">
        <f t="shared" si="185"/>
        <v>34.659090909090914</v>
      </c>
      <c r="F670">
        <v>2023</v>
      </c>
      <c r="G670">
        <f t="shared" si="193"/>
        <v>2</v>
      </c>
      <c r="H670">
        <v>0.28000000000000003</v>
      </c>
      <c r="I670">
        <v>0.61</v>
      </c>
      <c r="J670">
        <f t="shared" si="186"/>
        <v>176</v>
      </c>
      <c r="K670">
        <v>41</v>
      </c>
      <c r="L670">
        <v>3</v>
      </c>
      <c r="M670" s="12">
        <f t="shared" si="187"/>
        <v>0.49233458707602862</v>
      </c>
      <c r="N670">
        <f t="shared" si="184"/>
        <v>5.2890033166812497E-2</v>
      </c>
      <c r="O670">
        <f t="shared" si="188"/>
        <v>0.70166558065507856</v>
      </c>
      <c r="P670" t="s">
        <v>619</v>
      </c>
      <c r="Q670" t="s">
        <v>527</v>
      </c>
      <c r="R670">
        <v>4.1280000000000001</v>
      </c>
      <c r="S670">
        <f t="shared" si="189"/>
        <v>3.9677614678899062</v>
      </c>
      <c r="U670">
        <v>24</v>
      </c>
      <c r="V670" t="s">
        <v>138</v>
      </c>
      <c r="W670">
        <f t="shared" si="190"/>
        <v>42.185483870967744</v>
      </c>
      <c r="Y670">
        <v>2017</v>
      </c>
      <c r="Z670">
        <f>2025-AVERAGE($Y$517:$Y$692)</f>
        <v>11.48863636363626</v>
      </c>
      <c r="AA670">
        <v>0.92439243345079403</v>
      </c>
      <c r="AB670" t="s">
        <v>261</v>
      </c>
      <c r="AC670">
        <v>0.34</v>
      </c>
      <c r="AD670" s="3">
        <v>0.36609999999999998</v>
      </c>
      <c r="AE670">
        <v>0</v>
      </c>
      <c r="AF670" t="str">
        <f t="shared" si="142"/>
        <v>Non-US</v>
      </c>
      <c r="AG670">
        <v>1</v>
      </c>
      <c r="AH670">
        <v>1</v>
      </c>
      <c r="AI670">
        <f t="shared" si="191"/>
        <v>3.2903225806451615</v>
      </c>
      <c r="AJ670">
        <f t="shared" si="192"/>
        <v>1.048</v>
      </c>
      <c r="AK670" t="s">
        <v>112</v>
      </c>
      <c r="AL670">
        <v>40</v>
      </c>
      <c r="AM670" t="s">
        <v>140</v>
      </c>
      <c r="AN670" t="s">
        <v>364</v>
      </c>
      <c r="AO670">
        <v>0.78700000000000003</v>
      </c>
    </row>
    <row r="671" spans="1:41" ht="15.6">
      <c r="A671">
        <v>14</v>
      </c>
      <c r="B671" t="s">
        <v>363</v>
      </c>
      <c r="C671" t="s">
        <v>362</v>
      </c>
      <c r="E671" s="3">
        <f t="shared" si="185"/>
        <v>34.659090909090914</v>
      </c>
      <c r="F671">
        <v>2023</v>
      </c>
      <c r="G671">
        <f t="shared" si="193"/>
        <v>2</v>
      </c>
      <c r="H671">
        <v>0.28000000000000003</v>
      </c>
      <c r="I671">
        <v>0.61</v>
      </c>
      <c r="J671">
        <f t="shared" si="186"/>
        <v>176</v>
      </c>
      <c r="K671">
        <v>41</v>
      </c>
      <c r="L671">
        <v>3</v>
      </c>
      <c r="M671" s="12">
        <f t="shared" si="187"/>
        <v>0.49233458707602862</v>
      </c>
      <c r="N671">
        <f t="shared" si="184"/>
        <v>5.2890033166812497E-2</v>
      </c>
      <c r="O671">
        <f t="shared" si="188"/>
        <v>0.70166558065507856</v>
      </c>
      <c r="P671" t="s">
        <v>729</v>
      </c>
      <c r="Q671" t="s">
        <v>527</v>
      </c>
      <c r="R671">
        <v>3.3029999999999999</v>
      </c>
      <c r="S671">
        <f t="shared" si="189"/>
        <v>3.9677614678899062</v>
      </c>
      <c r="U671">
        <v>12</v>
      </c>
      <c r="V671" t="s">
        <v>138</v>
      </c>
      <c r="W671">
        <f t="shared" si="190"/>
        <v>42.185483870967744</v>
      </c>
      <c r="Y671">
        <v>2019</v>
      </c>
      <c r="Z671">
        <f>2025-AVERAGE($Y$517:$Y$692)</f>
        <v>11.48863636363626</v>
      </c>
      <c r="AA671">
        <v>2.8381717973996599E-2</v>
      </c>
      <c r="AB671">
        <v>3.28644168173073E-9</v>
      </c>
      <c r="AC671">
        <v>0.86873699999999898</v>
      </c>
      <c r="AD671" s="3">
        <v>1.3452379999999999</v>
      </c>
      <c r="AE671">
        <v>0</v>
      </c>
      <c r="AF671" t="str">
        <f t="shared" si="142"/>
        <v>Non-US</v>
      </c>
      <c r="AG671">
        <v>3</v>
      </c>
      <c r="AH671">
        <v>1</v>
      </c>
      <c r="AI671">
        <f t="shared" si="191"/>
        <v>3.2903225806451615</v>
      </c>
      <c r="AJ671">
        <f t="shared" si="192"/>
        <v>1.048</v>
      </c>
      <c r="AK671" t="s">
        <v>112</v>
      </c>
      <c r="AL671">
        <v>40</v>
      </c>
      <c r="AM671" t="s">
        <v>140</v>
      </c>
      <c r="AN671" t="s">
        <v>364</v>
      </c>
      <c r="AO671">
        <v>0.78700000000000003</v>
      </c>
    </row>
    <row r="672" spans="1:41" ht="15.6">
      <c r="A672">
        <v>14</v>
      </c>
      <c r="B672" t="s">
        <v>363</v>
      </c>
      <c r="C672" t="s">
        <v>362</v>
      </c>
      <c r="E672" s="3">
        <f t="shared" si="185"/>
        <v>34.659090909090914</v>
      </c>
      <c r="F672">
        <v>2023</v>
      </c>
      <c r="G672">
        <f t="shared" si="193"/>
        <v>2</v>
      </c>
      <c r="H672">
        <v>0.28000000000000003</v>
      </c>
      <c r="I672">
        <v>0.61</v>
      </c>
      <c r="J672">
        <f t="shared" si="186"/>
        <v>176</v>
      </c>
      <c r="K672">
        <v>41</v>
      </c>
      <c r="L672">
        <v>3</v>
      </c>
      <c r="M672" s="12">
        <f t="shared" si="187"/>
        <v>0.49233458707602862</v>
      </c>
      <c r="N672">
        <f t="shared" si="184"/>
        <v>5.2890033166812497E-2</v>
      </c>
      <c r="O672">
        <f t="shared" si="188"/>
        <v>0.70166558065507856</v>
      </c>
      <c r="P672" t="s">
        <v>730</v>
      </c>
      <c r="Q672" t="s">
        <v>527</v>
      </c>
      <c r="R672">
        <v>4.4050000000000002</v>
      </c>
      <c r="S672">
        <f t="shared" si="189"/>
        <v>3.9677614678899062</v>
      </c>
      <c r="U672">
        <v>30</v>
      </c>
      <c r="V672" t="s">
        <v>138</v>
      </c>
      <c r="W672">
        <f t="shared" si="190"/>
        <v>42.185483870967744</v>
      </c>
      <c r="Y672">
        <v>2016</v>
      </c>
      <c r="Z672">
        <f>2025-AVERAGE($Y$517:$Y$692)</f>
        <v>11.48863636363626</v>
      </c>
      <c r="AA672" t="s">
        <v>261</v>
      </c>
      <c r="AB672" t="s">
        <v>261</v>
      </c>
      <c r="AC672" t="s">
        <v>261</v>
      </c>
      <c r="AD672" s="3" t="s">
        <v>261</v>
      </c>
      <c r="AE672">
        <v>0</v>
      </c>
      <c r="AF672" t="str">
        <f t="shared" si="142"/>
        <v>Non-US</v>
      </c>
      <c r="AG672">
        <v>3</v>
      </c>
      <c r="AH672">
        <v>1</v>
      </c>
      <c r="AI672">
        <f t="shared" si="191"/>
        <v>3.2903225806451615</v>
      </c>
      <c r="AJ672">
        <f t="shared" si="192"/>
        <v>1.048</v>
      </c>
      <c r="AK672" t="s">
        <v>112</v>
      </c>
      <c r="AL672">
        <v>40</v>
      </c>
      <c r="AM672" t="s">
        <v>140</v>
      </c>
      <c r="AN672" t="s">
        <v>364</v>
      </c>
      <c r="AO672">
        <v>0.78700000000000003</v>
      </c>
    </row>
    <row r="673" spans="1:41" ht="15.6">
      <c r="A673">
        <v>14</v>
      </c>
      <c r="B673" t="s">
        <v>363</v>
      </c>
      <c r="C673" t="s">
        <v>362</v>
      </c>
      <c r="E673" s="3">
        <f t="shared" si="185"/>
        <v>34.659090909090914</v>
      </c>
      <c r="F673">
        <v>2023</v>
      </c>
      <c r="G673">
        <f t="shared" si="193"/>
        <v>2</v>
      </c>
      <c r="H673">
        <v>0.28000000000000003</v>
      </c>
      <c r="I673">
        <v>0.61</v>
      </c>
      <c r="J673">
        <f t="shared" si="186"/>
        <v>176</v>
      </c>
      <c r="K673">
        <v>41</v>
      </c>
      <c r="L673">
        <v>3</v>
      </c>
      <c r="M673" s="12">
        <f t="shared" si="187"/>
        <v>0.49233458707602862</v>
      </c>
      <c r="N673">
        <f t="shared" si="184"/>
        <v>5.2890033166812497E-2</v>
      </c>
      <c r="O673">
        <f t="shared" si="188"/>
        <v>0.70166558065507856</v>
      </c>
      <c r="P673" t="s">
        <v>620</v>
      </c>
      <c r="Q673" t="s">
        <v>527</v>
      </c>
      <c r="R673">
        <v>4.4050000000000002</v>
      </c>
      <c r="S673">
        <f t="shared" si="189"/>
        <v>3.9677614678899062</v>
      </c>
      <c r="U673">
        <v>30</v>
      </c>
      <c r="V673" t="s">
        <v>138</v>
      </c>
      <c r="W673">
        <f t="shared" si="190"/>
        <v>42.185483870967744</v>
      </c>
      <c r="Y673">
        <v>2016</v>
      </c>
      <c r="Z673">
        <f>2025-AVERAGE($Y$517:$Y$692)</f>
        <v>11.48863636363626</v>
      </c>
      <c r="AA673">
        <v>7.9730520078665504E-2</v>
      </c>
      <c r="AB673">
        <v>1.4424108203613101E-4</v>
      </c>
      <c r="AC673" t="s">
        <v>261</v>
      </c>
      <c r="AD673" s="3">
        <v>1.02</v>
      </c>
      <c r="AE673">
        <v>0</v>
      </c>
      <c r="AF673" t="str">
        <f t="shared" si="142"/>
        <v>Non-US</v>
      </c>
      <c r="AG673">
        <v>3</v>
      </c>
      <c r="AH673">
        <v>1</v>
      </c>
      <c r="AI673">
        <f t="shared" si="191"/>
        <v>3.2903225806451615</v>
      </c>
      <c r="AJ673">
        <f t="shared" si="192"/>
        <v>1.048</v>
      </c>
      <c r="AK673" t="s">
        <v>112</v>
      </c>
      <c r="AL673">
        <v>40</v>
      </c>
      <c r="AM673" t="s">
        <v>140</v>
      </c>
      <c r="AN673" t="s">
        <v>364</v>
      </c>
      <c r="AO673">
        <v>0.78700000000000003</v>
      </c>
    </row>
    <row r="674" spans="1:41" ht="15.6">
      <c r="A674">
        <v>14</v>
      </c>
      <c r="B674" t="s">
        <v>363</v>
      </c>
      <c r="C674" t="s">
        <v>362</v>
      </c>
      <c r="E674" s="3">
        <f t="shared" si="185"/>
        <v>34.659090909090914</v>
      </c>
      <c r="F674">
        <v>2023</v>
      </c>
      <c r="G674">
        <f t="shared" si="193"/>
        <v>2</v>
      </c>
      <c r="H674">
        <v>0.28000000000000003</v>
      </c>
      <c r="I674">
        <v>0.61</v>
      </c>
      <c r="J674">
        <f t="shared" si="186"/>
        <v>176</v>
      </c>
      <c r="K674">
        <v>41</v>
      </c>
      <c r="L674">
        <v>3</v>
      </c>
      <c r="M674" s="12">
        <f t="shared" si="187"/>
        <v>0.49233458707602862</v>
      </c>
      <c r="N674">
        <f t="shared" si="184"/>
        <v>5.2890033166812497E-2</v>
      </c>
      <c r="O674">
        <f t="shared" si="188"/>
        <v>0.70166558065507856</v>
      </c>
      <c r="P674" t="s">
        <v>621</v>
      </c>
      <c r="Q674" t="s">
        <v>527</v>
      </c>
      <c r="R674">
        <v>4.4050000000000002</v>
      </c>
      <c r="S674">
        <f t="shared" si="189"/>
        <v>3.9677614678899062</v>
      </c>
      <c r="U674">
        <v>30</v>
      </c>
      <c r="V674" t="s">
        <v>138</v>
      </c>
      <c r="W674">
        <f t="shared" si="190"/>
        <v>42.185483870967744</v>
      </c>
      <c r="Y674">
        <v>2016</v>
      </c>
      <c r="Z674">
        <f>2025-AVERAGE($Y$517:$Y$692)</f>
        <v>11.48863636363626</v>
      </c>
      <c r="AA674">
        <v>0.74394495039873298</v>
      </c>
      <c r="AB674">
        <v>4.6118890165945204E-6</v>
      </c>
      <c r="AC674">
        <v>0.56999999999999995</v>
      </c>
      <c r="AD674" s="3">
        <v>0.62</v>
      </c>
      <c r="AE674">
        <v>0</v>
      </c>
      <c r="AF674" t="str">
        <f t="shared" si="142"/>
        <v>Non-US</v>
      </c>
      <c r="AG674">
        <v>3</v>
      </c>
      <c r="AH674">
        <v>1</v>
      </c>
      <c r="AI674">
        <f t="shared" si="191"/>
        <v>3.2903225806451615</v>
      </c>
      <c r="AJ674">
        <f t="shared" si="192"/>
        <v>1.048</v>
      </c>
      <c r="AK674" t="s">
        <v>112</v>
      </c>
      <c r="AL674">
        <v>40</v>
      </c>
      <c r="AM674" t="s">
        <v>140</v>
      </c>
      <c r="AN674" t="s">
        <v>364</v>
      </c>
      <c r="AO674">
        <v>0.78700000000000003</v>
      </c>
    </row>
    <row r="675" spans="1:41" ht="15.6">
      <c r="A675">
        <v>14</v>
      </c>
      <c r="B675" t="s">
        <v>363</v>
      </c>
      <c r="C675" t="s">
        <v>362</v>
      </c>
      <c r="E675" s="3">
        <f t="shared" si="185"/>
        <v>34.659090909090914</v>
      </c>
      <c r="F675">
        <v>2023</v>
      </c>
      <c r="G675">
        <f t="shared" si="193"/>
        <v>2</v>
      </c>
      <c r="H675">
        <v>0.28000000000000003</v>
      </c>
      <c r="I675">
        <v>0.61</v>
      </c>
      <c r="J675">
        <f t="shared" si="186"/>
        <v>176</v>
      </c>
      <c r="K675">
        <v>41</v>
      </c>
      <c r="L675">
        <v>3</v>
      </c>
      <c r="M675" s="12">
        <f t="shared" si="187"/>
        <v>0.49233458707602862</v>
      </c>
      <c r="N675">
        <f t="shared" si="184"/>
        <v>5.2890033166812497E-2</v>
      </c>
      <c r="O675">
        <f t="shared" si="188"/>
        <v>0.70166558065507856</v>
      </c>
      <c r="P675" t="s">
        <v>731</v>
      </c>
      <c r="Q675" t="s">
        <v>527</v>
      </c>
      <c r="R675">
        <v>4.4050000000000002</v>
      </c>
      <c r="S675">
        <f t="shared" si="189"/>
        <v>3.9677614678899062</v>
      </c>
      <c r="U675">
        <v>30</v>
      </c>
      <c r="V675" t="s">
        <v>138</v>
      </c>
      <c r="W675">
        <f t="shared" si="190"/>
        <v>42.185483870967744</v>
      </c>
      <c r="Y675">
        <v>2016</v>
      </c>
      <c r="Z675">
        <f>2025-AVERAGE($Y$517:$Y$692)</f>
        <v>11.48863636363626</v>
      </c>
      <c r="AA675">
        <v>1.39332989590457E-12</v>
      </c>
      <c r="AB675">
        <v>0.51748899243814195</v>
      </c>
      <c r="AC675" t="s">
        <v>261</v>
      </c>
      <c r="AD675" s="3">
        <v>0.25</v>
      </c>
      <c r="AE675">
        <v>0</v>
      </c>
      <c r="AF675" t="str">
        <f t="shared" si="142"/>
        <v>Non-US</v>
      </c>
      <c r="AG675">
        <v>3</v>
      </c>
      <c r="AH675">
        <v>1</v>
      </c>
      <c r="AI675">
        <f t="shared" si="191"/>
        <v>3.2903225806451615</v>
      </c>
      <c r="AJ675">
        <f t="shared" si="192"/>
        <v>1.048</v>
      </c>
      <c r="AK675" t="s">
        <v>112</v>
      </c>
      <c r="AL675">
        <v>40</v>
      </c>
      <c r="AM675" t="s">
        <v>140</v>
      </c>
      <c r="AN675" t="s">
        <v>364</v>
      </c>
      <c r="AO675">
        <v>0.78700000000000003</v>
      </c>
    </row>
    <row r="676" spans="1:41" ht="15.6">
      <c r="A676">
        <v>14</v>
      </c>
      <c r="B676" t="s">
        <v>363</v>
      </c>
      <c r="C676" t="s">
        <v>362</v>
      </c>
      <c r="E676" s="3">
        <f t="shared" si="185"/>
        <v>34.659090909090914</v>
      </c>
      <c r="F676">
        <v>2023</v>
      </c>
      <c r="G676">
        <f t="shared" si="193"/>
        <v>2</v>
      </c>
      <c r="H676">
        <v>0.28000000000000003</v>
      </c>
      <c r="I676">
        <v>0.61</v>
      </c>
      <c r="J676">
        <f t="shared" si="186"/>
        <v>176</v>
      </c>
      <c r="K676">
        <v>41</v>
      </c>
      <c r="L676">
        <v>3</v>
      </c>
      <c r="M676" s="12">
        <f t="shared" si="187"/>
        <v>0.49233458707602862</v>
      </c>
      <c r="N676">
        <f t="shared" si="184"/>
        <v>5.2890033166812497E-2</v>
      </c>
      <c r="O676">
        <f t="shared" si="188"/>
        <v>0.70166558065507856</v>
      </c>
      <c r="P676" t="s">
        <v>732</v>
      </c>
      <c r="Q676" t="s">
        <v>527</v>
      </c>
      <c r="R676">
        <v>4.4050000000000002</v>
      </c>
      <c r="S676">
        <f t="shared" si="189"/>
        <v>3.9677614678899062</v>
      </c>
      <c r="U676">
        <v>30</v>
      </c>
      <c r="V676" t="s">
        <v>138</v>
      </c>
      <c r="W676">
        <f t="shared" si="190"/>
        <v>42.185483870967744</v>
      </c>
      <c r="Y676">
        <v>2016</v>
      </c>
      <c r="Z676">
        <f>2025-AVERAGE($Y$517:$Y$692)</f>
        <v>11.48863636363626</v>
      </c>
      <c r="AA676">
        <v>1.03426416709728E-3</v>
      </c>
      <c r="AB676">
        <v>5.0688650449344501E-2</v>
      </c>
      <c r="AC676" t="s">
        <v>261</v>
      </c>
      <c r="AD676" s="3">
        <v>0.4</v>
      </c>
      <c r="AE676">
        <v>0</v>
      </c>
      <c r="AF676" t="str">
        <f t="shared" si="142"/>
        <v>Non-US</v>
      </c>
      <c r="AG676">
        <v>3</v>
      </c>
      <c r="AH676">
        <v>1</v>
      </c>
      <c r="AI676">
        <f t="shared" si="191"/>
        <v>3.2903225806451615</v>
      </c>
      <c r="AJ676">
        <f t="shared" si="192"/>
        <v>1.048</v>
      </c>
      <c r="AK676" t="s">
        <v>112</v>
      </c>
      <c r="AL676">
        <v>40</v>
      </c>
      <c r="AM676" t="s">
        <v>140</v>
      </c>
      <c r="AN676" t="s">
        <v>364</v>
      </c>
      <c r="AO676">
        <v>0.78700000000000003</v>
      </c>
    </row>
    <row r="677" spans="1:41" ht="15.6">
      <c r="A677">
        <v>14</v>
      </c>
      <c r="B677" t="s">
        <v>363</v>
      </c>
      <c r="C677" t="s">
        <v>362</v>
      </c>
      <c r="E677" s="3">
        <f t="shared" si="185"/>
        <v>34.659090909090914</v>
      </c>
      <c r="F677">
        <v>2023</v>
      </c>
      <c r="G677">
        <f t="shared" si="193"/>
        <v>2</v>
      </c>
      <c r="H677">
        <v>0.28000000000000003</v>
      </c>
      <c r="I677">
        <v>0.61</v>
      </c>
      <c r="J677">
        <f t="shared" si="186"/>
        <v>176</v>
      </c>
      <c r="K677">
        <v>41</v>
      </c>
      <c r="L677">
        <v>3</v>
      </c>
      <c r="M677" s="12">
        <f t="shared" si="187"/>
        <v>0.49233458707602862</v>
      </c>
      <c r="N677">
        <f t="shared" ref="N677:N692" si="194">$O$517/SQRT($J$517)</f>
        <v>5.2890033166812497E-2</v>
      </c>
      <c r="O677">
        <f t="shared" si="188"/>
        <v>0.70166558065507856</v>
      </c>
      <c r="P677" t="s">
        <v>622</v>
      </c>
      <c r="Q677" t="s">
        <v>529</v>
      </c>
      <c r="R677">
        <v>4.3019999999999996</v>
      </c>
      <c r="S677">
        <f t="shared" si="189"/>
        <v>3.9677614678899062</v>
      </c>
      <c r="U677">
        <v>63</v>
      </c>
      <c r="V677" t="s">
        <v>138</v>
      </c>
      <c r="W677">
        <f t="shared" si="190"/>
        <v>42.185483870967744</v>
      </c>
      <c r="Y677">
        <v>2017</v>
      </c>
      <c r="Z677">
        <f>2025-AVERAGE($Y$517:$Y$692)</f>
        <v>11.48863636363626</v>
      </c>
      <c r="AA677">
        <v>0.99382015478340002</v>
      </c>
      <c r="AB677" t="s">
        <v>261</v>
      </c>
      <c r="AC677">
        <v>0.04</v>
      </c>
      <c r="AD677" s="3">
        <v>4.3779999999999999E-2</v>
      </c>
      <c r="AE677">
        <v>0</v>
      </c>
      <c r="AF677" t="str">
        <f t="shared" si="142"/>
        <v>Non-US</v>
      </c>
      <c r="AG677">
        <v>5</v>
      </c>
      <c r="AH677">
        <v>1</v>
      </c>
      <c r="AI677">
        <f t="shared" si="191"/>
        <v>3.2903225806451615</v>
      </c>
      <c r="AJ677">
        <f t="shared" si="192"/>
        <v>1.048</v>
      </c>
      <c r="AK677" t="s">
        <v>112</v>
      </c>
      <c r="AL677">
        <v>40</v>
      </c>
      <c r="AM677" t="s">
        <v>140</v>
      </c>
      <c r="AN677" t="s">
        <v>364</v>
      </c>
      <c r="AO677">
        <v>0.78700000000000003</v>
      </c>
    </row>
    <row r="678" spans="1:41" ht="15.6">
      <c r="A678">
        <v>14</v>
      </c>
      <c r="B678" t="s">
        <v>363</v>
      </c>
      <c r="C678" t="s">
        <v>362</v>
      </c>
      <c r="E678" s="3">
        <f t="shared" si="185"/>
        <v>34.659090909090914</v>
      </c>
      <c r="F678">
        <v>2023</v>
      </c>
      <c r="G678">
        <f t="shared" si="193"/>
        <v>2</v>
      </c>
      <c r="H678">
        <v>0.28000000000000003</v>
      </c>
      <c r="I678">
        <v>0.61</v>
      </c>
      <c r="J678">
        <f t="shared" si="186"/>
        <v>176</v>
      </c>
      <c r="K678">
        <v>41</v>
      </c>
      <c r="L678">
        <v>3</v>
      </c>
      <c r="M678" s="12">
        <f t="shared" si="187"/>
        <v>0.49233458707602862</v>
      </c>
      <c r="N678">
        <f t="shared" si="194"/>
        <v>5.2890033166812497E-2</v>
      </c>
      <c r="O678">
        <f t="shared" si="188"/>
        <v>0.70166558065507856</v>
      </c>
      <c r="P678" t="s">
        <v>623</v>
      </c>
      <c r="Q678" t="s">
        <v>527</v>
      </c>
      <c r="R678">
        <v>3.3029999999999999</v>
      </c>
      <c r="S678">
        <f t="shared" si="189"/>
        <v>3.9677614678899062</v>
      </c>
      <c r="U678">
        <v>38</v>
      </c>
      <c r="V678" t="s">
        <v>138</v>
      </c>
      <c r="W678">
        <f t="shared" si="190"/>
        <v>42.185483870967744</v>
      </c>
      <c r="Y678">
        <v>2019</v>
      </c>
      <c r="Z678">
        <f>2025-AVERAGE($Y$517:$Y$692)</f>
        <v>11.48863636363626</v>
      </c>
      <c r="AA678">
        <v>8.5157637972961706E-2</v>
      </c>
      <c r="AB678">
        <v>1.66062956998421E-6</v>
      </c>
      <c r="AC678">
        <v>10.42</v>
      </c>
      <c r="AD678" s="3">
        <v>0.4</v>
      </c>
      <c r="AE678">
        <v>0</v>
      </c>
      <c r="AF678" t="str">
        <f t="shared" si="142"/>
        <v>Non-US</v>
      </c>
      <c r="AG678">
        <v>2</v>
      </c>
      <c r="AH678">
        <v>1</v>
      </c>
      <c r="AI678">
        <f t="shared" si="191"/>
        <v>3.2903225806451615</v>
      </c>
      <c r="AJ678">
        <f t="shared" si="192"/>
        <v>1.048</v>
      </c>
      <c r="AK678" t="s">
        <v>112</v>
      </c>
      <c r="AL678">
        <v>40</v>
      </c>
      <c r="AM678" t="s">
        <v>140</v>
      </c>
      <c r="AN678" t="s">
        <v>364</v>
      </c>
      <c r="AO678">
        <v>0.78700000000000003</v>
      </c>
    </row>
    <row r="679" spans="1:41" ht="15.6">
      <c r="A679">
        <v>14</v>
      </c>
      <c r="B679" t="s">
        <v>363</v>
      </c>
      <c r="C679" t="s">
        <v>362</v>
      </c>
      <c r="E679" s="3">
        <f t="shared" si="185"/>
        <v>34.659090909090914</v>
      </c>
      <c r="F679">
        <v>2023</v>
      </c>
      <c r="G679">
        <f t="shared" si="193"/>
        <v>2</v>
      </c>
      <c r="H679">
        <v>0.28000000000000003</v>
      </c>
      <c r="I679">
        <v>0.61</v>
      </c>
      <c r="J679">
        <f t="shared" si="186"/>
        <v>176</v>
      </c>
      <c r="K679">
        <v>41</v>
      </c>
      <c r="L679">
        <v>3</v>
      </c>
      <c r="M679" s="12">
        <f t="shared" si="187"/>
        <v>0.49233458707602862</v>
      </c>
      <c r="N679">
        <f t="shared" si="194"/>
        <v>5.2890033166812497E-2</v>
      </c>
      <c r="O679">
        <f t="shared" si="188"/>
        <v>0.70166558065507856</v>
      </c>
      <c r="P679" t="s">
        <v>624</v>
      </c>
      <c r="Q679" t="s">
        <v>527</v>
      </c>
      <c r="R679">
        <v>4.1280000000000001</v>
      </c>
      <c r="S679">
        <f t="shared" si="189"/>
        <v>3.9677614678899062</v>
      </c>
      <c r="U679">
        <v>44</v>
      </c>
      <c r="V679" t="s">
        <v>138</v>
      </c>
      <c r="W679">
        <f t="shared" si="190"/>
        <v>42.185483870967744</v>
      </c>
      <c r="Y679">
        <v>2017</v>
      </c>
      <c r="Z679">
        <f>2025-AVERAGE($Y$517:$Y$692)</f>
        <v>11.48863636363626</v>
      </c>
      <c r="AA679">
        <v>9.1318978382168806E-2</v>
      </c>
      <c r="AB679" t="s">
        <v>261</v>
      </c>
      <c r="AC679">
        <v>0.69041095890410897</v>
      </c>
      <c r="AD679" s="3">
        <v>0.72643979057591601</v>
      </c>
      <c r="AE679">
        <v>0</v>
      </c>
      <c r="AF679" t="str">
        <f t="shared" si="142"/>
        <v>Non-US</v>
      </c>
      <c r="AG679">
        <v>6</v>
      </c>
      <c r="AH679">
        <v>1</v>
      </c>
      <c r="AI679">
        <f t="shared" si="191"/>
        <v>3.2903225806451615</v>
      </c>
      <c r="AJ679">
        <f t="shared" si="192"/>
        <v>1.048</v>
      </c>
      <c r="AK679" t="s">
        <v>112</v>
      </c>
      <c r="AL679">
        <v>40</v>
      </c>
      <c r="AM679" t="s">
        <v>140</v>
      </c>
      <c r="AN679" t="s">
        <v>364</v>
      </c>
      <c r="AO679">
        <v>0.78700000000000003</v>
      </c>
    </row>
    <row r="680" spans="1:41" ht="15.6">
      <c r="A680">
        <v>14</v>
      </c>
      <c r="B680" t="s">
        <v>363</v>
      </c>
      <c r="C680" t="s">
        <v>362</v>
      </c>
      <c r="E680" s="3">
        <f t="shared" si="185"/>
        <v>34.659090909090914</v>
      </c>
      <c r="F680">
        <v>2023</v>
      </c>
      <c r="G680">
        <f t="shared" si="193"/>
        <v>2</v>
      </c>
      <c r="H680">
        <v>0.28000000000000003</v>
      </c>
      <c r="I680">
        <v>0.61</v>
      </c>
      <c r="J680">
        <f t="shared" si="186"/>
        <v>176</v>
      </c>
      <c r="K680">
        <v>41</v>
      </c>
      <c r="L680">
        <v>3</v>
      </c>
      <c r="M680" s="12">
        <f t="shared" si="187"/>
        <v>0.49233458707602862</v>
      </c>
      <c r="N680">
        <f t="shared" si="194"/>
        <v>5.2890033166812497E-2</v>
      </c>
      <c r="O680">
        <f t="shared" si="188"/>
        <v>0.70166558065507856</v>
      </c>
      <c r="P680" t="s">
        <v>733</v>
      </c>
      <c r="Q680" t="s">
        <v>527</v>
      </c>
      <c r="R680">
        <v>4.3460000000000001</v>
      </c>
      <c r="S680">
        <f t="shared" si="189"/>
        <v>3.9677614678899062</v>
      </c>
      <c r="U680">
        <v>44</v>
      </c>
      <c r="V680" t="s">
        <v>138</v>
      </c>
      <c r="W680">
        <f t="shared" si="190"/>
        <v>42.185483870967744</v>
      </c>
      <c r="Y680">
        <v>2015</v>
      </c>
      <c r="Z680">
        <f>2025-AVERAGE($Y$517:$Y$692)</f>
        <v>11.48863636363626</v>
      </c>
      <c r="AA680">
        <v>9.63883528548592E-9</v>
      </c>
      <c r="AB680">
        <v>0.52101832721401098</v>
      </c>
      <c r="AC680">
        <v>0.64</v>
      </c>
      <c r="AD680" s="3">
        <v>-7.0000000000000201E-2</v>
      </c>
      <c r="AE680">
        <v>0</v>
      </c>
      <c r="AF680" t="str">
        <f t="shared" si="142"/>
        <v>Non-US</v>
      </c>
      <c r="AG680">
        <v>3</v>
      </c>
      <c r="AH680">
        <v>1</v>
      </c>
      <c r="AI680">
        <f t="shared" si="191"/>
        <v>3.2903225806451615</v>
      </c>
      <c r="AJ680">
        <f t="shared" si="192"/>
        <v>1.048</v>
      </c>
      <c r="AK680" t="s">
        <v>112</v>
      </c>
      <c r="AL680">
        <v>40</v>
      </c>
      <c r="AM680" t="s">
        <v>140</v>
      </c>
      <c r="AN680" t="s">
        <v>364</v>
      </c>
      <c r="AO680">
        <v>0.78700000000000003</v>
      </c>
    </row>
    <row r="681" spans="1:41" ht="15.6">
      <c r="A681">
        <v>14</v>
      </c>
      <c r="B681" t="s">
        <v>363</v>
      </c>
      <c r="C681" t="s">
        <v>362</v>
      </c>
      <c r="E681" s="3">
        <f t="shared" si="185"/>
        <v>34.659090909090914</v>
      </c>
      <c r="F681">
        <v>2023</v>
      </c>
      <c r="G681">
        <f t="shared" si="193"/>
        <v>2</v>
      </c>
      <c r="H681">
        <v>0.28000000000000003</v>
      </c>
      <c r="I681">
        <v>0.61</v>
      </c>
      <c r="J681">
        <f t="shared" si="186"/>
        <v>176</v>
      </c>
      <c r="K681">
        <v>41</v>
      </c>
      <c r="L681">
        <v>3</v>
      </c>
      <c r="M681" s="12">
        <f t="shared" si="187"/>
        <v>0.49233458707602862</v>
      </c>
      <c r="N681">
        <f t="shared" si="194"/>
        <v>5.2890033166812497E-2</v>
      </c>
      <c r="O681">
        <f t="shared" si="188"/>
        <v>0.70166558065507856</v>
      </c>
      <c r="P681" t="s">
        <v>734</v>
      </c>
      <c r="Q681" t="s">
        <v>527</v>
      </c>
      <c r="R681">
        <v>4.3460000000000001</v>
      </c>
      <c r="S681">
        <f t="shared" si="189"/>
        <v>3.9677614678899062</v>
      </c>
      <c r="U681">
        <v>44</v>
      </c>
      <c r="V681" t="s">
        <v>138</v>
      </c>
      <c r="W681">
        <f t="shared" si="190"/>
        <v>42.185483870967744</v>
      </c>
      <c r="Y681">
        <v>2015</v>
      </c>
      <c r="Z681">
        <f>2025-AVERAGE($Y$517:$Y$692)</f>
        <v>11.48863636363626</v>
      </c>
      <c r="AA681" t="s">
        <v>261</v>
      </c>
      <c r="AB681" t="s">
        <v>261</v>
      </c>
      <c r="AC681" t="s">
        <v>261</v>
      </c>
      <c r="AD681" s="3" t="s">
        <v>261</v>
      </c>
      <c r="AE681">
        <v>0</v>
      </c>
      <c r="AF681" t="str">
        <f t="shared" si="142"/>
        <v>Non-US</v>
      </c>
      <c r="AG681">
        <v>3</v>
      </c>
      <c r="AH681">
        <v>1</v>
      </c>
      <c r="AI681">
        <f t="shared" si="191"/>
        <v>3.2903225806451615</v>
      </c>
      <c r="AJ681">
        <f t="shared" si="192"/>
        <v>1.048</v>
      </c>
      <c r="AK681" t="s">
        <v>112</v>
      </c>
      <c r="AL681">
        <v>40</v>
      </c>
      <c r="AM681" t="s">
        <v>140</v>
      </c>
      <c r="AN681" t="s">
        <v>364</v>
      </c>
      <c r="AO681">
        <v>0.78700000000000003</v>
      </c>
    </row>
    <row r="682" spans="1:41" ht="15.6">
      <c r="A682">
        <v>14</v>
      </c>
      <c r="B682" t="s">
        <v>363</v>
      </c>
      <c r="C682" t="s">
        <v>362</v>
      </c>
      <c r="E682" s="3">
        <f t="shared" si="185"/>
        <v>34.659090909090914</v>
      </c>
      <c r="F682">
        <v>2023</v>
      </c>
      <c r="G682">
        <f t="shared" si="193"/>
        <v>2</v>
      </c>
      <c r="H682">
        <v>0.28000000000000003</v>
      </c>
      <c r="I682">
        <v>0.61</v>
      </c>
      <c r="J682">
        <f t="shared" si="186"/>
        <v>176</v>
      </c>
      <c r="K682">
        <v>41</v>
      </c>
      <c r="L682">
        <v>3</v>
      </c>
      <c r="M682" s="12">
        <f t="shared" si="187"/>
        <v>0.49233458707602862</v>
      </c>
      <c r="N682">
        <f t="shared" si="194"/>
        <v>5.2890033166812497E-2</v>
      </c>
      <c r="O682">
        <f t="shared" si="188"/>
        <v>0.70166558065507856</v>
      </c>
      <c r="P682" t="s">
        <v>735</v>
      </c>
      <c r="Q682" t="s">
        <v>527</v>
      </c>
      <c r="R682">
        <v>4.3460000000000001</v>
      </c>
      <c r="S682">
        <f t="shared" si="189"/>
        <v>3.9677614678899062</v>
      </c>
      <c r="U682">
        <v>35</v>
      </c>
      <c r="V682" t="s">
        <v>138</v>
      </c>
      <c r="W682">
        <f t="shared" si="190"/>
        <v>42.185483870967744</v>
      </c>
      <c r="Y682">
        <v>2015</v>
      </c>
      <c r="Z682">
        <f>2025-AVERAGE($Y$517:$Y$692)</f>
        <v>11.48863636363626</v>
      </c>
      <c r="AA682">
        <v>0</v>
      </c>
      <c r="AB682">
        <v>2.3309284709522198E-3</v>
      </c>
      <c r="AC682" t="s">
        <v>261</v>
      </c>
      <c r="AD682" s="3">
        <v>0.22</v>
      </c>
      <c r="AE682">
        <v>0</v>
      </c>
      <c r="AF682" t="str">
        <f t="shared" si="142"/>
        <v>Non-US</v>
      </c>
      <c r="AG682">
        <v>3</v>
      </c>
      <c r="AH682">
        <v>1</v>
      </c>
      <c r="AI682">
        <f t="shared" si="191"/>
        <v>3.2903225806451615</v>
      </c>
      <c r="AJ682">
        <f t="shared" si="192"/>
        <v>1.048</v>
      </c>
      <c r="AK682" t="s">
        <v>112</v>
      </c>
      <c r="AL682">
        <v>40</v>
      </c>
      <c r="AM682" t="s">
        <v>140</v>
      </c>
      <c r="AN682" t="s">
        <v>364</v>
      </c>
      <c r="AO682">
        <v>0.78700000000000003</v>
      </c>
    </row>
    <row r="683" spans="1:41" ht="15.6">
      <c r="A683">
        <v>14</v>
      </c>
      <c r="B683" t="s">
        <v>363</v>
      </c>
      <c r="C683" t="s">
        <v>362</v>
      </c>
      <c r="E683" s="3">
        <f t="shared" si="185"/>
        <v>34.659090909090914</v>
      </c>
      <c r="F683">
        <v>2023</v>
      </c>
      <c r="G683">
        <f t="shared" si="193"/>
        <v>2</v>
      </c>
      <c r="H683">
        <v>0.28000000000000003</v>
      </c>
      <c r="I683">
        <v>0.61</v>
      </c>
      <c r="J683">
        <f t="shared" si="186"/>
        <v>176</v>
      </c>
      <c r="K683">
        <v>41</v>
      </c>
      <c r="L683">
        <v>3</v>
      </c>
      <c r="M683" s="12">
        <f t="shared" si="187"/>
        <v>0.49233458707602862</v>
      </c>
      <c r="N683">
        <f t="shared" si="194"/>
        <v>5.2890033166812497E-2</v>
      </c>
      <c r="O683">
        <f t="shared" si="188"/>
        <v>0.70166558065507856</v>
      </c>
      <c r="P683" t="s">
        <v>736</v>
      </c>
      <c r="Q683" t="s">
        <v>527</v>
      </c>
      <c r="R683">
        <v>4.4050000000000002</v>
      </c>
      <c r="S683">
        <f t="shared" si="189"/>
        <v>3.9677614678899062</v>
      </c>
      <c r="U683">
        <v>30</v>
      </c>
      <c r="V683" t="s">
        <v>138</v>
      </c>
      <c r="W683">
        <f t="shared" si="190"/>
        <v>42.185483870967744</v>
      </c>
      <c r="Y683">
        <v>2016</v>
      </c>
      <c r="Z683">
        <f>2025-AVERAGE($Y$517:$Y$692)</f>
        <v>11.48863636363626</v>
      </c>
      <c r="AA683" t="s">
        <v>261</v>
      </c>
      <c r="AB683" t="s">
        <v>261</v>
      </c>
      <c r="AC683" t="s">
        <v>261</v>
      </c>
      <c r="AD683" s="3" t="s">
        <v>261</v>
      </c>
      <c r="AE683">
        <v>0</v>
      </c>
      <c r="AF683" t="str">
        <f t="shared" si="142"/>
        <v>Non-US</v>
      </c>
      <c r="AG683">
        <v>2</v>
      </c>
      <c r="AH683">
        <v>1</v>
      </c>
      <c r="AI683">
        <f t="shared" si="191"/>
        <v>3.2903225806451615</v>
      </c>
      <c r="AJ683">
        <f t="shared" si="192"/>
        <v>1.048</v>
      </c>
      <c r="AK683" t="s">
        <v>112</v>
      </c>
      <c r="AL683">
        <v>40</v>
      </c>
      <c r="AM683" t="s">
        <v>140</v>
      </c>
      <c r="AN683" t="s">
        <v>364</v>
      </c>
      <c r="AO683">
        <v>0.78700000000000003</v>
      </c>
    </row>
    <row r="684" spans="1:41" ht="15.6">
      <c r="A684">
        <v>14</v>
      </c>
      <c r="B684" t="s">
        <v>363</v>
      </c>
      <c r="C684" t="s">
        <v>362</v>
      </c>
      <c r="E684" s="3">
        <f t="shared" si="185"/>
        <v>34.659090909090914</v>
      </c>
      <c r="F684">
        <v>2023</v>
      </c>
      <c r="G684">
        <f t="shared" si="193"/>
        <v>2</v>
      </c>
      <c r="H684">
        <v>0.28000000000000003</v>
      </c>
      <c r="I684">
        <v>0.61</v>
      </c>
      <c r="J684">
        <f t="shared" si="186"/>
        <v>176</v>
      </c>
      <c r="K684">
        <v>41</v>
      </c>
      <c r="L684">
        <v>3</v>
      </c>
      <c r="M684" s="12">
        <f t="shared" si="187"/>
        <v>0.49233458707602862</v>
      </c>
      <c r="N684">
        <f t="shared" si="194"/>
        <v>5.2890033166812497E-2</v>
      </c>
      <c r="O684">
        <f t="shared" si="188"/>
        <v>0.70166558065507856</v>
      </c>
      <c r="P684" t="s">
        <v>625</v>
      </c>
      <c r="Q684" t="s">
        <v>527</v>
      </c>
      <c r="R684">
        <v>4.4050000000000002</v>
      </c>
      <c r="S684">
        <f t="shared" si="189"/>
        <v>3.9677614678899062</v>
      </c>
      <c r="U684">
        <v>41</v>
      </c>
      <c r="V684" t="s">
        <v>138</v>
      </c>
      <c r="W684">
        <f t="shared" si="190"/>
        <v>42.185483870967744</v>
      </c>
      <c r="Y684">
        <v>2016</v>
      </c>
      <c r="Z684">
        <f>2025-AVERAGE($Y$517:$Y$692)</f>
        <v>11.48863636363626</v>
      </c>
      <c r="AA684">
        <v>0.87209762624734699</v>
      </c>
      <c r="AB684">
        <v>0.16955875452622299</v>
      </c>
      <c r="AC684">
        <v>0.159999999999999</v>
      </c>
      <c r="AD684" s="3">
        <v>0.189999999999999</v>
      </c>
      <c r="AE684">
        <v>0</v>
      </c>
      <c r="AF684" t="str">
        <f t="shared" si="142"/>
        <v>Non-US</v>
      </c>
      <c r="AG684">
        <v>2</v>
      </c>
      <c r="AH684">
        <v>1</v>
      </c>
      <c r="AI684">
        <f t="shared" si="191"/>
        <v>3.2903225806451615</v>
      </c>
      <c r="AJ684">
        <f t="shared" si="192"/>
        <v>1.048</v>
      </c>
      <c r="AK684" t="s">
        <v>112</v>
      </c>
      <c r="AL684">
        <v>40</v>
      </c>
      <c r="AM684" t="s">
        <v>140</v>
      </c>
      <c r="AN684" t="s">
        <v>364</v>
      </c>
      <c r="AO684">
        <v>0.78700000000000003</v>
      </c>
    </row>
    <row r="685" spans="1:41" ht="15.6">
      <c r="A685">
        <v>14</v>
      </c>
      <c r="B685" t="s">
        <v>363</v>
      </c>
      <c r="C685" t="s">
        <v>362</v>
      </c>
      <c r="E685" s="3">
        <f t="shared" si="185"/>
        <v>34.659090909090914</v>
      </c>
      <c r="F685">
        <v>2023</v>
      </c>
      <c r="G685">
        <f t="shared" si="193"/>
        <v>2</v>
      </c>
      <c r="H685">
        <v>0.28000000000000003</v>
      </c>
      <c r="I685">
        <v>0.61</v>
      </c>
      <c r="J685">
        <f t="shared" si="186"/>
        <v>176</v>
      </c>
      <c r="K685">
        <v>41</v>
      </c>
      <c r="L685">
        <v>3</v>
      </c>
      <c r="M685" s="12">
        <f t="shared" si="187"/>
        <v>0.49233458707602862</v>
      </c>
      <c r="N685">
        <f t="shared" si="194"/>
        <v>5.2890033166812497E-2</v>
      </c>
      <c r="O685">
        <f t="shared" si="188"/>
        <v>0.70166558065507856</v>
      </c>
      <c r="P685" t="s">
        <v>626</v>
      </c>
      <c r="Q685" t="s">
        <v>527</v>
      </c>
      <c r="R685">
        <v>4.4050000000000002</v>
      </c>
      <c r="S685">
        <f t="shared" si="189"/>
        <v>3.9677614678899062</v>
      </c>
      <c r="U685">
        <v>41</v>
      </c>
      <c r="V685" t="s">
        <v>138</v>
      </c>
      <c r="W685">
        <f t="shared" si="190"/>
        <v>42.185483870967744</v>
      </c>
      <c r="Y685">
        <v>2016</v>
      </c>
      <c r="Z685">
        <f>2025-AVERAGE($Y$517:$Y$692)</f>
        <v>11.48863636363626</v>
      </c>
      <c r="AA685">
        <v>0.12631053552551</v>
      </c>
      <c r="AB685">
        <v>0.12756538152238101</v>
      </c>
      <c r="AC685">
        <v>0.62999999999999901</v>
      </c>
      <c r="AD685" s="3">
        <v>0.25781300000000001</v>
      </c>
      <c r="AE685">
        <v>0</v>
      </c>
      <c r="AF685" t="str">
        <f t="shared" si="142"/>
        <v>Non-US</v>
      </c>
      <c r="AG685">
        <v>2</v>
      </c>
      <c r="AH685">
        <v>1</v>
      </c>
      <c r="AI685">
        <f t="shared" si="191"/>
        <v>3.2903225806451615</v>
      </c>
      <c r="AJ685">
        <f t="shared" si="192"/>
        <v>1.048</v>
      </c>
      <c r="AK685" t="s">
        <v>112</v>
      </c>
      <c r="AL685">
        <v>40</v>
      </c>
      <c r="AM685" t="s">
        <v>140</v>
      </c>
      <c r="AN685" t="s">
        <v>364</v>
      </c>
      <c r="AO685">
        <v>0.78700000000000003</v>
      </c>
    </row>
    <row r="686" spans="1:41" ht="15.6">
      <c r="A686">
        <v>14</v>
      </c>
      <c r="B686" t="s">
        <v>363</v>
      </c>
      <c r="C686" t="s">
        <v>362</v>
      </c>
      <c r="E686" s="3">
        <f t="shared" si="185"/>
        <v>34.659090909090914</v>
      </c>
      <c r="F686">
        <v>2023</v>
      </c>
      <c r="G686">
        <f t="shared" si="193"/>
        <v>2</v>
      </c>
      <c r="H686">
        <v>0.28000000000000003</v>
      </c>
      <c r="I686">
        <v>0.61</v>
      </c>
      <c r="J686">
        <f t="shared" si="186"/>
        <v>176</v>
      </c>
      <c r="K686">
        <v>41</v>
      </c>
      <c r="L686">
        <v>3</v>
      </c>
      <c r="M686" s="12">
        <f t="shared" si="187"/>
        <v>0.49233458707602862</v>
      </c>
      <c r="N686">
        <f t="shared" si="194"/>
        <v>5.2890033166812497E-2</v>
      </c>
      <c r="O686">
        <f t="shared" si="188"/>
        <v>0.70166558065507856</v>
      </c>
      <c r="P686" t="s">
        <v>737</v>
      </c>
      <c r="Q686" t="s">
        <v>743</v>
      </c>
      <c r="R686">
        <v>2.5209999999999999</v>
      </c>
      <c r="S686">
        <f t="shared" si="189"/>
        <v>3.9677614678899062</v>
      </c>
      <c r="U686">
        <v>96</v>
      </c>
      <c r="V686" t="s">
        <v>138</v>
      </c>
      <c r="W686">
        <f t="shared" si="190"/>
        <v>42.185483870967744</v>
      </c>
      <c r="Y686">
        <v>2020</v>
      </c>
      <c r="Z686">
        <f>2025-AVERAGE($Y$517:$Y$692)</f>
        <v>11.48863636363626</v>
      </c>
      <c r="AA686">
        <v>3.9261256044520597E-2</v>
      </c>
      <c r="AB686">
        <v>4.4079512790297003E-2</v>
      </c>
      <c r="AC686">
        <v>0.5</v>
      </c>
      <c r="AD686" s="3">
        <v>0.21818000000000001</v>
      </c>
      <c r="AE686">
        <v>0</v>
      </c>
      <c r="AF686" t="str">
        <f t="shared" si="142"/>
        <v>Non-US</v>
      </c>
      <c r="AG686">
        <v>3</v>
      </c>
      <c r="AH686">
        <v>1</v>
      </c>
      <c r="AI686">
        <f t="shared" si="191"/>
        <v>3.2903225806451615</v>
      </c>
      <c r="AJ686">
        <f t="shared" si="192"/>
        <v>1.048</v>
      </c>
      <c r="AK686" t="s">
        <v>112</v>
      </c>
      <c r="AL686">
        <v>40</v>
      </c>
      <c r="AM686" t="s">
        <v>140</v>
      </c>
      <c r="AN686" t="s">
        <v>364</v>
      </c>
      <c r="AO686">
        <v>0.78700000000000003</v>
      </c>
    </row>
    <row r="687" spans="1:41" ht="15.6">
      <c r="A687">
        <v>14</v>
      </c>
      <c r="B687" t="s">
        <v>363</v>
      </c>
      <c r="C687" t="s">
        <v>362</v>
      </c>
      <c r="E687" s="3">
        <f t="shared" si="185"/>
        <v>34.659090909090914</v>
      </c>
      <c r="F687">
        <v>2023</v>
      </c>
      <c r="G687">
        <f t="shared" si="193"/>
        <v>2</v>
      </c>
      <c r="H687">
        <v>0.28000000000000003</v>
      </c>
      <c r="I687">
        <v>0.61</v>
      </c>
      <c r="J687">
        <f t="shared" si="186"/>
        <v>176</v>
      </c>
      <c r="K687">
        <v>41</v>
      </c>
      <c r="L687">
        <v>3</v>
      </c>
      <c r="M687" s="12">
        <f t="shared" si="187"/>
        <v>0.49233458707602862</v>
      </c>
      <c r="N687">
        <f t="shared" si="194"/>
        <v>5.2890033166812497E-2</v>
      </c>
      <c r="O687">
        <f t="shared" si="188"/>
        <v>0.70166558065507856</v>
      </c>
      <c r="P687" t="s">
        <v>627</v>
      </c>
      <c r="Q687" t="s">
        <v>527</v>
      </c>
      <c r="R687">
        <v>4.4050000000000002</v>
      </c>
      <c r="S687">
        <f t="shared" si="189"/>
        <v>3.9677614678899062</v>
      </c>
      <c r="U687">
        <v>49</v>
      </c>
      <c r="V687" t="s">
        <v>138</v>
      </c>
      <c r="W687">
        <f t="shared" si="190"/>
        <v>42.185483870967744</v>
      </c>
      <c r="Y687">
        <v>2016</v>
      </c>
      <c r="Z687">
        <f>2025-AVERAGE($Y$517:$Y$692)</f>
        <v>11.48863636363626</v>
      </c>
      <c r="AA687">
        <v>0.219304037667089</v>
      </c>
      <c r="AB687" t="s">
        <v>261</v>
      </c>
      <c r="AC687">
        <v>2.44</v>
      </c>
      <c r="AD687" s="3">
        <v>3.7360000000000002</v>
      </c>
      <c r="AE687">
        <v>0</v>
      </c>
      <c r="AF687" t="str">
        <f t="shared" si="142"/>
        <v>Non-US</v>
      </c>
      <c r="AG687">
        <v>2</v>
      </c>
      <c r="AH687">
        <v>1</v>
      </c>
      <c r="AI687">
        <f t="shared" si="191"/>
        <v>3.2903225806451615</v>
      </c>
      <c r="AJ687">
        <f t="shared" si="192"/>
        <v>1.048</v>
      </c>
      <c r="AK687" t="s">
        <v>112</v>
      </c>
      <c r="AL687">
        <v>40</v>
      </c>
      <c r="AM687" t="s">
        <v>140</v>
      </c>
      <c r="AN687" t="s">
        <v>364</v>
      </c>
      <c r="AO687">
        <v>0.78700000000000003</v>
      </c>
    </row>
    <row r="688" spans="1:41" ht="15.6">
      <c r="A688">
        <v>14</v>
      </c>
      <c r="B688" t="s">
        <v>363</v>
      </c>
      <c r="C688" t="s">
        <v>362</v>
      </c>
      <c r="E688" s="3">
        <f t="shared" si="185"/>
        <v>34.659090909090914</v>
      </c>
      <c r="F688">
        <v>2023</v>
      </c>
      <c r="G688">
        <f t="shared" si="193"/>
        <v>2</v>
      </c>
      <c r="H688">
        <v>0.28000000000000003</v>
      </c>
      <c r="I688">
        <v>0.61</v>
      </c>
      <c r="J688">
        <f t="shared" si="186"/>
        <v>176</v>
      </c>
      <c r="K688">
        <v>41</v>
      </c>
      <c r="L688">
        <v>3</v>
      </c>
      <c r="M688" s="12">
        <f t="shared" si="187"/>
        <v>0.49233458707602862</v>
      </c>
      <c r="N688">
        <f t="shared" si="194"/>
        <v>5.2890033166812497E-2</v>
      </c>
      <c r="O688">
        <f t="shared" si="188"/>
        <v>0.70166558065507856</v>
      </c>
      <c r="P688" t="s">
        <v>738</v>
      </c>
      <c r="Q688" t="s">
        <v>780</v>
      </c>
      <c r="R688">
        <v>1.298</v>
      </c>
      <c r="S688">
        <f t="shared" si="189"/>
        <v>3.9677614678899062</v>
      </c>
      <c r="U688">
        <v>25</v>
      </c>
      <c r="V688" t="s">
        <v>138</v>
      </c>
      <c r="W688">
        <f t="shared" si="190"/>
        <v>42.185483870967744</v>
      </c>
      <c r="Y688">
        <v>2017</v>
      </c>
      <c r="Z688">
        <f>2025-AVERAGE($Y$517:$Y$692)</f>
        <v>11.48863636363626</v>
      </c>
      <c r="AA688">
        <v>1.4213424733133801E-4</v>
      </c>
      <c r="AB688">
        <v>0.33715549846412002</v>
      </c>
      <c r="AC688" t="s">
        <v>261</v>
      </c>
      <c r="AD688" s="3">
        <v>0.32</v>
      </c>
      <c r="AE688">
        <v>0</v>
      </c>
      <c r="AF688" t="str">
        <f t="shared" si="142"/>
        <v>Non-US</v>
      </c>
      <c r="AG688">
        <v>4</v>
      </c>
      <c r="AH688">
        <v>1</v>
      </c>
      <c r="AI688">
        <f t="shared" si="191"/>
        <v>3.2903225806451615</v>
      </c>
      <c r="AJ688">
        <f t="shared" si="192"/>
        <v>1.048</v>
      </c>
      <c r="AK688" t="s">
        <v>112</v>
      </c>
      <c r="AL688">
        <v>40</v>
      </c>
      <c r="AM688" t="s">
        <v>140</v>
      </c>
      <c r="AN688" t="s">
        <v>364</v>
      </c>
      <c r="AO688">
        <v>0.78700000000000003</v>
      </c>
    </row>
    <row r="689" spans="1:41" ht="15.6">
      <c r="A689">
        <v>14</v>
      </c>
      <c r="B689" t="s">
        <v>363</v>
      </c>
      <c r="C689" t="s">
        <v>362</v>
      </c>
      <c r="E689" s="3">
        <f t="shared" si="185"/>
        <v>34.659090909090914</v>
      </c>
      <c r="F689">
        <v>2023</v>
      </c>
      <c r="G689">
        <f t="shared" si="193"/>
        <v>2</v>
      </c>
      <c r="H689">
        <v>0.28000000000000003</v>
      </c>
      <c r="I689">
        <v>0.61</v>
      </c>
      <c r="J689">
        <f t="shared" si="186"/>
        <v>176</v>
      </c>
      <c r="K689">
        <v>41</v>
      </c>
      <c r="L689">
        <v>3</v>
      </c>
      <c r="M689" s="12">
        <f t="shared" si="187"/>
        <v>0.49233458707602862</v>
      </c>
      <c r="N689">
        <f t="shared" si="194"/>
        <v>5.2890033166812497E-2</v>
      </c>
      <c r="O689">
        <f t="shared" si="188"/>
        <v>0.70166558065507856</v>
      </c>
      <c r="P689" t="s">
        <v>739</v>
      </c>
      <c r="Q689" t="s">
        <v>527</v>
      </c>
      <c r="R689">
        <v>4.282</v>
      </c>
      <c r="S689">
        <f t="shared" si="189"/>
        <v>3.9677614678899062</v>
      </c>
      <c r="U689">
        <v>32</v>
      </c>
      <c r="V689" t="s">
        <v>138</v>
      </c>
      <c r="W689">
        <f t="shared" si="190"/>
        <v>42.185483870967744</v>
      </c>
      <c r="Y689">
        <v>2014</v>
      </c>
      <c r="Z689">
        <f>2025-AVERAGE($Y$517:$Y$692)</f>
        <v>11.48863636363626</v>
      </c>
      <c r="AA689">
        <v>1.8672371146261899E-2</v>
      </c>
      <c r="AB689">
        <v>0.68744483444091198</v>
      </c>
      <c r="AC689" t="s">
        <v>261</v>
      </c>
      <c r="AD689" s="3">
        <v>0.15</v>
      </c>
      <c r="AE689">
        <v>0</v>
      </c>
      <c r="AF689" t="str">
        <f t="shared" si="142"/>
        <v>Non-US</v>
      </c>
      <c r="AG689">
        <v>2</v>
      </c>
      <c r="AH689">
        <v>1</v>
      </c>
      <c r="AI689">
        <f t="shared" si="191"/>
        <v>3.2903225806451615</v>
      </c>
      <c r="AJ689">
        <f t="shared" si="192"/>
        <v>1.048</v>
      </c>
      <c r="AK689" t="s">
        <v>112</v>
      </c>
      <c r="AL689">
        <v>40</v>
      </c>
      <c r="AM689" t="s">
        <v>140</v>
      </c>
      <c r="AN689" t="s">
        <v>364</v>
      </c>
      <c r="AO689">
        <v>0.78700000000000003</v>
      </c>
    </row>
    <row r="690" spans="1:41" ht="15.6">
      <c r="A690">
        <v>14</v>
      </c>
      <c r="B690" t="s">
        <v>363</v>
      </c>
      <c r="C690" t="s">
        <v>362</v>
      </c>
      <c r="E690" s="3">
        <f t="shared" si="185"/>
        <v>34.659090909090914</v>
      </c>
      <c r="F690">
        <v>2023</v>
      </c>
      <c r="G690">
        <f t="shared" si="193"/>
        <v>2</v>
      </c>
      <c r="H690">
        <v>0.28000000000000003</v>
      </c>
      <c r="I690">
        <v>0.61</v>
      </c>
      <c r="J690">
        <f t="shared" si="186"/>
        <v>176</v>
      </c>
      <c r="K690">
        <v>41</v>
      </c>
      <c r="L690">
        <v>3</v>
      </c>
      <c r="M690" s="12">
        <f t="shared" si="187"/>
        <v>0.49233458707602862</v>
      </c>
      <c r="N690">
        <f t="shared" si="194"/>
        <v>5.2890033166812497E-2</v>
      </c>
      <c r="O690">
        <f t="shared" si="188"/>
        <v>0.70166558065507856</v>
      </c>
      <c r="P690" t="s">
        <v>740</v>
      </c>
      <c r="Q690" t="s">
        <v>527</v>
      </c>
      <c r="R690">
        <v>4.1159999999999997</v>
      </c>
      <c r="S690">
        <f t="shared" si="189"/>
        <v>3.9677614678899062</v>
      </c>
      <c r="U690">
        <v>42</v>
      </c>
      <c r="V690" t="s">
        <v>138</v>
      </c>
      <c r="W690">
        <f t="shared" si="190"/>
        <v>42.185483870967744</v>
      </c>
      <c r="Y690">
        <v>2018</v>
      </c>
      <c r="Z690">
        <f>2025-AVERAGE($Y$517:$Y$692)</f>
        <v>11.48863636363626</v>
      </c>
      <c r="AA690">
        <v>4.9476276203548497E-2</v>
      </c>
      <c r="AB690">
        <v>3.2548536686469702E-4</v>
      </c>
      <c r="AC690">
        <v>1.72</v>
      </c>
      <c r="AD690" s="3">
        <v>1.1499999999999999</v>
      </c>
      <c r="AE690">
        <v>0</v>
      </c>
      <c r="AF690" t="str">
        <f t="shared" si="142"/>
        <v>Non-US</v>
      </c>
      <c r="AG690">
        <v>5</v>
      </c>
      <c r="AH690">
        <v>1</v>
      </c>
      <c r="AI690">
        <f t="shared" si="191"/>
        <v>3.2903225806451615</v>
      </c>
      <c r="AJ690">
        <f t="shared" si="192"/>
        <v>1.048</v>
      </c>
      <c r="AK690" t="s">
        <v>112</v>
      </c>
      <c r="AL690">
        <v>40</v>
      </c>
      <c r="AM690" t="s">
        <v>140</v>
      </c>
      <c r="AN690" t="s">
        <v>364</v>
      </c>
      <c r="AO690">
        <v>0.78700000000000003</v>
      </c>
    </row>
    <row r="691" spans="1:41" ht="15.6">
      <c r="A691">
        <v>14</v>
      </c>
      <c r="B691" t="s">
        <v>363</v>
      </c>
      <c r="C691" t="s">
        <v>362</v>
      </c>
      <c r="E691" s="3">
        <f t="shared" si="185"/>
        <v>34.659090909090914</v>
      </c>
      <c r="F691">
        <v>2023</v>
      </c>
      <c r="G691">
        <f t="shared" si="193"/>
        <v>2</v>
      </c>
      <c r="H691">
        <v>0.28000000000000003</v>
      </c>
      <c r="I691">
        <v>0.61</v>
      </c>
      <c r="J691">
        <f t="shared" si="186"/>
        <v>176</v>
      </c>
      <c r="K691">
        <v>41</v>
      </c>
      <c r="L691">
        <v>3</v>
      </c>
      <c r="M691" s="12">
        <f t="shared" si="187"/>
        <v>0.49233458707602862</v>
      </c>
      <c r="N691">
        <f t="shared" si="194"/>
        <v>5.2890033166812497E-2</v>
      </c>
      <c r="O691">
        <f t="shared" si="188"/>
        <v>0.70166558065507856</v>
      </c>
      <c r="P691" t="s">
        <v>741</v>
      </c>
      <c r="Q691" t="s">
        <v>527</v>
      </c>
      <c r="R691">
        <v>3.3029999999999999</v>
      </c>
      <c r="S691">
        <f t="shared" si="189"/>
        <v>3.9677614678899062</v>
      </c>
      <c r="U691">
        <v>19</v>
      </c>
      <c r="V691" t="s">
        <v>138</v>
      </c>
      <c r="W691">
        <f t="shared" si="190"/>
        <v>42.185483870967744</v>
      </c>
      <c r="Y691">
        <v>2019</v>
      </c>
      <c r="Z691">
        <f>2025-AVERAGE($Y$517:$Y$692)</f>
        <v>11.48863636363626</v>
      </c>
      <c r="AA691">
        <v>5.86471790897658E-5</v>
      </c>
      <c r="AB691">
        <v>0.47425673913638999</v>
      </c>
      <c r="AC691" t="s">
        <v>261</v>
      </c>
      <c r="AD691" s="3">
        <v>0.3</v>
      </c>
      <c r="AE691">
        <v>0</v>
      </c>
      <c r="AF691" t="str">
        <f t="shared" si="142"/>
        <v>Non-US</v>
      </c>
      <c r="AG691">
        <v>3</v>
      </c>
      <c r="AH691">
        <v>1</v>
      </c>
      <c r="AI691">
        <f t="shared" si="191"/>
        <v>3.2903225806451615</v>
      </c>
      <c r="AJ691">
        <f t="shared" si="192"/>
        <v>1.048</v>
      </c>
      <c r="AK691" t="s">
        <v>112</v>
      </c>
      <c r="AL691">
        <v>40</v>
      </c>
      <c r="AM691" t="s">
        <v>140</v>
      </c>
      <c r="AN691" t="s">
        <v>364</v>
      </c>
      <c r="AO691">
        <v>0.78700000000000003</v>
      </c>
    </row>
    <row r="692" spans="1:41" s="3" customFormat="1" ht="15.6">
      <c r="A692">
        <v>14</v>
      </c>
      <c r="B692" s="3" t="s">
        <v>363</v>
      </c>
      <c r="C692" s="3" t="s">
        <v>362</v>
      </c>
      <c r="E692" s="3">
        <f t="shared" si="185"/>
        <v>34.659090909090914</v>
      </c>
      <c r="F692">
        <v>2023</v>
      </c>
      <c r="G692">
        <f t="shared" si="193"/>
        <v>2</v>
      </c>
      <c r="H692" s="3">
        <v>0.28000000000000003</v>
      </c>
      <c r="I692" s="3">
        <v>0.61</v>
      </c>
      <c r="J692" s="3">
        <f t="shared" si="186"/>
        <v>176</v>
      </c>
      <c r="K692" s="3">
        <v>41</v>
      </c>
      <c r="L692" s="3">
        <v>3</v>
      </c>
      <c r="M692" s="12">
        <f t="shared" si="187"/>
        <v>0.49233458707602862</v>
      </c>
      <c r="N692" s="3">
        <f t="shared" si="194"/>
        <v>5.2890033166812497E-2</v>
      </c>
      <c r="O692" s="3">
        <f t="shared" si="188"/>
        <v>0.70166558065507856</v>
      </c>
      <c r="P692" s="3" t="s">
        <v>742</v>
      </c>
      <c r="Q692" s="3" t="s">
        <v>527</v>
      </c>
      <c r="R692" s="3">
        <v>4.3460000000000001</v>
      </c>
      <c r="S692" s="3">
        <f t="shared" si="189"/>
        <v>3.9677614678899062</v>
      </c>
      <c r="U692" s="3">
        <v>22</v>
      </c>
      <c r="V692" s="3" t="s">
        <v>138</v>
      </c>
      <c r="W692" s="3">
        <f t="shared" si="190"/>
        <v>42.185483870967744</v>
      </c>
      <c r="Y692" s="3">
        <v>2015</v>
      </c>
      <c r="Z692" s="3">
        <f>2025-AVERAGE($Y$517:$Y$692)</f>
        <v>11.48863636363626</v>
      </c>
      <c r="AA692" s="3">
        <v>0</v>
      </c>
      <c r="AB692" s="3">
        <v>7.9163547144456906E-2</v>
      </c>
      <c r="AC692" s="3" t="s">
        <v>261</v>
      </c>
      <c r="AD692" s="3">
        <v>0.15</v>
      </c>
      <c r="AE692">
        <v>0</v>
      </c>
      <c r="AF692" s="3" t="str">
        <f t="shared" si="142"/>
        <v>Non-US</v>
      </c>
      <c r="AG692" s="3">
        <v>3</v>
      </c>
      <c r="AH692" s="3">
        <v>1</v>
      </c>
      <c r="AI692" s="3">
        <f t="shared" si="191"/>
        <v>3.2903225806451615</v>
      </c>
      <c r="AJ692" s="3">
        <f t="shared" si="192"/>
        <v>1.048</v>
      </c>
      <c r="AK692" s="3" t="s">
        <v>112</v>
      </c>
      <c r="AL692" s="3">
        <v>40</v>
      </c>
      <c r="AM692" s="3" t="s">
        <v>140</v>
      </c>
      <c r="AN692" s="3" t="s">
        <v>364</v>
      </c>
      <c r="AO692" s="3">
        <v>0.78700000000000003</v>
      </c>
    </row>
    <row r="693" spans="1:41" s="2" customFormat="1" ht="15.6">
      <c r="A693" s="2">
        <v>15</v>
      </c>
      <c r="B693" s="2" t="s">
        <v>1142</v>
      </c>
      <c r="C693" s="2" t="s">
        <v>365</v>
      </c>
      <c r="D693" s="3">
        <f>100*(16/44)</f>
        <v>36.363636363636367</v>
      </c>
      <c r="E693" s="3"/>
      <c r="F693" s="2">
        <v>2015</v>
      </c>
      <c r="G693">
        <f t="shared" si="193"/>
        <v>10</v>
      </c>
      <c r="H693" s="2">
        <f>AVERAGE($AD$693:$AD$736)</f>
        <v>0.22986181666666664</v>
      </c>
      <c r="J693" s="2">
        <f>COUNTA($A$693:$A$736)</f>
        <v>44</v>
      </c>
      <c r="K693" s="2">
        <v>3</v>
      </c>
      <c r="L693" s="2">
        <v>8</v>
      </c>
      <c r="M693" s="12">
        <f>_xlfn.VAR.P($AD$693:$AD$736)</f>
        <v>1.0884034404434258E-2</v>
      </c>
      <c r="N693" s="2">
        <f t="shared" ref="N693:N736" si="195">$O$693/SQRT($J$693)</f>
        <v>1.5727823062413843E-2</v>
      </c>
      <c r="O693" s="2">
        <f>_xlfn.STDEV.P($AD$693:$AD$736)</f>
        <v>0.10432657573425028</v>
      </c>
      <c r="P693" s="2" t="s">
        <v>781</v>
      </c>
      <c r="S693" s="2">
        <f>AVERAGE($R$693:$R$736)</f>
        <v>4.0940000000000003</v>
      </c>
      <c r="W693" s="2">
        <f>AVERAGE($U$693:$U$736)</f>
        <v>81.666666666666671</v>
      </c>
      <c r="Y693" s="2">
        <v>2008</v>
      </c>
      <c r="Z693" s="2">
        <f>2025-AVERAGE($Y$693:$Y$736)</f>
        <v>17</v>
      </c>
      <c r="AD693" s="3"/>
      <c r="AE693" s="2">
        <v>1</v>
      </c>
      <c r="AF693" s="2" t="str">
        <f t="shared" si="142"/>
        <v>US</v>
      </c>
      <c r="AI693" s="2">
        <f>AVERAGE($AG$693:$AG$736)</f>
        <v>2.5</v>
      </c>
      <c r="AJ693" s="2">
        <f>AVERAGE($AH$693:$AH$736)</f>
        <v>2.1666666666666665</v>
      </c>
      <c r="AK693" s="2" t="s">
        <v>112</v>
      </c>
      <c r="AL693" s="2">
        <v>37</v>
      </c>
      <c r="AN693" s="2" t="s">
        <v>1193</v>
      </c>
      <c r="AO693" s="2">
        <v>6.8140000000000001</v>
      </c>
    </row>
    <row r="694" spans="1:41" s="2" customFormat="1" ht="15.6">
      <c r="A694" s="2">
        <v>15</v>
      </c>
      <c r="B694" s="2" t="s">
        <v>1142</v>
      </c>
      <c r="C694" s="2" t="s">
        <v>365</v>
      </c>
      <c r="D694" s="3">
        <f t="shared" ref="D694:D736" si="196">100*(16/44)</f>
        <v>36.363636363636367</v>
      </c>
      <c r="E694" s="3"/>
      <c r="F694" s="2">
        <v>2015</v>
      </c>
      <c r="G694">
        <f t="shared" si="193"/>
        <v>10</v>
      </c>
      <c r="H694" s="2">
        <f t="shared" ref="H694:H736" si="197">AVERAGE($AD$693:$AD$736)</f>
        <v>0.22986181666666664</v>
      </c>
      <c r="J694" s="2">
        <f t="shared" ref="J694:J736" si="198">COUNTA($A$693:$A$736)</f>
        <v>44</v>
      </c>
      <c r="K694" s="2">
        <v>3</v>
      </c>
      <c r="L694" s="2">
        <v>8</v>
      </c>
      <c r="M694" s="12">
        <f t="shared" ref="M694:M736" si="199">_xlfn.VAR.P($AD$693:$AD$736)</f>
        <v>1.0884034404434258E-2</v>
      </c>
      <c r="N694" s="2">
        <f t="shared" si="195"/>
        <v>1.5727823062413843E-2</v>
      </c>
      <c r="O694" s="2">
        <f t="shared" ref="O694:O736" si="200">_xlfn.STDEV.P($AD$693:$AD$736)</f>
        <v>0.10432657573425028</v>
      </c>
      <c r="P694" s="2" t="s">
        <v>782</v>
      </c>
      <c r="S694" s="2">
        <f t="shared" ref="S694:S736" si="201">AVERAGE($R$693:$R$736)</f>
        <v>4.0940000000000003</v>
      </c>
      <c r="W694" s="2">
        <f t="shared" ref="W694:W736" si="202">AVERAGE($U$693:$U$736)</f>
        <v>81.666666666666671</v>
      </c>
      <c r="Z694" s="2">
        <f>2025-AVERAGE($Y$693:$Y$736)</f>
        <v>17</v>
      </c>
      <c r="AD694" s="3"/>
      <c r="AE694" s="2">
        <v>1</v>
      </c>
      <c r="AF694" s="2" t="str">
        <f t="shared" si="142"/>
        <v>US</v>
      </c>
      <c r="AI694" s="2">
        <f t="shared" ref="AI694:AI736" si="203">AVERAGE($AG$693:$AG$736)</f>
        <v>2.5</v>
      </c>
      <c r="AJ694" s="2">
        <f t="shared" ref="AJ694:AJ736" si="204">AVERAGE($AH$693:$AH$736)</f>
        <v>2.1666666666666665</v>
      </c>
      <c r="AK694" s="2" t="s">
        <v>112</v>
      </c>
      <c r="AL694" s="2">
        <v>37</v>
      </c>
      <c r="AN694" s="2" t="s">
        <v>1193</v>
      </c>
      <c r="AO694" s="2">
        <v>6.8140000000000001</v>
      </c>
    </row>
    <row r="695" spans="1:41" s="2" customFormat="1" ht="15.6">
      <c r="A695" s="2">
        <v>15</v>
      </c>
      <c r="B695" s="2" t="s">
        <v>1142</v>
      </c>
      <c r="C695" s="2" t="s">
        <v>365</v>
      </c>
      <c r="D695" s="3">
        <f t="shared" si="196"/>
        <v>36.363636363636367</v>
      </c>
      <c r="E695" s="3"/>
      <c r="F695" s="2">
        <v>2015</v>
      </c>
      <c r="G695">
        <f t="shared" si="193"/>
        <v>10</v>
      </c>
      <c r="H695" s="2">
        <f t="shared" si="197"/>
        <v>0.22986181666666664</v>
      </c>
      <c r="J695" s="2">
        <f t="shared" si="198"/>
        <v>44</v>
      </c>
      <c r="K695" s="2">
        <v>3</v>
      </c>
      <c r="L695" s="2">
        <v>8</v>
      </c>
      <c r="M695" s="12">
        <f t="shared" si="199"/>
        <v>1.0884034404434258E-2</v>
      </c>
      <c r="N695" s="2">
        <f t="shared" si="195"/>
        <v>1.5727823062413843E-2</v>
      </c>
      <c r="O695" s="2">
        <f t="shared" si="200"/>
        <v>0.10432657573425028</v>
      </c>
      <c r="P695" s="2" t="s">
        <v>783</v>
      </c>
      <c r="S695" s="2">
        <f t="shared" si="201"/>
        <v>4.0940000000000003</v>
      </c>
      <c r="W695" s="2">
        <f t="shared" si="202"/>
        <v>81.666666666666671</v>
      </c>
      <c r="Z695" s="2">
        <f>2025-AVERAGE($Y$693:$Y$736)</f>
        <v>17</v>
      </c>
      <c r="AD695" s="3"/>
      <c r="AE695" s="2">
        <v>1</v>
      </c>
      <c r="AF695" s="2" t="str">
        <f t="shared" si="142"/>
        <v>US</v>
      </c>
      <c r="AI695" s="2">
        <f t="shared" si="203"/>
        <v>2.5</v>
      </c>
      <c r="AJ695" s="2">
        <f t="shared" si="204"/>
        <v>2.1666666666666665</v>
      </c>
      <c r="AK695" s="2" t="s">
        <v>112</v>
      </c>
      <c r="AL695" s="2">
        <v>37</v>
      </c>
      <c r="AN695" s="2" t="s">
        <v>1193</v>
      </c>
      <c r="AO695" s="2">
        <v>6.8140000000000001</v>
      </c>
    </row>
    <row r="696" spans="1:41" s="2" customFormat="1" ht="15.6">
      <c r="A696" s="2">
        <v>15</v>
      </c>
      <c r="B696" s="2" t="s">
        <v>1142</v>
      </c>
      <c r="C696" s="2" t="s">
        <v>365</v>
      </c>
      <c r="D696" s="3">
        <f t="shared" si="196"/>
        <v>36.363636363636367</v>
      </c>
      <c r="E696" s="3"/>
      <c r="F696" s="2">
        <v>2015</v>
      </c>
      <c r="G696">
        <f t="shared" si="193"/>
        <v>10</v>
      </c>
      <c r="H696" s="2">
        <f t="shared" si="197"/>
        <v>0.22986181666666664</v>
      </c>
      <c r="J696" s="2">
        <f t="shared" si="198"/>
        <v>44</v>
      </c>
      <c r="K696" s="2">
        <v>3</v>
      </c>
      <c r="L696" s="2">
        <v>8</v>
      </c>
      <c r="M696" s="12">
        <f t="shared" si="199"/>
        <v>1.0884034404434258E-2</v>
      </c>
      <c r="N696" s="2">
        <f t="shared" si="195"/>
        <v>1.5727823062413843E-2</v>
      </c>
      <c r="O696" s="2">
        <f t="shared" si="200"/>
        <v>0.10432657573425028</v>
      </c>
      <c r="P696" s="2" t="s">
        <v>784</v>
      </c>
      <c r="Q696" s="2" t="s">
        <v>372</v>
      </c>
      <c r="R696" s="2" cm="1">
        <f t="array" ref="R696">_xlfn.IFS(Q696="PS",3.607,Q696="JEPLMC",6.096,Q696="JPSP",2.579)</f>
        <v>6.0960000000000001</v>
      </c>
      <c r="S696" s="2">
        <f t="shared" si="201"/>
        <v>4.0940000000000003</v>
      </c>
      <c r="T696" s="2" t="s">
        <v>101</v>
      </c>
      <c r="U696" s="2">
        <v>6</v>
      </c>
      <c r="W696" s="2">
        <f t="shared" si="202"/>
        <v>81.666666666666671</v>
      </c>
      <c r="X696" s="2" t="s">
        <v>377</v>
      </c>
      <c r="Y696" s="2">
        <v>2008</v>
      </c>
      <c r="Z696" s="2">
        <f>2025-AVERAGE($Y$693:$Y$736)</f>
        <v>17</v>
      </c>
      <c r="AA696" s="2" t="s">
        <v>406</v>
      </c>
      <c r="AB696" s="2">
        <v>0.26900000000000002</v>
      </c>
      <c r="AC696" s="2">
        <v>0.61112005400000002</v>
      </c>
      <c r="AD696" s="3">
        <v>0.229604631</v>
      </c>
      <c r="AE696" s="2">
        <v>1</v>
      </c>
      <c r="AF696" s="2" t="str">
        <f t="shared" si="142"/>
        <v>US</v>
      </c>
      <c r="AG696" s="2">
        <v>2</v>
      </c>
      <c r="AH696" s="2">
        <v>1</v>
      </c>
      <c r="AI696" s="2">
        <f t="shared" si="203"/>
        <v>2.5</v>
      </c>
      <c r="AJ696" s="2">
        <f t="shared" si="204"/>
        <v>2.1666666666666665</v>
      </c>
      <c r="AK696" s="2" t="s">
        <v>112</v>
      </c>
      <c r="AL696" s="2">
        <v>37</v>
      </c>
      <c r="AM696" s="2" t="s">
        <v>115</v>
      </c>
      <c r="AN696" s="2" t="s">
        <v>1193</v>
      </c>
      <c r="AO696" s="2">
        <v>6.8140000000000001</v>
      </c>
    </row>
    <row r="697" spans="1:41" s="2" customFormat="1" ht="15.6">
      <c r="A697" s="2">
        <v>15</v>
      </c>
      <c r="B697" s="2" t="s">
        <v>1142</v>
      </c>
      <c r="C697" s="2" t="s">
        <v>365</v>
      </c>
      <c r="D697" s="3">
        <f t="shared" si="196"/>
        <v>36.363636363636367</v>
      </c>
      <c r="E697" s="3"/>
      <c r="F697" s="2">
        <v>2015</v>
      </c>
      <c r="G697">
        <f t="shared" si="193"/>
        <v>10</v>
      </c>
      <c r="H697" s="2">
        <f t="shared" si="197"/>
        <v>0.22986181666666664</v>
      </c>
      <c r="J697" s="2">
        <f t="shared" si="198"/>
        <v>44</v>
      </c>
      <c r="K697" s="2">
        <v>3</v>
      </c>
      <c r="L697" s="2">
        <v>8</v>
      </c>
      <c r="M697" s="12">
        <f t="shared" si="199"/>
        <v>1.0884034404434258E-2</v>
      </c>
      <c r="N697" s="2">
        <f t="shared" si="195"/>
        <v>1.5727823062413843E-2</v>
      </c>
      <c r="O697" s="2">
        <f t="shared" si="200"/>
        <v>0.10432657573425028</v>
      </c>
      <c r="P697" s="2" t="s">
        <v>785</v>
      </c>
      <c r="S697" s="2">
        <f t="shared" si="201"/>
        <v>4.0940000000000003</v>
      </c>
      <c r="W697" s="2">
        <f t="shared" si="202"/>
        <v>81.666666666666671</v>
      </c>
      <c r="Z697" s="2">
        <f>2025-AVERAGE($Y$693:$Y$736)</f>
        <v>17</v>
      </c>
      <c r="AD697" s="3"/>
      <c r="AE697" s="2">
        <v>1</v>
      </c>
      <c r="AF697" s="2" t="str">
        <f t="shared" si="142"/>
        <v>US</v>
      </c>
      <c r="AI697" s="2">
        <f t="shared" si="203"/>
        <v>2.5</v>
      </c>
      <c r="AJ697" s="2">
        <f t="shared" si="204"/>
        <v>2.1666666666666665</v>
      </c>
      <c r="AK697" s="2" t="s">
        <v>112</v>
      </c>
      <c r="AL697" s="2">
        <v>37</v>
      </c>
      <c r="AN697" s="2" t="s">
        <v>1193</v>
      </c>
      <c r="AO697" s="2">
        <v>6.8140000000000001</v>
      </c>
    </row>
    <row r="698" spans="1:41" s="2" customFormat="1" ht="15.6">
      <c r="A698" s="2">
        <v>15</v>
      </c>
      <c r="B698" s="2" t="s">
        <v>1142</v>
      </c>
      <c r="C698" s="2" t="s">
        <v>365</v>
      </c>
      <c r="D698" s="3">
        <f t="shared" si="196"/>
        <v>36.363636363636367</v>
      </c>
      <c r="E698" s="3"/>
      <c r="F698" s="2">
        <v>2015</v>
      </c>
      <c r="G698">
        <f t="shared" si="193"/>
        <v>10</v>
      </c>
      <c r="H698" s="2">
        <f t="shared" si="197"/>
        <v>0.22986181666666664</v>
      </c>
      <c r="J698" s="2">
        <f t="shared" si="198"/>
        <v>44</v>
      </c>
      <c r="K698" s="2">
        <v>3</v>
      </c>
      <c r="L698" s="2">
        <v>8</v>
      </c>
      <c r="M698" s="12">
        <f t="shared" si="199"/>
        <v>1.0884034404434258E-2</v>
      </c>
      <c r="N698" s="2">
        <f t="shared" si="195"/>
        <v>1.5727823062413843E-2</v>
      </c>
      <c r="O698" s="2">
        <f t="shared" si="200"/>
        <v>0.10432657573425028</v>
      </c>
      <c r="P698" s="2" t="s">
        <v>786</v>
      </c>
      <c r="S698" s="2">
        <f t="shared" si="201"/>
        <v>4.0940000000000003</v>
      </c>
      <c r="W698" s="2">
        <f t="shared" si="202"/>
        <v>81.666666666666671</v>
      </c>
      <c r="Z698" s="2">
        <f>2025-AVERAGE($Y$693:$Y$736)</f>
        <v>17</v>
      </c>
      <c r="AD698" s="3"/>
      <c r="AE698" s="2">
        <v>1</v>
      </c>
      <c r="AF698" s="2" t="str">
        <f t="shared" si="142"/>
        <v>US</v>
      </c>
      <c r="AI698" s="2">
        <f t="shared" si="203"/>
        <v>2.5</v>
      </c>
      <c r="AJ698" s="2">
        <f t="shared" si="204"/>
        <v>2.1666666666666665</v>
      </c>
      <c r="AK698" s="2" t="s">
        <v>112</v>
      </c>
      <c r="AL698" s="2">
        <v>37</v>
      </c>
      <c r="AN698" s="2" t="s">
        <v>1193</v>
      </c>
      <c r="AO698" s="2">
        <v>6.8140000000000001</v>
      </c>
    </row>
    <row r="699" spans="1:41" s="2" customFormat="1" ht="15.6">
      <c r="A699" s="2">
        <v>15</v>
      </c>
      <c r="B699" s="2" t="s">
        <v>1142</v>
      </c>
      <c r="C699" s="2" t="s">
        <v>365</v>
      </c>
      <c r="D699" s="3">
        <f t="shared" si="196"/>
        <v>36.363636363636367</v>
      </c>
      <c r="E699" s="3"/>
      <c r="F699" s="2">
        <v>2015</v>
      </c>
      <c r="G699">
        <f t="shared" si="193"/>
        <v>10</v>
      </c>
      <c r="H699" s="2">
        <f t="shared" si="197"/>
        <v>0.22986181666666664</v>
      </c>
      <c r="J699" s="2">
        <f t="shared" si="198"/>
        <v>44</v>
      </c>
      <c r="K699" s="2">
        <v>3</v>
      </c>
      <c r="L699" s="2">
        <v>8</v>
      </c>
      <c r="M699" s="12">
        <f t="shared" si="199"/>
        <v>1.0884034404434258E-2</v>
      </c>
      <c r="N699" s="2">
        <f t="shared" si="195"/>
        <v>1.5727823062413843E-2</v>
      </c>
      <c r="O699" s="2">
        <f t="shared" si="200"/>
        <v>0.10432657573425028</v>
      </c>
      <c r="P699" s="2" t="s">
        <v>787</v>
      </c>
      <c r="S699" s="2">
        <f t="shared" si="201"/>
        <v>4.0940000000000003</v>
      </c>
      <c r="W699" s="2">
        <f t="shared" si="202"/>
        <v>81.666666666666671</v>
      </c>
      <c r="Z699" s="2">
        <f>2025-AVERAGE($Y$693:$Y$736)</f>
        <v>17</v>
      </c>
      <c r="AD699" s="3"/>
      <c r="AE699" s="2">
        <v>1</v>
      </c>
      <c r="AF699" s="2" t="str">
        <f t="shared" si="142"/>
        <v>US</v>
      </c>
      <c r="AI699" s="2">
        <f t="shared" si="203"/>
        <v>2.5</v>
      </c>
      <c r="AJ699" s="2">
        <f t="shared" si="204"/>
        <v>2.1666666666666665</v>
      </c>
      <c r="AK699" s="2" t="s">
        <v>112</v>
      </c>
      <c r="AL699" s="2">
        <v>37</v>
      </c>
      <c r="AN699" s="2" t="s">
        <v>1193</v>
      </c>
      <c r="AO699" s="2">
        <v>6.8140000000000001</v>
      </c>
    </row>
    <row r="700" spans="1:41" s="2" customFormat="1" ht="15.6">
      <c r="A700" s="2">
        <v>15</v>
      </c>
      <c r="B700" s="2" t="s">
        <v>1142</v>
      </c>
      <c r="C700" s="2" t="s">
        <v>365</v>
      </c>
      <c r="D700" s="3">
        <f t="shared" si="196"/>
        <v>36.363636363636367</v>
      </c>
      <c r="E700" s="3"/>
      <c r="F700" s="2">
        <v>2015</v>
      </c>
      <c r="G700">
        <f t="shared" si="193"/>
        <v>10</v>
      </c>
      <c r="H700" s="2">
        <f t="shared" si="197"/>
        <v>0.22986181666666664</v>
      </c>
      <c r="J700" s="2">
        <f t="shared" si="198"/>
        <v>44</v>
      </c>
      <c r="K700" s="2">
        <v>3</v>
      </c>
      <c r="L700" s="2">
        <v>8</v>
      </c>
      <c r="M700" s="12">
        <f t="shared" si="199"/>
        <v>1.0884034404434258E-2</v>
      </c>
      <c r="N700" s="2">
        <f t="shared" si="195"/>
        <v>1.5727823062413843E-2</v>
      </c>
      <c r="O700" s="2">
        <f t="shared" si="200"/>
        <v>0.10432657573425028</v>
      </c>
      <c r="P700" s="2" t="s">
        <v>788</v>
      </c>
      <c r="S700" s="2">
        <f t="shared" si="201"/>
        <v>4.0940000000000003</v>
      </c>
      <c r="W700" s="2">
        <f t="shared" si="202"/>
        <v>81.666666666666671</v>
      </c>
      <c r="Z700" s="2">
        <f>2025-AVERAGE($Y$693:$Y$736)</f>
        <v>17</v>
      </c>
      <c r="AD700" s="3"/>
      <c r="AE700" s="2">
        <v>1</v>
      </c>
      <c r="AF700" s="2" t="str">
        <f t="shared" si="142"/>
        <v>US</v>
      </c>
      <c r="AI700" s="2">
        <f t="shared" si="203"/>
        <v>2.5</v>
      </c>
      <c r="AJ700" s="2">
        <f t="shared" si="204"/>
        <v>2.1666666666666665</v>
      </c>
      <c r="AK700" s="2" t="s">
        <v>112</v>
      </c>
      <c r="AL700" s="2">
        <v>37</v>
      </c>
      <c r="AN700" s="2" t="s">
        <v>1193</v>
      </c>
      <c r="AO700" s="2">
        <v>6.8140000000000001</v>
      </c>
    </row>
    <row r="701" spans="1:41" s="2" customFormat="1" ht="15.6">
      <c r="A701" s="2">
        <v>15</v>
      </c>
      <c r="B701" s="2" t="s">
        <v>1142</v>
      </c>
      <c r="C701" s="2" t="s">
        <v>365</v>
      </c>
      <c r="D701" s="3">
        <f t="shared" si="196"/>
        <v>36.363636363636367</v>
      </c>
      <c r="E701" s="3"/>
      <c r="F701" s="2">
        <v>2015</v>
      </c>
      <c r="G701">
        <f t="shared" si="193"/>
        <v>10</v>
      </c>
      <c r="H701" s="2">
        <f t="shared" si="197"/>
        <v>0.22986181666666664</v>
      </c>
      <c r="J701" s="2">
        <f t="shared" si="198"/>
        <v>44</v>
      </c>
      <c r="K701" s="2">
        <v>3</v>
      </c>
      <c r="L701" s="2">
        <v>8</v>
      </c>
      <c r="M701" s="12">
        <f t="shared" si="199"/>
        <v>1.0884034404434258E-2</v>
      </c>
      <c r="N701" s="2">
        <f t="shared" si="195"/>
        <v>1.5727823062413843E-2</v>
      </c>
      <c r="O701" s="2">
        <f t="shared" si="200"/>
        <v>0.10432657573425028</v>
      </c>
      <c r="P701" s="2" t="s">
        <v>789</v>
      </c>
      <c r="S701" s="2">
        <f t="shared" si="201"/>
        <v>4.0940000000000003</v>
      </c>
      <c r="W701" s="2">
        <f t="shared" si="202"/>
        <v>81.666666666666671</v>
      </c>
      <c r="Z701" s="2">
        <f>2025-AVERAGE($Y$693:$Y$736)</f>
        <v>17</v>
      </c>
      <c r="AD701" s="3"/>
      <c r="AE701" s="2">
        <v>1</v>
      </c>
      <c r="AF701" s="2" t="str">
        <f t="shared" si="142"/>
        <v>US</v>
      </c>
      <c r="AI701" s="2">
        <f t="shared" si="203"/>
        <v>2.5</v>
      </c>
      <c r="AJ701" s="2">
        <f t="shared" si="204"/>
        <v>2.1666666666666665</v>
      </c>
      <c r="AK701" s="2" t="s">
        <v>112</v>
      </c>
      <c r="AL701" s="2">
        <v>37</v>
      </c>
      <c r="AN701" s="2" t="s">
        <v>1193</v>
      </c>
      <c r="AO701" s="2">
        <v>6.8140000000000001</v>
      </c>
    </row>
    <row r="702" spans="1:41" s="2" customFormat="1" ht="15.6">
      <c r="A702" s="2">
        <v>15</v>
      </c>
      <c r="B702" s="2" t="s">
        <v>1142</v>
      </c>
      <c r="C702" s="2" t="s">
        <v>365</v>
      </c>
      <c r="D702" s="3">
        <f t="shared" si="196"/>
        <v>36.363636363636367</v>
      </c>
      <c r="E702" s="3"/>
      <c r="F702" s="2">
        <v>2015</v>
      </c>
      <c r="G702">
        <f t="shared" si="193"/>
        <v>10</v>
      </c>
      <c r="H702" s="2">
        <f t="shared" si="197"/>
        <v>0.22986181666666664</v>
      </c>
      <c r="J702" s="2">
        <f t="shared" si="198"/>
        <v>44</v>
      </c>
      <c r="K702" s="2">
        <v>3</v>
      </c>
      <c r="L702" s="2">
        <v>8</v>
      </c>
      <c r="M702" s="12">
        <f t="shared" si="199"/>
        <v>1.0884034404434258E-2</v>
      </c>
      <c r="N702" s="2">
        <f t="shared" si="195"/>
        <v>1.5727823062413843E-2</v>
      </c>
      <c r="O702" s="2">
        <f t="shared" si="200"/>
        <v>0.10432657573425028</v>
      </c>
      <c r="P702" s="2" t="s">
        <v>790</v>
      </c>
      <c r="S702" s="2">
        <f t="shared" si="201"/>
        <v>4.0940000000000003</v>
      </c>
      <c r="W702" s="2">
        <f t="shared" si="202"/>
        <v>81.666666666666671</v>
      </c>
      <c r="Z702" s="2">
        <f>2025-AVERAGE($Y$693:$Y$736)</f>
        <v>17</v>
      </c>
      <c r="AD702" s="3"/>
      <c r="AE702" s="2">
        <v>1</v>
      </c>
      <c r="AF702" s="2" t="str">
        <f t="shared" si="142"/>
        <v>US</v>
      </c>
      <c r="AI702" s="2">
        <f t="shared" si="203"/>
        <v>2.5</v>
      </c>
      <c r="AJ702" s="2">
        <f t="shared" si="204"/>
        <v>2.1666666666666665</v>
      </c>
      <c r="AK702" s="2" t="s">
        <v>112</v>
      </c>
      <c r="AL702" s="2">
        <v>37</v>
      </c>
      <c r="AN702" s="2" t="s">
        <v>1193</v>
      </c>
      <c r="AO702" s="2">
        <v>6.8140000000000001</v>
      </c>
    </row>
    <row r="703" spans="1:41" s="2" customFormat="1" ht="15.6">
      <c r="A703" s="2">
        <v>15</v>
      </c>
      <c r="B703" s="2" t="s">
        <v>1142</v>
      </c>
      <c r="C703" s="2" t="s">
        <v>365</v>
      </c>
      <c r="D703" s="3">
        <f t="shared" si="196"/>
        <v>36.363636363636367</v>
      </c>
      <c r="E703" s="3"/>
      <c r="F703" s="2">
        <v>2015</v>
      </c>
      <c r="G703">
        <f t="shared" si="193"/>
        <v>10</v>
      </c>
      <c r="H703" s="2">
        <f t="shared" si="197"/>
        <v>0.22986181666666664</v>
      </c>
      <c r="J703" s="2">
        <f t="shared" si="198"/>
        <v>44</v>
      </c>
      <c r="K703" s="2">
        <v>3</v>
      </c>
      <c r="L703" s="2">
        <v>8</v>
      </c>
      <c r="M703" s="12">
        <f t="shared" si="199"/>
        <v>1.0884034404434258E-2</v>
      </c>
      <c r="N703" s="2">
        <f t="shared" si="195"/>
        <v>1.5727823062413843E-2</v>
      </c>
      <c r="O703" s="2">
        <f t="shared" si="200"/>
        <v>0.10432657573425028</v>
      </c>
      <c r="P703" s="2" t="s">
        <v>791</v>
      </c>
      <c r="Q703" s="2" t="s">
        <v>371</v>
      </c>
      <c r="R703" s="2" cm="1">
        <f t="array" ref="R703">_xlfn.IFS(Q703="PS",3.607,Q703="JEPLMC",6.096,Q703="JPSP",2.579)</f>
        <v>3.6070000000000002</v>
      </c>
      <c r="S703" s="2">
        <f t="shared" si="201"/>
        <v>4.0940000000000003</v>
      </c>
      <c r="T703" s="2" t="s">
        <v>103</v>
      </c>
      <c r="U703" s="2">
        <v>191</v>
      </c>
      <c r="W703" s="2">
        <f t="shared" si="202"/>
        <v>81.666666666666671</v>
      </c>
      <c r="X703" s="2" t="s">
        <v>377</v>
      </c>
      <c r="Y703" s="2">
        <v>2008</v>
      </c>
      <c r="Z703" s="2">
        <f>2025-AVERAGE($Y$693:$Y$736)</f>
        <v>17</v>
      </c>
      <c r="AA703" s="2" t="s">
        <v>408</v>
      </c>
      <c r="AB703" s="2">
        <v>7.0000000000000001E-3</v>
      </c>
      <c r="AC703" s="2">
        <v>0.44565263599999999</v>
      </c>
      <c r="AD703" s="3">
        <v>0.42336380600000001</v>
      </c>
      <c r="AE703" s="2">
        <v>1</v>
      </c>
      <c r="AF703" s="2" t="str">
        <f t="shared" si="142"/>
        <v>US</v>
      </c>
      <c r="AG703" s="2">
        <v>3</v>
      </c>
      <c r="AH703" s="2">
        <v>2</v>
      </c>
      <c r="AI703" s="2">
        <f t="shared" si="203"/>
        <v>2.5</v>
      </c>
      <c r="AJ703" s="2">
        <f t="shared" si="204"/>
        <v>2.1666666666666665</v>
      </c>
      <c r="AK703" s="2" t="s">
        <v>112</v>
      </c>
      <c r="AL703" s="2">
        <v>37</v>
      </c>
      <c r="AM703" s="2" t="s">
        <v>115</v>
      </c>
      <c r="AN703" s="2" t="s">
        <v>1193</v>
      </c>
      <c r="AO703" s="2">
        <v>6.8140000000000001</v>
      </c>
    </row>
    <row r="704" spans="1:41" s="2" customFormat="1" ht="15.6">
      <c r="A704" s="2">
        <v>15</v>
      </c>
      <c r="B704" s="2" t="s">
        <v>1142</v>
      </c>
      <c r="C704" s="2" t="s">
        <v>365</v>
      </c>
      <c r="D704" s="3">
        <f t="shared" si="196"/>
        <v>36.363636363636367</v>
      </c>
      <c r="E704" s="3"/>
      <c r="F704" s="2">
        <v>2015</v>
      </c>
      <c r="G704">
        <f t="shared" si="193"/>
        <v>10</v>
      </c>
      <c r="H704" s="2">
        <f t="shared" si="197"/>
        <v>0.22986181666666664</v>
      </c>
      <c r="J704" s="2">
        <f t="shared" si="198"/>
        <v>44</v>
      </c>
      <c r="K704" s="2">
        <v>3</v>
      </c>
      <c r="L704" s="2">
        <v>8</v>
      </c>
      <c r="M704" s="12">
        <f t="shared" si="199"/>
        <v>1.0884034404434258E-2</v>
      </c>
      <c r="N704" s="2">
        <f t="shared" si="195"/>
        <v>1.5727823062413843E-2</v>
      </c>
      <c r="O704" s="2">
        <f t="shared" si="200"/>
        <v>0.10432657573425028</v>
      </c>
      <c r="P704" s="2" t="s">
        <v>792</v>
      </c>
      <c r="S704" s="2">
        <f t="shared" si="201"/>
        <v>4.0940000000000003</v>
      </c>
      <c r="W704" s="2">
        <f t="shared" si="202"/>
        <v>81.666666666666671</v>
      </c>
      <c r="Z704" s="2">
        <f>2025-AVERAGE($Y$693:$Y$736)</f>
        <v>17</v>
      </c>
      <c r="AD704" s="3"/>
      <c r="AE704" s="2">
        <v>1</v>
      </c>
      <c r="AF704" s="2" t="str">
        <f t="shared" si="142"/>
        <v>US</v>
      </c>
      <c r="AI704" s="2">
        <f t="shared" si="203"/>
        <v>2.5</v>
      </c>
      <c r="AJ704" s="2">
        <f t="shared" si="204"/>
        <v>2.1666666666666665</v>
      </c>
      <c r="AK704" s="2" t="s">
        <v>112</v>
      </c>
      <c r="AL704" s="2">
        <v>37</v>
      </c>
      <c r="AN704" s="2" t="s">
        <v>1193</v>
      </c>
      <c r="AO704" s="2">
        <v>6.8140000000000001</v>
      </c>
    </row>
    <row r="705" spans="1:41" s="2" customFormat="1" ht="15.6">
      <c r="A705" s="2">
        <v>15</v>
      </c>
      <c r="B705" s="2" t="s">
        <v>1142</v>
      </c>
      <c r="C705" s="2" t="s">
        <v>365</v>
      </c>
      <c r="D705" s="3">
        <f t="shared" si="196"/>
        <v>36.363636363636367</v>
      </c>
      <c r="E705" s="3"/>
      <c r="F705" s="2">
        <v>2015</v>
      </c>
      <c r="G705">
        <f t="shared" si="193"/>
        <v>10</v>
      </c>
      <c r="H705" s="2">
        <f t="shared" si="197"/>
        <v>0.22986181666666664</v>
      </c>
      <c r="J705" s="2">
        <f t="shared" si="198"/>
        <v>44</v>
      </c>
      <c r="K705" s="2">
        <v>3</v>
      </c>
      <c r="L705" s="2">
        <v>8</v>
      </c>
      <c r="M705" s="12">
        <f t="shared" si="199"/>
        <v>1.0884034404434258E-2</v>
      </c>
      <c r="N705" s="2">
        <f t="shared" si="195"/>
        <v>1.5727823062413843E-2</v>
      </c>
      <c r="O705" s="2">
        <f t="shared" si="200"/>
        <v>0.10432657573425028</v>
      </c>
      <c r="P705" s="2" t="s">
        <v>793</v>
      </c>
      <c r="S705" s="2">
        <f t="shared" si="201"/>
        <v>4.0940000000000003</v>
      </c>
      <c r="W705" s="2">
        <f t="shared" si="202"/>
        <v>81.666666666666671</v>
      </c>
      <c r="Z705" s="2">
        <f>2025-AVERAGE($Y$693:$Y$736)</f>
        <v>17</v>
      </c>
      <c r="AD705" s="3"/>
      <c r="AE705" s="2">
        <v>1</v>
      </c>
      <c r="AF705" s="2" t="str">
        <f t="shared" si="142"/>
        <v>US</v>
      </c>
      <c r="AI705" s="2">
        <f t="shared" si="203"/>
        <v>2.5</v>
      </c>
      <c r="AJ705" s="2">
        <f t="shared" si="204"/>
        <v>2.1666666666666665</v>
      </c>
      <c r="AK705" s="2" t="s">
        <v>112</v>
      </c>
      <c r="AL705" s="2">
        <v>37</v>
      </c>
      <c r="AN705" s="2" t="s">
        <v>1193</v>
      </c>
      <c r="AO705" s="2">
        <v>6.8140000000000001</v>
      </c>
    </row>
    <row r="706" spans="1:41" s="2" customFormat="1" ht="15.6">
      <c r="A706" s="2">
        <v>15</v>
      </c>
      <c r="B706" s="2" t="s">
        <v>1142</v>
      </c>
      <c r="C706" s="2" t="s">
        <v>365</v>
      </c>
      <c r="D706" s="3">
        <f t="shared" si="196"/>
        <v>36.363636363636367</v>
      </c>
      <c r="E706" s="3"/>
      <c r="F706" s="2">
        <v>2015</v>
      </c>
      <c r="G706">
        <f t="shared" si="193"/>
        <v>10</v>
      </c>
      <c r="H706" s="2">
        <f t="shared" si="197"/>
        <v>0.22986181666666664</v>
      </c>
      <c r="J706" s="2">
        <f t="shared" si="198"/>
        <v>44</v>
      </c>
      <c r="K706" s="2">
        <v>3</v>
      </c>
      <c r="L706" s="2">
        <v>8</v>
      </c>
      <c r="M706" s="12">
        <f t="shared" si="199"/>
        <v>1.0884034404434258E-2</v>
      </c>
      <c r="N706" s="2">
        <f t="shared" si="195"/>
        <v>1.5727823062413843E-2</v>
      </c>
      <c r="O706" s="2">
        <f t="shared" si="200"/>
        <v>0.10432657573425028</v>
      </c>
      <c r="P706" s="2" t="s">
        <v>794</v>
      </c>
      <c r="S706" s="2">
        <f t="shared" si="201"/>
        <v>4.0940000000000003</v>
      </c>
      <c r="W706" s="2">
        <f t="shared" si="202"/>
        <v>81.666666666666671</v>
      </c>
      <c r="Z706" s="2">
        <f>2025-AVERAGE($Y$693:$Y$736)</f>
        <v>17</v>
      </c>
      <c r="AD706" s="3"/>
      <c r="AE706" s="2">
        <v>1</v>
      </c>
      <c r="AF706" s="2" t="str">
        <f t="shared" si="142"/>
        <v>US</v>
      </c>
      <c r="AI706" s="2">
        <f t="shared" si="203"/>
        <v>2.5</v>
      </c>
      <c r="AJ706" s="2">
        <f t="shared" si="204"/>
        <v>2.1666666666666665</v>
      </c>
      <c r="AK706" s="2" t="s">
        <v>112</v>
      </c>
      <c r="AL706" s="2">
        <v>37</v>
      </c>
      <c r="AN706" s="2" t="s">
        <v>1193</v>
      </c>
      <c r="AO706" s="2">
        <v>6.8140000000000001</v>
      </c>
    </row>
    <row r="707" spans="1:41" s="2" customFormat="1" ht="15.6">
      <c r="A707" s="2">
        <v>15</v>
      </c>
      <c r="B707" s="2" t="s">
        <v>1142</v>
      </c>
      <c r="C707" s="2" t="s">
        <v>365</v>
      </c>
      <c r="D707" s="3">
        <f t="shared" si="196"/>
        <v>36.363636363636367</v>
      </c>
      <c r="E707" s="3"/>
      <c r="F707" s="2">
        <v>2015</v>
      </c>
      <c r="G707">
        <f t="shared" si="193"/>
        <v>10</v>
      </c>
      <c r="H707" s="2">
        <f t="shared" si="197"/>
        <v>0.22986181666666664</v>
      </c>
      <c r="J707" s="2">
        <f t="shared" si="198"/>
        <v>44</v>
      </c>
      <c r="K707" s="2">
        <v>3</v>
      </c>
      <c r="L707" s="2">
        <v>8</v>
      </c>
      <c r="M707" s="12">
        <f t="shared" si="199"/>
        <v>1.0884034404434258E-2</v>
      </c>
      <c r="N707" s="2">
        <f t="shared" si="195"/>
        <v>1.5727823062413843E-2</v>
      </c>
      <c r="O707" s="2">
        <f t="shared" si="200"/>
        <v>0.10432657573425028</v>
      </c>
      <c r="P707" s="2" t="s">
        <v>795</v>
      </c>
      <c r="S707" s="2">
        <f t="shared" si="201"/>
        <v>4.0940000000000003</v>
      </c>
      <c r="W707" s="2">
        <f t="shared" si="202"/>
        <v>81.666666666666671</v>
      </c>
      <c r="Z707" s="2">
        <f>2025-AVERAGE($Y$693:$Y$736)</f>
        <v>17</v>
      </c>
      <c r="AD707" s="3"/>
      <c r="AE707" s="2">
        <v>1</v>
      </c>
      <c r="AF707" s="2" t="str">
        <f t="shared" si="142"/>
        <v>US</v>
      </c>
      <c r="AI707" s="2">
        <f t="shared" si="203"/>
        <v>2.5</v>
      </c>
      <c r="AJ707" s="2">
        <f t="shared" si="204"/>
        <v>2.1666666666666665</v>
      </c>
      <c r="AK707" s="2" t="s">
        <v>112</v>
      </c>
      <c r="AL707" s="2">
        <v>37</v>
      </c>
      <c r="AN707" s="2" t="s">
        <v>1193</v>
      </c>
      <c r="AO707" s="2">
        <v>6.8140000000000001</v>
      </c>
    </row>
    <row r="708" spans="1:41" s="2" customFormat="1" ht="15.6">
      <c r="A708" s="2">
        <v>15</v>
      </c>
      <c r="B708" s="2" t="s">
        <v>1142</v>
      </c>
      <c r="C708" s="2" t="s">
        <v>365</v>
      </c>
      <c r="D708" s="3">
        <f t="shared" si="196"/>
        <v>36.363636363636367</v>
      </c>
      <c r="E708" s="3"/>
      <c r="F708" s="2">
        <v>2015</v>
      </c>
      <c r="G708">
        <f t="shared" si="193"/>
        <v>10</v>
      </c>
      <c r="H708" s="2">
        <f t="shared" si="197"/>
        <v>0.22986181666666664</v>
      </c>
      <c r="J708" s="2">
        <f t="shared" si="198"/>
        <v>44</v>
      </c>
      <c r="K708" s="2">
        <v>3</v>
      </c>
      <c r="L708" s="2">
        <v>8</v>
      </c>
      <c r="M708" s="12">
        <f t="shared" si="199"/>
        <v>1.0884034404434258E-2</v>
      </c>
      <c r="N708" s="2">
        <f t="shared" si="195"/>
        <v>1.5727823062413843E-2</v>
      </c>
      <c r="O708" s="2">
        <f t="shared" si="200"/>
        <v>0.10432657573425028</v>
      </c>
      <c r="P708" s="2" t="s">
        <v>796</v>
      </c>
      <c r="Q708" s="2" t="s">
        <v>372</v>
      </c>
      <c r="R708" s="2" cm="1">
        <f t="array" ref="R708">_xlfn.IFS(Q708="PS",3.607,Q708="JEPLMC",6.096,Q708="JPSP",2.579)</f>
        <v>6.0960000000000001</v>
      </c>
      <c r="S708" s="2">
        <f t="shared" si="201"/>
        <v>4.0940000000000003</v>
      </c>
      <c r="T708" s="2" t="s">
        <v>101</v>
      </c>
      <c r="U708" s="2">
        <v>72</v>
      </c>
      <c r="W708" s="2">
        <f t="shared" si="202"/>
        <v>81.666666666666671</v>
      </c>
      <c r="X708" s="2" t="s">
        <v>377</v>
      </c>
      <c r="Y708" s="2">
        <v>2008</v>
      </c>
      <c r="Z708" s="2">
        <f>2025-AVERAGE($Y$693:$Y$736)</f>
        <v>17</v>
      </c>
      <c r="AA708" s="2" t="s">
        <v>399</v>
      </c>
      <c r="AB708" s="2">
        <v>0.33</v>
      </c>
      <c r="AC708" s="2">
        <v>0.34177348800000001</v>
      </c>
      <c r="AD708" s="3">
        <v>0.10326110500000001</v>
      </c>
      <c r="AE708" s="2">
        <v>1</v>
      </c>
      <c r="AF708" s="2" t="str">
        <f t="shared" si="142"/>
        <v>US</v>
      </c>
      <c r="AG708" s="2">
        <v>4</v>
      </c>
      <c r="AH708" s="2">
        <v>2</v>
      </c>
      <c r="AI708" s="2">
        <f t="shared" si="203"/>
        <v>2.5</v>
      </c>
      <c r="AJ708" s="2">
        <f t="shared" si="204"/>
        <v>2.1666666666666665</v>
      </c>
      <c r="AK708" s="2" t="s">
        <v>112</v>
      </c>
      <c r="AL708" s="2">
        <v>37</v>
      </c>
      <c r="AM708" s="2" t="s">
        <v>115</v>
      </c>
      <c r="AN708" s="2" t="s">
        <v>1193</v>
      </c>
      <c r="AO708" s="2">
        <v>6.8140000000000001</v>
      </c>
    </row>
    <row r="709" spans="1:41" s="2" customFormat="1" ht="15.6">
      <c r="A709" s="2">
        <v>15</v>
      </c>
      <c r="B709" s="2" t="s">
        <v>1142</v>
      </c>
      <c r="C709" s="2" t="s">
        <v>365</v>
      </c>
      <c r="D709" s="3">
        <f t="shared" si="196"/>
        <v>36.363636363636367</v>
      </c>
      <c r="E709" s="3"/>
      <c r="F709" s="2">
        <v>2015</v>
      </c>
      <c r="G709">
        <f t="shared" si="193"/>
        <v>10</v>
      </c>
      <c r="H709" s="2">
        <f t="shared" si="197"/>
        <v>0.22986181666666664</v>
      </c>
      <c r="J709" s="2">
        <f t="shared" si="198"/>
        <v>44</v>
      </c>
      <c r="K709" s="2">
        <v>3</v>
      </c>
      <c r="L709" s="2">
        <v>8</v>
      </c>
      <c r="M709" s="12">
        <f t="shared" si="199"/>
        <v>1.0884034404434258E-2</v>
      </c>
      <c r="N709" s="2">
        <f t="shared" si="195"/>
        <v>1.5727823062413843E-2</v>
      </c>
      <c r="O709" s="2">
        <f t="shared" si="200"/>
        <v>0.10432657573425028</v>
      </c>
      <c r="P709" s="2" t="s">
        <v>797</v>
      </c>
      <c r="Q709" s="2" t="s">
        <v>373</v>
      </c>
      <c r="R709" s="2" cm="1">
        <f t="array" ref="R709">_xlfn.IFS(Q709="PS",3.607,Q709="JEPLMC",6.096,Q709="JPSP",2.579)</f>
        <v>2.5790000000000002</v>
      </c>
      <c r="S709" s="2">
        <f t="shared" si="201"/>
        <v>4.0940000000000003</v>
      </c>
      <c r="T709" s="2" t="s">
        <v>101</v>
      </c>
      <c r="U709" s="2">
        <v>27</v>
      </c>
      <c r="W709" s="2">
        <f t="shared" si="202"/>
        <v>81.666666666666671</v>
      </c>
      <c r="X709" s="2" t="s">
        <v>377</v>
      </c>
      <c r="Y709" s="2">
        <v>2008</v>
      </c>
      <c r="Z709" s="2">
        <f>2025-AVERAGE($Y$693:$Y$736)</f>
        <v>17</v>
      </c>
      <c r="AA709" s="2" t="s">
        <v>389</v>
      </c>
      <c r="AB709" s="2">
        <v>0.19</v>
      </c>
      <c r="AC709" s="2">
        <v>0.25995853400000002</v>
      </c>
      <c r="AD709" s="3">
        <v>0.15539538999999999</v>
      </c>
      <c r="AE709" s="2">
        <v>1</v>
      </c>
      <c r="AF709" s="2" t="str">
        <f t="shared" ref="AF709:AF736" si="205">IF(AE709=1,"US","Non-US")</f>
        <v>US</v>
      </c>
      <c r="AG709" s="2">
        <v>3</v>
      </c>
      <c r="AH709" s="2">
        <v>2</v>
      </c>
      <c r="AI709" s="2">
        <f t="shared" si="203"/>
        <v>2.5</v>
      </c>
      <c r="AJ709" s="2">
        <f t="shared" si="204"/>
        <v>2.1666666666666665</v>
      </c>
      <c r="AK709" s="2" t="s">
        <v>112</v>
      </c>
      <c r="AL709" s="2">
        <v>37</v>
      </c>
      <c r="AM709" s="2" t="s">
        <v>115</v>
      </c>
      <c r="AN709" s="2" t="s">
        <v>1193</v>
      </c>
      <c r="AO709" s="2">
        <v>6.8140000000000001</v>
      </c>
    </row>
    <row r="710" spans="1:41" s="2" customFormat="1" ht="15.6">
      <c r="A710" s="2">
        <v>15</v>
      </c>
      <c r="B710" s="2" t="s">
        <v>1142</v>
      </c>
      <c r="C710" s="2" t="s">
        <v>365</v>
      </c>
      <c r="D710" s="3">
        <f t="shared" si="196"/>
        <v>36.363636363636367</v>
      </c>
      <c r="E710" s="3"/>
      <c r="F710" s="2">
        <v>2015</v>
      </c>
      <c r="G710">
        <f t="shared" si="193"/>
        <v>10</v>
      </c>
      <c r="H710" s="2">
        <f t="shared" si="197"/>
        <v>0.22986181666666664</v>
      </c>
      <c r="J710" s="2">
        <f t="shared" si="198"/>
        <v>44</v>
      </c>
      <c r="K710" s="2">
        <v>3</v>
      </c>
      <c r="L710" s="2">
        <v>8</v>
      </c>
      <c r="M710" s="12">
        <f t="shared" si="199"/>
        <v>1.0884034404434258E-2</v>
      </c>
      <c r="N710" s="2">
        <f t="shared" si="195"/>
        <v>1.5727823062413843E-2</v>
      </c>
      <c r="O710" s="2">
        <f t="shared" si="200"/>
        <v>0.10432657573425028</v>
      </c>
      <c r="P710" s="2" t="s">
        <v>798</v>
      </c>
      <c r="S710" s="2">
        <f t="shared" si="201"/>
        <v>4.0940000000000003</v>
      </c>
      <c r="W710" s="2">
        <f t="shared" si="202"/>
        <v>81.666666666666671</v>
      </c>
      <c r="Z710" s="2">
        <f>2025-AVERAGE($Y$693:$Y$736)</f>
        <v>17</v>
      </c>
      <c r="AD710" s="3"/>
      <c r="AE710" s="2">
        <v>1</v>
      </c>
      <c r="AF710" s="2" t="str">
        <f t="shared" si="205"/>
        <v>US</v>
      </c>
      <c r="AI710" s="2">
        <f t="shared" si="203"/>
        <v>2.5</v>
      </c>
      <c r="AJ710" s="2">
        <f t="shared" si="204"/>
        <v>2.1666666666666665</v>
      </c>
      <c r="AK710" s="2" t="s">
        <v>112</v>
      </c>
      <c r="AL710" s="2">
        <v>37</v>
      </c>
      <c r="AN710" s="2" t="s">
        <v>1193</v>
      </c>
      <c r="AO710" s="2">
        <v>6.8140000000000001</v>
      </c>
    </row>
    <row r="711" spans="1:41" s="2" customFormat="1" ht="15.6">
      <c r="A711" s="2">
        <v>15</v>
      </c>
      <c r="B711" s="2" t="s">
        <v>1142</v>
      </c>
      <c r="C711" s="2" t="s">
        <v>365</v>
      </c>
      <c r="D711" s="3">
        <f t="shared" si="196"/>
        <v>36.363636363636367</v>
      </c>
      <c r="E711" s="3"/>
      <c r="F711" s="2">
        <v>2015</v>
      </c>
      <c r="G711">
        <f t="shared" si="193"/>
        <v>10</v>
      </c>
      <c r="H711" s="2">
        <f t="shared" si="197"/>
        <v>0.22986181666666664</v>
      </c>
      <c r="J711" s="2">
        <f t="shared" si="198"/>
        <v>44</v>
      </c>
      <c r="K711" s="2">
        <v>3</v>
      </c>
      <c r="L711" s="2">
        <v>8</v>
      </c>
      <c r="M711" s="12">
        <f t="shared" si="199"/>
        <v>1.0884034404434258E-2</v>
      </c>
      <c r="N711" s="2">
        <f t="shared" si="195"/>
        <v>1.5727823062413843E-2</v>
      </c>
      <c r="O711" s="2">
        <f t="shared" si="200"/>
        <v>0.10432657573425028</v>
      </c>
      <c r="P711" s="2" t="s">
        <v>799</v>
      </c>
      <c r="S711" s="2">
        <f t="shared" si="201"/>
        <v>4.0940000000000003</v>
      </c>
      <c r="W711" s="2">
        <f t="shared" si="202"/>
        <v>81.666666666666671</v>
      </c>
      <c r="Z711" s="2">
        <f>2025-AVERAGE($Y$693:$Y$736)</f>
        <v>17</v>
      </c>
      <c r="AD711" s="3"/>
      <c r="AE711" s="2">
        <v>1</v>
      </c>
      <c r="AF711" s="2" t="str">
        <f t="shared" si="205"/>
        <v>US</v>
      </c>
      <c r="AI711" s="2">
        <f t="shared" si="203"/>
        <v>2.5</v>
      </c>
      <c r="AJ711" s="2">
        <f t="shared" si="204"/>
        <v>2.1666666666666665</v>
      </c>
      <c r="AK711" s="2" t="s">
        <v>112</v>
      </c>
      <c r="AL711" s="2">
        <v>37</v>
      </c>
      <c r="AN711" s="2" t="s">
        <v>1193</v>
      </c>
      <c r="AO711" s="2">
        <v>6.8140000000000001</v>
      </c>
    </row>
    <row r="712" spans="1:41" s="2" customFormat="1" ht="15.6">
      <c r="A712" s="2">
        <v>15</v>
      </c>
      <c r="B712" s="2" t="s">
        <v>1142</v>
      </c>
      <c r="C712" s="2" t="s">
        <v>365</v>
      </c>
      <c r="D712" s="3">
        <f t="shared" si="196"/>
        <v>36.363636363636367</v>
      </c>
      <c r="E712" s="3"/>
      <c r="F712" s="2">
        <v>2015</v>
      </c>
      <c r="G712">
        <f t="shared" si="193"/>
        <v>10</v>
      </c>
      <c r="H712" s="2">
        <f t="shared" si="197"/>
        <v>0.22986181666666664</v>
      </c>
      <c r="J712" s="2">
        <f t="shared" si="198"/>
        <v>44</v>
      </c>
      <c r="K712" s="2">
        <v>3</v>
      </c>
      <c r="L712" s="2">
        <v>8</v>
      </c>
      <c r="M712" s="12">
        <f t="shared" si="199"/>
        <v>1.0884034404434258E-2</v>
      </c>
      <c r="N712" s="2">
        <f t="shared" si="195"/>
        <v>1.5727823062413843E-2</v>
      </c>
      <c r="O712" s="2">
        <f t="shared" si="200"/>
        <v>0.10432657573425028</v>
      </c>
      <c r="P712" s="2" t="s">
        <v>800</v>
      </c>
      <c r="S712" s="2">
        <f t="shared" si="201"/>
        <v>4.0940000000000003</v>
      </c>
      <c r="W712" s="2">
        <f t="shared" si="202"/>
        <v>81.666666666666671</v>
      </c>
      <c r="Z712" s="2">
        <f>2025-AVERAGE($Y$693:$Y$736)</f>
        <v>17</v>
      </c>
      <c r="AD712" s="3"/>
      <c r="AE712" s="2">
        <v>1</v>
      </c>
      <c r="AF712" s="2" t="str">
        <f t="shared" si="205"/>
        <v>US</v>
      </c>
      <c r="AI712" s="2">
        <f t="shared" si="203"/>
        <v>2.5</v>
      </c>
      <c r="AJ712" s="2">
        <f t="shared" si="204"/>
        <v>2.1666666666666665</v>
      </c>
      <c r="AK712" s="2" t="s">
        <v>112</v>
      </c>
      <c r="AL712" s="2">
        <v>37</v>
      </c>
      <c r="AN712" s="2" t="s">
        <v>1193</v>
      </c>
      <c r="AO712" s="2">
        <v>6.8140000000000001</v>
      </c>
    </row>
    <row r="713" spans="1:41" s="2" customFormat="1" ht="15.6">
      <c r="A713" s="2">
        <v>15</v>
      </c>
      <c r="B713" s="2" t="s">
        <v>1142</v>
      </c>
      <c r="C713" s="2" t="s">
        <v>365</v>
      </c>
      <c r="D713" s="3">
        <f t="shared" si="196"/>
        <v>36.363636363636367</v>
      </c>
      <c r="E713" s="3"/>
      <c r="F713" s="2">
        <v>2015</v>
      </c>
      <c r="G713">
        <f t="shared" si="193"/>
        <v>10</v>
      </c>
      <c r="H713" s="2">
        <f t="shared" si="197"/>
        <v>0.22986181666666664</v>
      </c>
      <c r="J713" s="2">
        <f t="shared" si="198"/>
        <v>44</v>
      </c>
      <c r="K713" s="2">
        <v>3</v>
      </c>
      <c r="L713" s="2">
        <v>8</v>
      </c>
      <c r="M713" s="12">
        <f t="shared" si="199"/>
        <v>1.0884034404434258E-2</v>
      </c>
      <c r="N713" s="2">
        <f t="shared" si="195"/>
        <v>1.5727823062413843E-2</v>
      </c>
      <c r="O713" s="2">
        <f t="shared" si="200"/>
        <v>0.10432657573425028</v>
      </c>
      <c r="P713" s="2" t="s">
        <v>801</v>
      </c>
      <c r="S713" s="2">
        <f t="shared" si="201"/>
        <v>4.0940000000000003</v>
      </c>
      <c r="W713" s="2">
        <f t="shared" si="202"/>
        <v>81.666666666666671</v>
      </c>
      <c r="Z713" s="2">
        <f>2025-AVERAGE($Y$693:$Y$736)</f>
        <v>17</v>
      </c>
      <c r="AD713" s="3"/>
      <c r="AE713" s="2">
        <v>1</v>
      </c>
      <c r="AF713" s="2" t="str">
        <f t="shared" si="205"/>
        <v>US</v>
      </c>
      <c r="AI713" s="2">
        <f t="shared" si="203"/>
        <v>2.5</v>
      </c>
      <c r="AJ713" s="2">
        <f t="shared" si="204"/>
        <v>2.1666666666666665</v>
      </c>
      <c r="AK713" s="2" t="s">
        <v>112</v>
      </c>
      <c r="AL713" s="2">
        <v>37</v>
      </c>
      <c r="AN713" s="2" t="s">
        <v>1193</v>
      </c>
      <c r="AO713" s="2">
        <v>6.8140000000000001</v>
      </c>
    </row>
    <row r="714" spans="1:41" s="2" customFormat="1" ht="15.6">
      <c r="A714" s="2">
        <v>15</v>
      </c>
      <c r="B714" s="2" t="s">
        <v>1142</v>
      </c>
      <c r="C714" s="2" t="s">
        <v>365</v>
      </c>
      <c r="D714" s="3">
        <f t="shared" si="196"/>
        <v>36.363636363636367</v>
      </c>
      <c r="E714" s="3"/>
      <c r="F714" s="2">
        <v>2015</v>
      </c>
      <c r="G714">
        <f t="shared" si="193"/>
        <v>10</v>
      </c>
      <c r="H714" s="2">
        <f t="shared" si="197"/>
        <v>0.22986181666666664</v>
      </c>
      <c r="J714" s="2">
        <f t="shared" si="198"/>
        <v>44</v>
      </c>
      <c r="K714" s="2">
        <v>3</v>
      </c>
      <c r="L714" s="2">
        <v>8</v>
      </c>
      <c r="M714" s="12">
        <f t="shared" si="199"/>
        <v>1.0884034404434258E-2</v>
      </c>
      <c r="N714" s="2">
        <f t="shared" si="195"/>
        <v>1.5727823062413843E-2</v>
      </c>
      <c r="O714" s="2">
        <f t="shared" si="200"/>
        <v>0.10432657573425028</v>
      </c>
      <c r="P714" s="2" t="s">
        <v>802</v>
      </c>
      <c r="S714" s="2">
        <f t="shared" si="201"/>
        <v>4.0940000000000003</v>
      </c>
      <c r="W714" s="2">
        <f t="shared" si="202"/>
        <v>81.666666666666671</v>
      </c>
      <c r="Z714" s="2">
        <f>2025-AVERAGE($Y$693:$Y$736)</f>
        <v>17</v>
      </c>
      <c r="AD714" s="3"/>
      <c r="AE714" s="2">
        <v>1</v>
      </c>
      <c r="AF714" s="2" t="str">
        <f t="shared" si="205"/>
        <v>US</v>
      </c>
      <c r="AI714" s="2">
        <f t="shared" si="203"/>
        <v>2.5</v>
      </c>
      <c r="AJ714" s="2">
        <f t="shared" si="204"/>
        <v>2.1666666666666665</v>
      </c>
      <c r="AK714" s="2" t="s">
        <v>112</v>
      </c>
      <c r="AL714" s="2">
        <v>37</v>
      </c>
      <c r="AN714" s="2" t="s">
        <v>1193</v>
      </c>
      <c r="AO714" s="2">
        <v>6.8140000000000001</v>
      </c>
    </row>
    <row r="715" spans="1:41" s="2" customFormat="1" ht="15.6">
      <c r="A715" s="2">
        <v>15</v>
      </c>
      <c r="B715" s="2" t="s">
        <v>1142</v>
      </c>
      <c r="C715" s="2" t="s">
        <v>365</v>
      </c>
      <c r="D715" s="3">
        <f t="shared" si="196"/>
        <v>36.363636363636367</v>
      </c>
      <c r="E715" s="3"/>
      <c r="F715" s="2">
        <v>2015</v>
      </c>
      <c r="G715">
        <f t="shared" si="193"/>
        <v>10</v>
      </c>
      <c r="H715" s="2">
        <f t="shared" si="197"/>
        <v>0.22986181666666664</v>
      </c>
      <c r="J715" s="2">
        <f t="shared" si="198"/>
        <v>44</v>
      </c>
      <c r="K715" s="2">
        <v>3</v>
      </c>
      <c r="L715" s="2">
        <v>8</v>
      </c>
      <c r="M715" s="12">
        <f t="shared" si="199"/>
        <v>1.0884034404434258E-2</v>
      </c>
      <c r="N715" s="2">
        <f t="shared" si="195"/>
        <v>1.5727823062413843E-2</v>
      </c>
      <c r="O715" s="2">
        <f t="shared" si="200"/>
        <v>0.10432657573425028</v>
      </c>
      <c r="P715" s="2" t="s">
        <v>803</v>
      </c>
      <c r="S715" s="2">
        <f t="shared" si="201"/>
        <v>4.0940000000000003</v>
      </c>
      <c r="W715" s="2">
        <f t="shared" si="202"/>
        <v>81.666666666666671</v>
      </c>
      <c r="Z715" s="2">
        <f>2025-AVERAGE($Y$693:$Y$736)</f>
        <v>17</v>
      </c>
      <c r="AD715" s="3"/>
      <c r="AE715" s="2">
        <v>1</v>
      </c>
      <c r="AF715" s="2" t="str">
        <f t="shared" si="205"/>
        <v>US</v>
      </c>
      <c r="AI715" s="2">
        <f t="shared" si="203"/>
        <v>2.5</v>
      </c>
      <c r="AJ715" s="2">
        <f t="shared" si="204"/>
        <v>2.1666666666666665</v>
      </c>
      <c r="AK715" s="2" t="s">
        <v>112</v>
      </c>
      <c r="AL715" s="2">
        <v>37</v>
      </c>
      <c r="AN715" s="2" t="s">
        <v>1193</v>
      </c>
      <c r="AO715" s="2">
        <v>6.8140000000000001</v>
      </c>
    </row>
    <row r="716" spans="1:41" s="2" customFormat="1" ht="15.6">
      <c r="A716" s="2">
        <v>15</v>
      </c>
      <c r="B716" s="2" t="s">
        <v>1142</v>
      </c>
      <c r="C716" s="2" t="s">
        <v>365</v>
      </c>
      <c r="D716" s="3">
        <f t="shared" si="196"/>
        <v>36.363636363636367</v>
      </c>
      <c r="E716" s="3"/>
      <c r="F716" s="2">
        <v>2015</v>
      </c>
      <c r="G716">
        <f t="shared" si="193"/>
        <v>10</v>
      </c>
      <c r="H716" s="2">
        <f t="shared" si="197"/>
        <v>0.22986181666666664</v>
      </c>
      <c r="J716" s="2">
        <f t="shared" si="198"/>
        <v>44</v>
      </c>
      <c r="K716" s="2">
        <v>3</v>
      </c>
      <c r="L716" s="2">
        <v>8</v>
      </c>
      <c r="M716" s="12">
        <f t="shared" si="199"/>
        <v>1.0884034404434258E-2</v>
      </c>
      <c r="N716" s="2">
        <f t="shared" si="195"/>
        <v>1.5727823062413843E-2</v>
      </c>
      <c r="O716" s="2">
        <f t="shared" si="200"/>
        <v>0.10432657573425028</v>
      </c>
      <c r="P716" s="2" t="s">
        <v>60</v>
      </c>
      <c r="Q716" s="2" t="s">
        <v>371</v>
      </c>
      <c r="R716" s="2" cm="1">
        <f t="array" ref="R716">_xlfn.IFS(Q716="PS",3.607,Q716="JEPLMC",6.096,Q716="JPSP",2.579)</f>
        <v>3.6070000000000002</v>
      </c>
      <c r="S716" s="2">
        <f t="shared" si="201"/>
        <v>4.0940000000000003</v>
      </c>
      <c r="T716" s="2" t="s">
        <v>101</v>
      </c>
      <c r="U716" s="2">
        <v>143</v>
      </c>
      <c r="W716" s="2">
        <f t="shared" si="202"/>
        <v>81.666666666666671</v>
      </c>
      <c r="X716" s="2" t="s">
        <v>377</v>
      </c>
      <c r="Y716" s="2">
        <v>2008</v>
      </c>
      <c r="Z716" s="2">
        <f>2025-AVERAGE($Y$693:$Y$736)</f>
        <v>17</v>
      </c>
      <c r="AA716" s="2" t="s">
        <v>391</v>
      </c>
      <c r="AB716" s="2">
        <v>0.23699999999999999</v>
      </c>
      <c r="AC716" s="2">
        <v>0.48344231799999998</v>
      </c>
      <c r="AD716" s="3">
        <v>0.17783758799999999</v>
      </c>
      <c r="AE716" s="2">
        <v>1</v>
      </c>
      <c r="AF716" s="2" t="str">
        <f t="shared" si="205"/>
        <v>US</v>
      </c>
      <c r="AG716" s="2">
        <v>2</v>
      </c>
      <c r="AH716" s="2">
        <v>5</v>
      </c>
      <c r="AI716" s="2">
        <f t="shared" si="203"/>
        <v>2.5</v>
      </c>
      <c r="AJ716" s="2">
        <f t="shared" si="204"/>
        <v>2.1666666666666665</v>
      </c>
      <c r="AK716" s="2" t="s">
        <v>112</v>
      </c>
      <c r="AL716" s="2">
        <v>37</v>
      </c>
      <c r="AN716" s="2" t="s">
        <v>1193</v>
      </c>
      <c r="AO716" s="2">
        <v>6.8140000000000001</v>
      </c>
    </row>
    <row r="717" spans="1:41" ht="15.6">
      <c r="A717" s="2">
        <v>15</v>
      </c>
      <c r="B717" t="s">
        <v>1142</v>
      </c>
      <c r="C717" t="s">
        <v>365</v>
      </c>
      <c r="D717" s="3">
        <f t="shared" si="196"/>
        <v>36.363636363636367</v>
      </c>
      <c r="F717" s="2">
        <v>2015</v>
      </c>
      <c r="G717">
        <f t="shared" si="193"/>
        <v>10</v>
      </c>
      <c r="H717">
        <f t="shared" si="197"/>
        <v>0.22986181666666664</v>
      </c>
      <c r="J717">
        <f t="shared" si="198"/>
        <v>44</v>
      </c>
      <c r="K717">
        <v>3</v>
      </c>
      <c r="L717">
        <v>8</v>
      </c>
      <c r="M717" s="12">
        <f t="shared" si="199"/>
        <v>1.0884034404434258E-2</v>
      </c>
      <c r="N717">
        <f t="shared" si="195"/>
        <v>1.5727823062413843E-2</v>
      </c>
      <c r="O717">
        <f t="shared" si="200"/>
        <v>0.10432657573425028</v>
      </c>
      <c r="P717" t="s">
        <v>5</v>
      </c>
      <c r="S717" s="2">
        <f t="shared" si="201"/>
        <v>4.0940000000000003</v>
      </c>
      <c r="W717" s="2">
        <f t="shared" si="202"/>
        <v>81.666666666666671</v>
      </c>
      <c r="Z717" s="2">
        <f>2025-AVERAGE($Y$693:$Y$736)</f>
        <v>17</v>
      </c>
      <c r="AE717" s="2">
        <v>1</v>
      </c>
      <c r="AF717" s="2" t="str">
        <f t="shared" si="205"/>
        <v>US</v>
      </c>
      <c r="AI717" s="2">
        <f t="shared" si="203"/>
        <v>2.5</v>
      </c>
      <c r="AJ717" s="2">
        <f t="shared" si="204"/>
        <v>2.1666666666666665</v>
      </c>
      <c r="AK717" t="s">
        <v>112</v>
      </c>
      <c r="AL717">
        <v>37</v>
      </c>
      <c r="AN717" s="2" t="s">
        <v>1193</v>
      </c>
      <c r="AO717" s="2">
        <v>6.8140000000000001</v>
      </c>
    </row>
    <row r="718" spans="1:41" ht="15.6">
      <c r="A718" s="2">
        <v>15</v>
      </c>
      <c r="B718" t="s">
        <v>1142</v>
      </c>
      <c r="C718" t="s">
        <v>365</v>
      </c>
      <c r="D718" s="3">
        <f t="shared" si="196"/>
        <v>36.363636363636367</v>
      </c>
      <c r="F718" s="2">
        <v>2015</v>
      </c>
      <c r="G718">
        <f t="shared" si="193"/>
        <v>10</v>
      </c>
      <c r="H718">
        <f t="shared" si="197"/>
        <v>0.22986181666666664</v>
      </c>
      <c r="J718">
        <f t="shared" si="198"/>
        <v>44</v>
      </c>
      <c r="K718">
        <v>3</v>
      </c>
      <c r="L718">
        <v>8</v>
      </c>
      <c r="M718" s="12">
        <f t="shared" si="199"/>
        <v>1.0884034404434258E-2</v>
      </c>
      <c r="N718">
        <f t="shared" si="195"/>
        <v>1.5727823062413843E-2</v>
      </c>
      <c r="O718">
        <f t="shared" si="200"/>
        <v>0.10432657573425028</v>
      </c>
      <c r="P718" t="s">
        <v>804</v>
      </c>
      <c r="S718" s="2">
        <f t="shared" si="201"/>
        <v>4.0940000000000003</v>
      </c>
      <c r="W718" s="2">
        <f t="shared" si="202"/>
        <v>81.666666666666671</v>
      </c>
      <c r="Z718" s="2">
        <f>2025-AVERAGE($Y$693:$Y$736)</f>
        <v>17</v>
      </c>
      <c r="AE718" s="2">
        <v>1</v>
      </c>
      <c r="AF718" s="2" t="str">
        <f t="shared" si="205"/>
        <v>US</v>
      </c>
      <c r="AI718" s="2">
        <f t="shared" si="203"/>
        <v>2.5</v>
      </c>
      <c r="AJ718" s="2">
        <f t="shared" si="204"/>
        <v>2.1666666666666665</v>
      </c>
      <c r="AK718" t="s">
        <v>112</v>
      </c>
      <c r="AL718">
        <v>37</v>
      </c>
      <c r="AN718" s="2" t="s">
        <v>1193</v>
      </c>
      <c r="AO718" s="2">
        <v>6.8140000000000001</v>
      </c>
    </row>
    <row r="719" spans="1:41" ht="15.6">
      <c r="A719" s="2">
        <v>15</v>
      </c>
      <c r="B719" t="s">
        <v>1142</v>
      </c>
      <c r="C719" t="s">
        <v>365</v>
      </c>
      <c r="D719" s="3">
        <f t="shared" si="196"/>
        <v>36.363636363636367</v>
      </c>
      <c r="F719" s="2">
        <v>2015</v>
      </c>
      <c r="G719">
        <f t="shared" si="193"/>
        <v>10</v>
      </c>
      <c r="H719">
        <f t="shared" si="197"/>
        <v>0.22986181666666664</v>
      </c>
      <c r="J719">
        <f t="shared" si="198"/>
        <v>44</v>
      </c>
      <c r="K719">
        <v>3</v>
      </c>
      <c r="L719">
        <v>8</v>
      </c>
      <c r="M719" s="12">
        <f t="shared" si="199"/>
        <v>1.0884034404434258E-2</v>
      </c>
      <c r="N719">
        <f t="shared" si="195"/>
        <v>1.5727823062413843E-2</v>
      </c>
      <c r="O719">
        <f t="shared" si="200"/>
        <v>0.10432657573425028</v>
      </c>
      <c r="P719" t="s">
        <v>49</v>
      </c>
      <c r="S719" s="2">
        <f t="shared" si="201"/>
        <v>4.0940000000000003</v>
      </c>
      <c r="W719" s="2">
        <f t="shared" si="202"/>
        <v>81.666666666666671</v>
      </c>
      <c r="Z719" s="2">
        <f>2025-AVERAGE($Y$693:$Y$736)</f>
        <v>17</v>
      </c>
      <c r="AE719" s="2">
        <v>1</v>
      </c>
      <c r="AF719" s="2" t="str">
        <f t="shared" si="205"/>
        <v>US</v>
      </c>
      <c r="AI719" s="2">
        <f t="shared" si="203"/>
        <v>2.5</v>
      </c>
      <c r="AJ719" s="2">
        <f t="shared" si="204"/>
        <v>2.1666666666666665</v>
      </c>
      <c r="AK719" t="s">
        <v>112</v>
      </c>
      <c r="AL719">
        <v>37</v>
      </c>
      <c r="AN719" s="2" t="s">
        <v>1193</v>
      </c>
      <c r="AO719" s="2">
        <v>6.8140000000000001</v>
      </c>
    </row>
    <row r="720" spans="1:41" ht="15.6">
      <c r="A720" s="2">
        <v>15</v>
      </c>
      <c r="B720" t="s">
        <v>1142</v>
      </c>
      <c r="C720" t="s">
        <v>365</v>
      </c>
      <c r="D720" s="3">
        <f t="shared" si="196"/>
        <v>36.363636363636367</v>
      </c>
      <c r="F720" s="2">
        <v>2015</v>
      </c>
      <c r="G720">
        <f t="shared" si="193"/>
        <v>10</v>
      </c>
      <c r="H720">
        <f t="shared" si="197"/>
        <v>0.22986181666666664</v>
      </c>
      <c r="J720">
        <f t="shared" si="198"/>
        <v>44</v>
      </c>
      <c r="K720">
        <v>3</v>
      </c>
      <c r="L720">
        <v>8</v>
      </c>
      <c r="M720" s="12">
        <f t="shared" si="199"/>
        <v>1.0884034404434258E-2</v>
      </c>
      <c r="N720">
        <f t="shared" si="195"/>
        <v>1.5727823062413843E-2</v>
      </c>
      <c r="O720">
        <f t="shared" si="200"/>
        <v>0.10432657573425028</v>
      </c>
      <c r="P720" t="s">
        <v>805</v>
      </c>
      <c r="S720" s="2">
        <f t="shared" si="201"/>
        <v>4.0940000000000003</v>
      </c>
      <c r="W720" s="2">
        <f t="shared" si="202"/>
        <v>81.666666666666671</v>
      </c>
      <c r="Z720" s="2">
        <f>2025-AVERAGE($Y$693:$Y$736)</f>
        <v>17</v>
      </c>
      <c r="AE720" s="2">
        <v>1</v>
      </c>
      <c r="AF720" s="2" t="str">
        <f t="shared" si="205"/>
        <v>US</v>
      </c>
      <c r="AI720" s="2">
        <f t="shared" si="203"/>
        <v>2.5</v>
      </c>
      <c r="AJ720" s="2">
        <f t="shared" si="204"/>
        <v>2.1666666666666665</v>
      </c>
      <c r="AK720" t="s">
        <v>112</v>
      </c>
      <c r="AL720">
        <v>37</v>
      </c>
      <c r="AN720" s="2" t="s">
        <v>1193</v>
      </c>
      <c r="AO720" s="2">
        <v>6.8140000000000001</v>
      </c>
    </row>
    <row r="721" spans="1:41" ht="15.6">
      <c r="A721" s="2">
        <v>15</v>
      </c>
      <c r="B721" t="s">
        <v>1142</v>
      </c>
      <c r="C721" t="s">
        <v>365</v>
      </c>
      <c r="D721" s="3">
        <f t="shared" si="196"/>
        <v>36.363636363636367</v>
      </c>
      <c r="F721" s="2">
        <v>2015</v>
      </c>
      <c r="G721">
        <f t="shared" si="193"/>
        <v>10</v>
      </c>
      <c r="H721">
        <f t="shared" si="197"/>
        <v>0.22986181666666664</v>
      </c>
      <c r="J721">
        <f t="shared" si="198"/>
        <v>44</v>
      </c>
      <c r="K721">
        <v>3</v>
      </c>
      <c r="L721">
        <v>8</v>
      </c>
      <c r="M721" s="12">
        <f t="shared" si="199"/>
        <v>1.0884034404434258E-2</v>
      </c>
      <c r="N721">
        <f t="shared" si="195"/>
        <v>1.5727823062413843E-2</v>
      </c>
      <c r="O721">
        <f t="shared" si="200"/>
        <v>0.10432657573425028</v>
      </c>
      <c r="P721" t="s">
        <v>806</v>
      </c>
      <c r="S721" s="2">
        <f t="shared" si="201"/>
        <v>4.0940000000000003</v>
      </c>
      <c r="W721" s="2">
        <f t="shared" si="202"/>
        <v>81.666666666666671</v>
      </c>
      <c r="Z721" s="2">
        <f>2025-AVERAGE($Y$693:$Y$736)</f>
        <v>17</v>
      </c>
      <c r="AE721" s="2">
        <v>1</v>
      </c>
      <c r="AF721" s="2" t="str">
        <f t="shared" si="205"/>
        <v>US</v>
      </c>
      <c r="AI721" s="2">
        <f t="shared" si="203"/>
        <v>2.5</v>
      </c>
      <c r="AJ721" s="2">
        <f t="shared" si="204"/>
        <v>2.1666666666666665</v>
      </c>
      <c r="AK721" t="s">
        <v>112</v>
      </c>
      <c r="AL721">
        <v>37</v>
      </c>
      <c r="AN721" s="2" t="s">
        <v>1193</v>
      </c>
      <c r="AO721" s="2">
        <v>6.8140000000000001</v>
      </c>
    </row>
    <row r="722" spans="1:41" ht="15.6">
      <c r="A722" s="2">
        <v>15</v>
      </c>
      <c r="B722" t="s">
        <v>1142</v>
      </c>
      <c r="C722" t="s">
        <v>365</v>
      </c>
      <c r="D722" s="3">
        <f t="shared" si="196"/>
        <v>36.363636363636367</v>
      </c>
      <c r="F722" s="2">
        <v>2015</v>
      </c>
      <c r="G722">
        <f t="shared" ref="G722:G785" si="206">2025-F722</f>
        <v>10</v>
      </c>
      <c r="H722">
        <f t="shared" si="197"/>
        <v>0.22986181666666664</v>
      </c>
      <c r="J722">
        <f t="shared" si="198"/>
        <v>44</v>
      </c>
      <c r="K722">
        <v>3</v>
      </c>
      <c r="L722">
        <v>8</v>
      </c>
      <c r="M722" s="12">
        <f t="shared" si="199"/>
        <v>1.0884034404434258E-2</v>
      </c>
      <c r="N722">
        <f t="shared" si="195"/>
        <v>1.5727823062413843E-2</v>
      </c>
      <c r="O722">
        <f t="shared" si="200"/>
        <v>0.10432657573425028</v>
      </c>
      <c r="P722" t="s">
        <v>807</v>
      </c>
      <c r="S722" s="2">
        <f t="shared" si="201"/>
        <v>4.0940000000000003</v>
      </c>
      <c r="W722" s="2">
        <f t="shared" si="202"/>
        <v>81.666666666666671</v>
      </c>
      <c r="Z722" s="2">
        <f>2025-AVERAGE($Y$693:$Y$736)</f>
        <v>17</v>
      </c>
      <c r="AE722" s="2">
        <v>1</v>
      </c>
      <c r="AF722" s="2" t="str">
        <f t="shared" si="205"/>
        <v>US</v>
      </c>
      <c r="AI722" s="2">
        <f t="shared" si="203"/>
        <v>2.5</v>
      </c>
      <c r="AJ722" s="2">
        <f t="shared" si="204"/>
        <v>2.1666666666666665</v>
      </c>
      <c r="AK722" t="s">
        <v>112</v>
      </c>
      <c r="AL722">
        <v>37</v>
      </c>
      <c r="AN722" s="2" t="s">
        <v>1193</v>
      </c>
      <c r="AO722" s="2">
        <v>6.8140000000000001</v>
      </c>
    </row>
    <row r="723" spans="1:41" ht="15.6">
      <c r="A723" s="2">
        <v>15</v>
      </c>
      <c r="B723" t="s">
        <v>1142</v>
      </c>
      <c r="C723" t="s">
        <v>365</v>
      </c>
      <c r="D723" s="3">
        <f t="shared" si="196"/>
        <v>36.363636363636367</v>
      </c>
      <c r="F723" s="2">
        <v>2015</v>
      </c>
      <c r="G723">
        <f t="shared" si="206"/>
        <v>10</v>
      </c>
      <c r="H723">
        <f t="shared" si="197"/>
        <v>0.22986181666666664</v>
      </c>
      <c r="J723">
        <f t="shared" si="198"/>
        <v>44</v>
      </c>
      <c r="K723">
        <v>3</v>
      </c>
      <c r="L723">
        <v>8</v>
      </c>
      <c r="M723" s="12">
        <f t="shared" si="199"/>
        <v>1.0884034404434258E-2</v>
      </c>
      <c r="N723">
        <f t="shared" si="195"/>
        <v>1.5727823062413843E-2</v>
      </c>
      <c r="O723">
        <f t="shared" si="200"/>
        <v>0.10432657573425028</v>
      </c>
      <c r="P723" t="s">
        <v>808</v>
      </c>
      <c r="S723" s="2">
        <f t="shared" si="201"/>
        <v>4.0940000000000003</v>
      </c>
      <c r="W723" s="2">
        <f t="shared" si="202"/>
        <v>81.666666666666671</v>
      </c>
      <c r="Z723" s="2">
        <f>2025-AVERAGE($Y$693:$Y$736)</f>
        <v>17</v>
      </c>
      <c r="AE723" s="2">
        <v>1</v>
      </c>
      <c r="AF723" s="2" t="str">
        <f t="shared" si="205"/>
        <v>US</v>
      </c>
      <c r="AI723" s="2">
        <f t="shared" si="203"/>
        <v>2.5</v>
      </c>
      <c r="AJ723" s="2">
        <f t="shared" si="204"/>
        <v>2.1666666666666665</v>
      </c>
      <c r="AK723" t="s">
        <v>112</v>
      </c>
      <c r="AL723">
        <v>37</v>
      </c>
      <c r="AN723" s="2" t="s">
        <v>1193</v>
      </c>
      <c r="AO723" s="2">
        <v>6.8140000000000001</v>
      </c>
    </row>
    <row r="724" spans="1:41" ht="15.6">
      <c r="A724" s="2">
        <v>15</v>
      </c>
      <c r="B724" t="s">
        <v>1142</v>
      </c>
      <c r="C724" t="s">
        <v>365</v>
      </c>
      <c r="D724" s="3">
        <f t="shared" si="196"/>
        <v>36.363636363636367</v>
      </c>
      <c r="F724" s="2">
        <v>2015</v>
      </c>
      <c r="G724">
        <f t="shared" si="206"/>
        <v>10</v>
      </c>
      <c r="H724">
        <f t="shared" si="197"/>
        <v>0.22986181666666664</v>
      </c>
      <c r="J724">
        <f t="shared" si="198"/>
        <v>44</v>
      </c>
      <c r="K724">
        <v>3</v>
      </c>
      <c r="L724">
        <v>8</v>
      </c>
      <c r="M724" s="12">
        <f t="shared" si="199"/>
        <v>1.0884034404434258E-2</v>
      </c>
      <c r="N724">
        <f t="shared" si="195"/>
        <v>1.5727823062413843E-2</v>
      </c>
      <c r="O724">
        <f t="shared" si="200"/>
        <v>0.10432657573425028</v>
      </c>
      <c r="P724" t="s">
        <v>809</v>
      </c>
      <c r="Q724" t="s">
        <v>373</v>
      </c>
      <c r="R724" cm="1">
        <f t="array" ref="R724">_xlfn.IFS(Q724="PS",3.607,Q724="JEPLMC",6.096,Q724="JPSP",2.579)</f>
        <v>2.5790000000000002</v>
      </c>
      <c r="S724" s="2">
        <f t="shared" si="201"/>
        <v>4.0940000000000003</v>
      </c>
      <c r="T724" t="s">
        <v>103</v>
      </c>
      <c r="U724">
        <v>51</v>
      </c>
      <c r="W724" s="2">
        <f t="shared" si="202"/>
        <v>81.666666666666671</v>
      </c>
      <c r="X724" t="s">
        <v>377</v>
      </c>
      <c r="Y724">
        <v>2008</v>
      </c>
      <c r="Z724" s="2">
        <f>2025-AVERAGE($Y$693:$Y$736)</f>
        <v>17</v>
      </c>
      <c r="AA724" t="s">
        <v>389</v>
      </c>
      <c r="AB724">
        <v>1.175E-2</v>
      </c>
      <c r="AC724">
        <v>0.34431299900000001</v>
      </c>
      <c r="AD724" s="3">
        <v>0.28970837999999999</v>
      </c>
      <c r="AE724" s="2">
        <v>1</v>
      </c>
      <c r="AF724" s="2" t="str">
        <f t="shared" si="205"/>
        <v>US</v>
      </c>
      <c r="AG724">
        <v>1</v>
      </c>
      <c r="AH724">
        <v>1</v>
      </c>
      <c r="AI724" s="2">
        <f t="shared" si="203"/>
        <v>2.5</v>
      </c>
      <c r="AJ724" s="2">
        <f t="shared" si="204"/>
        <v>2.1666666666666665</v>
      </c>
      <c r="AK724" t="s">
        <v>112</v>
      </c>
      <c r="AL724">
        <v>37</v>
      </c>
      <c r="AM724" t="s">
        <v>115</v>
      </c>
      <c r="AN724" s="2" t="s">
        <v>1193</v>
      </c>
      <c r="AO724" s="2">
        <v>6.8140000000000001</v>
      </c>
    </row>
    <row r="725" spans="1:41" ht="15.6">
      <c r="A725" s="2">
        <v>15</v>
      </c>
      <c r="B725" t="s">
        <v>1142</v>
      </c>
      <c r="C725" t="s">
        <v>365</v>
      </c>
      <c r="D725" s="3">
        <f t="shared" si="196"/>
        <v>36.363636363636367</v>
      </c>
      <c r="F725" s="2">
        <v>2015</v>
      </c>
      <c r="G725">
        <f t="shared" si="206"/>
        <v>10</v>
      </c>
      <c r="H725">
        <f t="shared" si="197"/>
        <v>0.22986181666666664</v>
      </c>
      <c r="J725">
        <f t="shared" si="198"/>
        <v>44</v>
      </c>
      <c r="K725">
        <v>3</v>
      </c>
      <c r="L725">
        <v>8</v>
      </c>
      <c r="M725" s="12">
        <f t="shared" si="199"/>
        <v>1.0884034404434258E-2</v>
      </c>
      <c r="N725">
        <f t="shared" si="195"/>
        <v>1.5727823062413843E-2</v>
      </c>
      <c r="O725">
        <f t="shared" si="200"/>
        <v>0.10432657573425028</v>
      </c>
      <c r="P725" t="s">
        <v>810</v>
      </c>
      <c r="S725" s="2">
        <f t="shared" si="201"/>
        <v>4.0940000000000003</v>
      </c>
      <c r="W725" s="2">
        <f t="shared" si="202"/>
        <v>81.666666666666671</v>
      </c>
      <c r="Z725" s="2">
        <f>2025-AVERAGE($Y$693:$Y$736)</f>
        <v>17</v>
      </c>
      <c r="AE725" s="2">
        <v>1</v>
      </c>
      <c r="AF725" s="2" t="str">
        <f t="shared" si="205"/>
        <v>US</v>
      </c>
      <c r="AI725" s="2">
        <f t="shared" si="203"/>
        <v>2.5</v>
      </c>
      <c r="AJ725" s="2">
        <f t="shared" si="204"/>
        <v>2.1666666666666665</v>
      </c>
      <c r="AK725" t="s">
        <v>112</v>
      </c>
      <c r="AL725">
        <v>37</v>
      </c>
      <c r="AN725" s="2" t="s">
        <v>1193</v>
      </c>
      <c r="AO725" s="2">
        <v>6.8140000000000001</v>
      </c>
    </row>
    <row r="726" spans="1:41" ht="15.6">
      <c r="A726" s="2">
        <v>15</v>
      </c>
      <c r="B726" t="s">
        <v>1142</v>
      </c>
      <c r="C726" t="s">
        <v>365</v>
      </c>
      <c r="D726" s="3">
        <f t="shared" si="196"/>
        <v>36.363636363636367</v>
      </c>
      <c r="F726" s="2">
        <v>2015</v>
      </c>
      <c r="G726">
        <f t="shared" si="206"/>
        <v>10</v>
      </c>
      <c r="H726">
        <f t="shared" si="197"/>
        <v>0.22986181666666664</v>
      </c>
      <c r="J726">
        <f t="shared" si="198"/>
        <v>44</v>
      </c>
      <c r="K726">
        <v>3</v>
      </c>
      <c r="L726">
        <v>8</v>
      </c>
      <c r="M726" s="12">
        <f t="shared" si="199"/>
        <v>1.0884034404434258E-2</v>
      </c>
      <c r="N726">
        <f t="shared" si="195"/>
        <v>1.5727823062413843E-2</v>
      </c>
      <c r="O726">
        <f t="shared" si="200"/>
        <v>0.10432657573425028</v>
      </c>
      <c r="P726" t="s">
        <v>811</v>
      </c>
      <c r="S726" s="2">
        <f t="shared" si="201"/>
        <v>4.0940000000000003</v>
      </c>
      <c r="W726" s="2">
        <f t="shared" si="202"/>
        <v>81.666666666666671</v>
      </c>
      <c r="Z726" s="2">
        <f>2025-AVERAGE($Y$693:$Y$736)</f>
        <v>17</v>
      </c>
      <c r="AE726" s="2">
        <v>1</v>
      </c>
      <c r="AF726" s="2" t="str">
        <f t="shared" si="205"/>
        <v>US</v>
      </c>
      <c r="AI726" s="2">
        <f t="shared" si="203"/>
        <v>2.5</v>
      </c>
      <c r="AJ726" s="2">
        <f t="shared" si="204"/>
        <v>2.1666666666666665</v>
      </c>
      <c r="AK726" t="s">
        <v>112</v>
      </c>
      <c r="AL726">
        <v>37</v>
      </c>
      <c r="AN726" s="2" t="s">
        <v>1193</v>
      </c>
      <c r="AO726" s="2">
        <v>6.8140000000000001</v>
      </c>
    </row>
    <row r="727" spans="1:41" ht="15.6">
      <c r="A727" s="2">
        <v>15</v>
      </c>
      <c r="B727" t="s">
        <v>1142</v>
      </c>
      <c r="C727" t="s">
        <v>365</v>
      </c>
      <c r="D727" s="3">
        <f t="shared" si="196"/>
        <v>36.363636363636367</v>
      </c>
      <c r="F727" s="2">
        <v>2015</v>
      </c>
      <c r="G727">
        <f t="shared" si="206"/>
        <v>10</v>
      </c>
      <c r="H727">
        <f t="shared" si="197"/>
        <v>0.22986181666666664</v>
      </c>
      <c r="J727">
        <f t="shared" si="198"/>
        <v>44</v>
      </c>
      <c r="K727">
        <v>3</v>
      </c>
      <c r="L727">
        <v>8</v>
      </c>
      <c r="M727" s="12">
        <f t="shared" si="199"/>
        <v>1.0884034404434258E-2</v>
      </c>
      <c r="N727">
        <f t="shared" si="195"/>
        <v>1.5727823062413843E-2</v>
      </c>
      <c r="O727">
        <f t="shared" si="200"/>
        <v>0.10432657573425028</v>
      </c>
      <c r="P727" t="s">
        <v>812</v>
      </c>
      <c r="S727" s="2">
        <f t="shared" si="201"/>
        <v>4.0940000000000003</v>
      </c>
      <c r="W727" s="2">
        <f t="shared" si="202"/>
        <v>81.666666666666671</v>
      </c>
      <c r="Z727" s="2">
        <f>2025-AVERAGE($Y$693:$Y$736)</f>
        <v>17</v>
      </c>
      <c r="AE727" s="2">
        <v>1</v>
      </c>
      <c r="AF727" s="2" t="str">
        <f t="shared" si="205"/>
        <v>US</v>
      </c>
      <c r="AI727" s="2">
        <f t="shared" si="203"/>
        <v>2.5</v>
      </c>
      <c r="AJ727" s="2">
        <f t="shared" si="204"/>
        <v>2.1666666666666665</v>
      </c>
      <c r="AK727" t="s">
        <v>112</v>
      </c>
      <c r="AL727">
        <v>37</v>
      </c>
      <c r="AN727" s="2" t="s">
        <v>1193</v>
      </c>
      <c r="AO727" s="2">
        <v>6.8140000000000001</v>
      </c>
    </row>
    <row r="728" spans="1:41" ht="15.6">
      <c r="A728" s="2">
        <v>15</v>
      </c>
      <c r="B728" t="s">
        <v>1142</v>
      </c>
      <c r="C728" t="s">
        <v>365</v>
      </c>
      <c r="D728" s="3">
        <f t="shared" si="196"/>
        <v>36.363636363636367</v>
      </c>
      <c r="F728" s="2">
        <v>2015</v>
      </c>
      <c r="G728">
        <f t="shared" si="206"/>
        <v>10</v>
      </c>
      <c r="H728">
        <f t="shared" si="197"/>
        <v>0.22986181666666664</v>
      </c>
      <c r="J728">
        <f t="shared" si="198"/>
        <v>44</v>
      </c>
      <c r="K728">
        <v>3</v>
      </c>
      <c r="L728">
        <v>8</v>
      </c>
      <c r="M728" s="12">
        <f t="shared" si="199"/>
        <v>1.0884034404434258E-2</v>
      </c>
      <c r="N728">
        <f t="shared" si="195"/>
        <v>1.5727823062413843E-2</v>
      </c>
      <c r="O728">
        <f t="shared" si="200"/>
        <v>0.10432657573425028</v>
      </c>
      <c r="P728" t="s">
        <v>813</v>
      </c>
      <c r="S728" s="2">
        <f t="shared" si="201"/>
        <v>4.0940000000000003</v>
      </c>
      <c r="W728" s="2">
        <f t="shared" si="202"/>
        <v>81.666666666666671</v>
      </c>
      <c r="Z728" s="2">
        <f>2025-AVERAGE($Y$693:$Y$736)</f>
        <v>17</v>
      </c>
      <c r="AE728" s="2">
        <v>1</v>
      </c>
      <c r="AF728" s="2" t="str">
        <f t="shared" si="205"/>
        <v>US</v>
      </c>
      <c r="AI728" s="2">
        <f t="shared" si="203"/>
        <v>2.5</v>
      </c>
      <c r="AJ728" s="2">
        <f t="shared" si="204"/>
        <v>2.1666666666666665</v>
      </c>
      <c r="AK728" t="s">
        <v>112</v>
      </c>
      <c r="AL728">
        <v>37</v>
      </c>
      <c r="AN728" s="2" t="s">
        <v>1193</v>
      </c>
      <c r="AO728" s="2">
        <v>6.8140000000000001</v>
      </c>
    </row>
    <row r="729" spans="1:41" ht="15.6">
      <c r="A729" s="2">
        <v>15</v>
      </c>
      <c r="B729" t="s">
        <v>1142</v>
      </c>
      <c r="C729" t="s">
        <v>365</v>
      </c>
      <c r="D729" s="3">
        <f t="shared" si="196"/>
        <v>36.363636363636367</v>
      </c>
      <c r="F729" s="2">
        <v>2015</v>
      </c>
      <c r="G729">
        <f t="shared" si="206"/>
        <v>10</v>
      </c>
      <c r="H729">
        <f t="shared" si="197"/>
        <v>0.22986181666666664</v>
      </c>
      <c r="J729">
        <f t="shared" si="198"/>
        <v>44</v>
      </c>
      <c r="K729">
        <v>3</v>
      </c>
      <c r="L729">
        <v>8</v>
      </c>
      <c r="M729" s="12">
        <f t="shared" si="199"/>
        <v>1.0884034404434258E-2</v>
      </c>
      <c r="N729">
        <f t="shared" si="195"/>
        <v>1.5727823062413843E-2</v>
      </c>
      <c r="O729">
        <f t="shared" si="200"/>
        <v>0.10432657573425028</v>
      </c>
      <c r="P729" t="s">
        <v>814</v>
      </c>
      <c r="S729" s="2">
        <f t="shared" si="201"/>
        <v>4.0940000000000003</v>
      </c>
      <c r="W729" s="2">
        <f t="shared" si="202"/>
        <v>81.666666666666671</v>
      </c>
      <c r="Z729" s="2">
        <f>2025-AVERAGE($Y$693:$Y$736)</f>
        <v>17</v>
      </c>
      <c r="AE729" s="2">
        <v>1</v>
      </c>
      <c r="AF729" s="2" t="str">
        <f t="shared" si="205"/>
        <v>US</v>
      </c>
      <c r="AI729" s="2">
        <f t="shared" si="203"/>
        <v>2.5</v>
      </c>
      <c r="AJ729" s="2">
        <f t="shared" si="204"/>
        <v>2.1666666666666665</v>
      </c>
      <c r="AK729" t="s">
        <v>112</v>
      </c>
      <c r="AL729">
        <v>37</v>
      </c>
      <c r="AN729" s="2" t="s">
        <v>1193</v>
      </c>
      <c r="AO729" s="2">
        <v>6.8140000000000001</v>
      </c>
    </row>
    <row r="730" spans="1:41" ht="15.6">
      <c r="A730" s="2">
        <v>15</v>
      </c>
      <c r="B730" t="s">
        <v>1142</v>
      </c>
      <c r="C730" t="s">
        <v>365</v>
      </c>
      <c r="D730" s="3">
        <f t="shared" si="196"/>
        <v>36.363636363636367</v>
      </c>
      <c r="F730" s="2">
        <v>2015</v>
      </c>
      <c r="G730">
        <f t="shared" si="206"/>
        <v>10</v>
      </c>
      <c r="H730">
        <f t="shared" si="197"/>
        <v>0.22986181666666664</v>
      </c>
      <c r="J730">
        <f t="shared" si="198"/>
        <v>44</v>
      </c>
      <c r="K730">
        <v>3</v>
      </c>
      <c r="L730">
        <v>8</v>
      </c>
      <c r="M730" s="12">
        <f t="shared" si="199"/>
        <v>1.0884034404434258E-2</v>
      </c>
      <c r="N730">
        <f t="shared" si="195"/>
        <v>1.5727823062413843E-2</v>
      </c>
      <c r="O730">
        <f t="shared" si="200"/>
        <v>0.10432657573425028</v>
      </c>
      <c r="P730" t="s">
        <v>815</v>
      </c>
      <c r="S730" s="2">
        <f t="shared" si="201"/>
        <v>4.0940000000000003</v>
      </c>
      <c r="W730" s="2">
        <f t="shared" si="202"/>
        <v>81.666666666666671</v>
      </c>
      <c r="Z730" s="2">
        <f>2025-AVERAGE($Y$693:$Y$736)</f>
        <v>17</v>
      </c>
      <c r="AE730" s="2">
        <v>1</v>
      </c>
      <c r="AF730" s="2" t="str">
        <f t="shared" si="205"/>
        <v>US</v>
      </c>
      <c r="AI730" s="2">
        <f t="shared" si="203"/>
        <v>2.5</v>
      </c>
      <c r="AJ730" s="2">
        <f t="shared" si="204"/>
        <v>2.1666666666666665</v>
      </c>
      <c r="AK730" t="s">
        <v>112</v>
      </c>
      <c r="AL730">
        <v>37</v>
      </c>
      <c r="AN730" s="2" t="s">
        <v>1193</v>
      </c>
      <c r="AO730" s="2">
        <v>6.8140000000000001</v>
      </c>
    </row>
    <row r="731" spans="1:41" ht="15.6">
      <c r="A731" s="2">
        <v>15</v>
      </c>
      <c r="B731" t="s">
        <v>1142</v>
      </c>
      <c r="C731" t="s">
        <v>365</v>
      </c>
      <c r="D731" s="3">
        <f t="shared" si="196"/>
        <v>36.363636363636367</v>
      </c>
      <c r="F731" s="2">
        <v>2015</v>
      </c>
      <c r="G731">
        <f t="shared" si="206"/>
        <v>10</v>
      </c>
      <c r="H731">
        <f t="shared" si="197"/>
        <v>0.22986181666666664</v>
      </c>
      <c r="J731">
        <f t="shared" si="198"/>
        <v>44</v>
      </c>
      <c r="K731">
        <v>3</v>
      </c>
      <c r="L731">
        <v>8</v>
      </c>
      <c r="M731" s="12">
        <f t="shared" si="199"/>
        <v>1.0884034404434258E-2</v>
      </c>
      <c r="N731">
        <f t="shared" si="195"/>
        <v>1.5727823062413843E-2</v>
      </c>
      <c r="O731">
        <f t="shared" si="200"/>
        <v>0.10432657573425028</v>
      </c>
      <c r="P731" t="s">
        <v>816</v>
      </c>
      <c r="S731" s="2">
        <f t="shared" si="201"/>
        <v>4.0940000000000003</v>
      </c>
      <c r="W731" s="2">
        <f t="shared" si="202"/>
        <v>81.666666666666671</v>
      </c>
      <c r="Z731" s="2">
        <f>2025-AVERAGE($Y$693:$Y$736)</f>
        <v>17</v>
      </c>
      <c r="AE731" s="2">
        <v>1</v>
      </c>
      <c r="AF731" s="2" t="str">
        <f t="shared" si="205"/>
        <v>US</v>
      </c>
      <c r="AI731" s="2">
        <f t="shared" si="203"/>
        <v>2.5</v>
      </c>
      <c r="AJ731" s="2">
        <f t="shared" si="204"/>
        <v>2.1666666666666665</v>
      </c>
      <c r="AK731" t="s">
        <v>112</v>
      </c>
      <c r="AL731">
        <v>37</v>
      </c>
      <c r="AN731" s="2" t="s">
        <v>1193</v>
      </c>
      <c r="AO731" s="2">
        <v>6.8140000000000001</v>
      </c>
    </row>
    <row r="732" spans="1:41" ht="15.6">
      <c r="A732" s="2">
        <v>15</v>
      </c>
      <c r="B732" t="s">
        <v>1142</v>
      </c>
      <c r="C732" t="s">
        <v>365</v>
      </c>
      <c r="D732" s="3">
        <f t="shared" si="196"/>
        <v>36.363636363636367</v>
      </c>
      <c r="F732" s="2">
        <v>2015</v>
      </c>
      <c r="G732">
        <f t="shared" si="206"/>
        <v>10</v>
      </c>
      <c r="H732">
        <f t="shared" si="197"/>
        <v>0.22986181666666664</v>
      </c>
      <c r="J732">
        <f t="shared" si="198"/>
        <v>44</v>
      </c>
      <c r="K732">
        <v>3</v>
      </c>
      <c r="L732">
        <v>8</v>
      </c>
      <c r="M732" s="12">
        <f t="shared" si="199"/>
        <v>1.0884034404434258E-2</v>
      </c>
      <c r="N732">
        <f t="shared" si="195"/>
        <v>1.5727823062413843E-2</v>
      </c>
      <c r="O732">
        <f t="shared" si="200"/>
        <v>0.10432657573425028</v>
      </c>
      <c r="P732" t="s">
        <v>817</v>
      </c>
      <c r="S732" s="2">
        <f t="shared" si="201"/>
        <v>4.0940000000000003</v>
      </c>
      <c r="W732" s="2">
        <f t="shared" si="202"/>
        <v>81.666666666666671</v>
      </c>
      <c r="Z732" s="2">
        <f>2025-AVERAGE($Y$693:$Y$736)</f>
        <v>17</v>
      </c>
      <c r="AE732" s="2">
        <v>1</v>
      </c>
      <c r="AF732" s="2" t="str">
        <f t="shared" si="205"/>
        <v>US</v>
      </c>
      <c r="AI732" s="2">
        <f t="shared" si="203"/>
        <v>2.5</v>
      </c>
      <c r="AJ732" s="2">
        <f t="shared" si="204"/>
        <v>2.1666666666666665</v>
      </c>
      <c r="AK732" t="s">
        <v>112</v>
      </c>
      <c r="AL732">
        <v>37</v>
      </c>
      <c r="AN732" s="2" t="s">
        <v>1193</v>
      </c>
      <c r="AO732" s="2">
        <v>6.8140000000000001</v>
      </c>
    </row>
    <row r="733" spans="1:41" ht="15.6">
      <c r="A733" s="2">
        <v>15</v>
      </c>
      <c r="B733" t="s">
        <v>1142</v>
      </c>
      <c r="C733" t="s">
        <v>365</v>
      </c>
      <c r="D733" s="3">
        <f t="shared" si="196"/>
        <v>36.363636363636367</v>
      </c>
      <c r="F733" s="2">
        <v>2015</v>
      </c>
      <c r="G733">
        <f t="shared" si="206"/>
        <v>10</v>
      </c>
      <c r="H733">
        <f t="shared" si="197"/>
        <v>0.22986181666666664</v>
      </c>
      <c r="J733">
        <f t="shared" si="198"/>
        <v>44</v>
      </c>
      <c r="K733">
        <v>3</v>
      </c>
      <c r="L733">
        <v>8</v>
      </c>
      <c r="M733" s="12">
        <f t="shared" si="199"/>
        <v>1.0884034404434258E-2</v>
      </c>
      <c r="N733">
        <f t="shared" si="195"/>
        <v>1.5727823062413843E-2</v>
      </c>
      <c r="O733">
        <f t="shared" si="200"/>
        <v>0.10432657573425028</v>
      </c>
      <c r="P733" t="s">
        <v>818</v>
      </c>
      <c r="S733" s="2">
        <f t="shared" si="201"/>
        <v>4.0940000000000003</v>
      </c>
      <c r="W733" s="2">
        <f t="shared" si="202"/>
        <v>81.666666666666671</v>
      </c>
      <c r="Z733" s="2">
        <f>2025-AVERAGE($Y$693:$Y$736)</f>
        <v>17</v>
      </c>
      <c r="AE733" s="2">
        <v>1</v>
      </c>
      <c r="AF733" s="2" t="str">
        <f t="shared" si="205"/>
        <v>US</v>
      </c>
      <c r="AI733" s="2">
        <f t="shared" si="203"/>
        <v>2.5</v>
      </c>
      <c r="AJ733" s="2">
        <f t="shared" si="204"/>
        <v>2.1666666666666665</v>
      </c>
      <c r="AK733" t="s">
        <v>112</v>
      </c>
      <c r="AL733">
        <v>37</v>
      </c>
      <c r="AN733" s="2" t="s">
        <v>1193</v>
      </c>
      <c r="AO733" s="2">
        <v>6.8140000000000001</v>
      </c>
    </row>
    <row r="734" spans="1:41" ht="15.6">
      <c r="A734" s="2">
        <v>15</v>
      </c>
      <c r="B734" t="s">
        <v>1142</v>
      </c>
      <c r="C734" t="s">
        <v>365</v>
      </c>
      <c r="D734" s="3">
        <f t="shared" si="196"/>
        <v>36.363636363636367</v>
      </c>
      <c r="F734" s="2">
        <v>2015</v>
      </c>
      <c r="G734">
        <f t="shared" si="206"/>
        <v>10</v>
      </c>
      <c r="H734">
        <f t="shared" si="197"/>
        <v>0.22986181666666664</v>
      </c>
      <c r="J734">
        <f t="shared" si="198"/>
        <v>44</v>
      </c>
      <c r="K734">
        <v>3</v>
      </c>
      <c r="L734">
        <v>8</v>
      </c>
      <c r="M734" s="12">
        <f t="shared" si="199"/>
        <v>1.0884034404434258E-2</v>
      </c>
      <c r="N734">
        <f t="shared" si="195"/>
        <v>1.5727823062413843E-2</v>
      </c>
      <c r="O734">
        <f t="shared" si="200"/>
        <v>0.10432657573425028</v>
      </c>
      <c r="P734" t="s">
        <v>819</v>
      </c>
      <c r="S734" s="2">
        <f t="shared" si="201"/>
        <v>4.0940000000000003</v>
      </c>
      <c r="W734" s="2">
        <f t="shared" si="202"/>
        <v>81.666666666666671</v>
      </c>
      <c r="Z734" s="2">
        <f>2025-AVERAGE($Y$693:$Y$736)</f>
        <v>17</v>
      </c>
      <c r="AE734" s="2">
        <v>1</v>
      </c>
      <c r="AF734" s="2" t="str">
        <f t="shared" si="205"/>
        <v>US</v>
      </c>
      <c r="AI734" s="2">
        <f t="shared" si="203"/>
        <v>2.5</v>
      </c>
      <c r="AJ734" s="2">
        <f t="shared" si="204"/>
        <v>2.1666666666666665</v>
      </c>
      <c r="AK734" t="s">
        <v>112</v>
      </c>
      <c r="AL734">
        <v>37</v>
      </c>
      <c r="AN734" s="2" t="s">
        <v>1193</v>
      </c>
      <c r="AO734" s="2">
        <v>6.8140000000000001</v>
      </c>
    </row>
    <row r="735" spans="1:41" ht="15.6">
      <c r="A735" s="2">
        <v>15</v>
      </c>
      <c r="B735" t="s">
        <v>1142</v>
      </c>
      <c r="C735" t="s">
        <v>365</v>
      </c>
      <c r="D735" s="3">
        <f t="shared" si="196"/>
        <v>36.363636363636367</v>
      </c>
      <c r="F735" s="2">
        <v>2015</v>
      </c>
      <c r="G735">
        <f t="shared" si="206"/>
        <v>10</v>
      </c>
      <c r="H735">
        <f t="shared" si="197"/>
        <v>0.22986181666666664</v>
      </c>
      <c r="J735">
        <f t="shared" si="198"/>
        <v>44</v>
      </c>
      <c r="K735">
        <v>3</v>
      </c>
      <c r="L735">
        <v>8</v>
      </c>
      <c r="M735" s="12">
        <f t="shared" si="199"/>
        <v>1.0884034404434258E-2</v>
      </c>
      <c r="N735">
        <f t="shared" si="195"/>
        <v>1.5727823062413843E-2</v>
      </c>
      <c r="O735">
        <f t="shared" si="200"/>
        <v>0.10432657573425028</v>
      </c>
      <c r="P735" t="s">
        <v>820</v>
      </c>
      <c r="S735" s="2">
        <f t="shared" si="201"/>
        <v>4.0940000000000003</v>
      </c>
      <c r="W735" s="2">
        <f t="shared" si="202"/>
        <v>81.666666666666671</v>
      </c>
      <c r="Z735" s="2">
        <f>2025-AVERAGE($Y$693:$Y$736)</f>
        <v>17</v>
      </c>
      <c r="AE735" s="2">
        <v>1</v>
      </c>
      <c r="AF735" s="2" t="str">
        <f t="shared" si="205"/>
        <v>US</v>
      </c>
      <c r="AI735" s="2">
        <f t="shared" si="203"/>
        <v>2.5</v>
      </c>
      <c r="AJ735" s="2">
        <f t="shared" si="204"/>
        <v>2.1666666666666665</v>
      </c>
      <c r="AK735" t="s">
        <v>112</v>
      </c>
      <c r="AL735">
        <v>37</v>
      </c>
      <c r="AN735" s="2" t="s">
        <v>1193</v>
      </c>
      <c r="AO735" s="2">
        <v>6.8140000000000001</v>
      </c>
    </row>
    <row r="736" spans="1:41" ht="15.6">
      <c r="A736" s="2">
        <v>15</v>
      </c>
      <c r="B736" t="s">
        <v>1142</v>
      </c>
      <c r="C736" t="s">
        <v>365</v>
      </c>
      <c r="D736" s="3">
        <f t="shared" si="196"/>
        <v>36.363636363636367</v>
      </c>
      <c r="F736" s="2">
        <v>2015</v>
      </c>
      <c r="G736">
        <f t="shared" si="206"/>
        <v>10</v>
      </c>
      <c r="H736">
        <f t="shared" si="197"/>
        <v>0.22986181666666664</v>
      </c>
      <c r="J736">
        <f t="shared" si="198"/>
        <v>44</v>
      </c>
      <c r="K736">
        <v>3</v>
      </c>
      <c r="L736">
        <v>8</v>
      </c>
      <c r="M736" s="12">
        <f t="shared" si="199"/>
        <v>1.0884034404434258E-2</v>
      </c>
      <c r="N736">
        <f t="shared" si="195"/>
        <v>1.5727823062413843E-2</v>
      </c>
      <c r="O736">
        <f t="shared" si="200"/>
        <v>0.10432657573425028</v>
      </c>
      <c r="P736" t="s">
        <v>821</v>
      </c>
      <c r="S736" s="2">
        <f t="shared" si="201"/>
        <v>4.0940000000000003</v>
      </c>
      <c r="W736" s="2">
        <f t="shared" si="202"/>
        <v>81.666666666666671</v>
      </c>
      <c r="Z736" s="2">
        <f>2025-AVERAGE($Y$693:$Y$736)</f>
        <v>17</v>
      </c>
      <c r="AE736" s="2">
        <v>1</v>
      </c>
      <c r="AF736" s="2" t="str">
        <f t="shared" si="205"/>
        <v>US</v>
      </c>
      <c r="AI736" s="2">
        <f t="shared" si="203"/>
        <v>2.5</v>
      </c>
      <c r="AJ736" s="2">
        <f t="shared" si="204"/>
        <v>2.1666666666666665</v>
      </c>
      <c r="AK736" t="s">
        <v>112</v>
      </c>
      <c r="AL736">
        <v>37</v>
      </c>
      <c r="AN736" s="2" t="s">
        <v>1193</v>
      </c>
      <c r="AO736" s="2">
        <v>6.8140000000000001</v>
      </c>
    </row>
    <row r="737" spans="1:41" ht="15.6">
      <c r="A737">
        <v>16</v>
      </c>
      <c r="B737" t="s">
        <v>366</v>
      </c>
      <c r="C737" t="s">
        <v>367</v>
      </c>
      <c r="D737" s="3">
        <v>87</v>
      </c>
      <c r="F737">
        <v>2019</v>
      </c>
      <c r="G737">
        <f t="shared" si="206"/>
        <v>6</v>
      </c>
      <c r="H737">
        <f>AVERAGE($AD$737:$AD$814)</f>
        <v>6.8532229339697659E-2</v>
      </c>
      <c r="I737">
        <f>AVERAGE($AC$737:$AC$814)</f>
        <v>9.2368421052631614E-2</v>
      </c>
      <c r="J737">
        <f>COUNTA($P$737:$P$814)</f>
        <v>78</v>
      </c>
      <c r="K737">
        <v>1</v>
      </c>
      <c r="L737">
        <v>1</v>
      </c>
      <c r="M737" s="12">
        <f>_xlfn.VAR.P($AD$737:$AD$814)</f>
        <v>6.6876377880362312E-2</v>
      </c>
      <c r="N737">
        <f t="shared" ref="N737:N768" si="207">$O$737/SQRT($J$737)</f>
        <v>2.9281213431219765E-2</v>
      </c>
      <c r="O737">
        <f>_xlfn.STDEV.P($AD$737:$AD$814)</f>
        <v>0.25860467490044009</v>
      </c>
      <c r="P737" t="s">
        <v>822</v>
      </c>
      <c r="Q737" t="s">
        <v>826</v>
      </c>
      <c r="R737">
        <v>6.8550000000000004</v>
      </c>
      <c r="S737">
        <v>6.8550000000000004</v>
      </c>
      <c r="U737">
        <v>104</v>
      </c>
      <c r="V737" t="s">
        <v>138</v>
      </c>
      <c r="W737">
        <f>AVERAGE(U737:U814)</f>
        <v>104</v>
      </c>
      <c r="Y737">
        <v>2006</v>
      </c>
      <c r="Z737">
        <f>2025-2006</f>
        <v>19</v>
      </c>
      <c r="AA737">
        <v>1.2279846118051341E-30</v>
      </c>
      <c r="AB737">
        <v>6.3365255737765576E-52</v>
      </c>
      <c r="AC737">
        <v>0.32</v>
      </c>
      <c r="AD737" s="3">
        <v>0.37054069238444592</v>
      </c>
      <c r="AE737">
        <v>1</v>
      </c>
      <c r="AF737" t="str">
        <f>IF(AE737=1,"US","Non-US")</f>
        <v>US</v>
      </c>
      <c r="AG737">
        <v>2</v>
      </c>
      <c r="AH737">
        <v>1</v>
      </c>
      <c r="AI737">
        <v>2</v>
      </c>
      <c r="AJ737">
        <v>1</v>
      </c>
      <c r="AK737" t="s">
        <v>112</v>
      </c>
      <c r="AL737">
        <v>32</v>
      </c>
      <c r="AN737" t="s">
        <v>527</v>
      </c>
      <c r="AO737">
        <v>3.3029999999999999</v>
      </c>
    </row>
    <row r="738" spans="1:41" ht="15.6">
      <c r="A738">
        <v>16</v>
      </c>
      <c r="B738" t="s">
        <v>366</v>
      </c>
      <c r="C738" t="s">
        <v>367</v>
      </c>
      <c r="D738" s="3">
        <v>87</v>
      </c>
      <c r="F738">
        <v>2019</v>
      </c>
      <c r="G738">
        <f t="shared" si="206"/>
        <v>6</v>
      </c>
      <c r="H738">
        <f t="shared" ref="H738:H801" si="208">AVERAGE($AD$737:$AD$814)</f>
        <v>6.8532229339697659E-2</v>
      </c>
      <c r="I738">
        <f t="shared" ref="I738:I801" si="209">AVERAGE($AC$737:$AC$814)</f>
        <v>9.2368421052631614E-2</v>
      </c>
      <c r="J738">
        <f t="shared" ref="J738:J801" si="210">COUNTA($P$737:$P$814)</f>
        <v>78</v>
      </c>
      <c r="K738">
        <v>1</v>
      </c>
      <c r="L738">
        <v>1</v>
      </c>
      <c r="M738" s="12">
        <f t="shared" ref="M738:M801" si="211">_xlfn.VAR.P($AD$737:$AD$814)</f>
        <v>6.6876377880362312E-2</v>
      </c>
      <c r="N738">
        <f t="shared" si="207"/>
        <v>2.9281213431219765E-2</v>
      </c>
      <c r="O738">
        <f t="shared" ref="O738:O801" si="212">_xlfn.STDEV.P($AD$737:$AD$814)</f>
        <v>0.25860467490044009</v>
      </c>
      <c r="P738" t="s">
        <v>822</v>
      </c>
      <c r="Q738" t="s">
        <v>826</v>
      </c>
      <c r="R738">
        <v>6.8550000000000004</v>
      </c>
      <c r="S738">
        <v>6.8550000000000004</v>
      </c>
      <c r="U738">
        <v>104</v>
      </c>
      <c r="V738" t="s">
        <v>138</v>
      </c>
      <c r="W738">
        <v>104</v>
      </c>
      <c r="Y738">
        <v>2006</v>
      </c>
      <c r="Z738">
        <f>2025-2006</f>
        <v>19</v>
      </c>
      <c r="AA738">
        <v>5.5806997572380684E-51</v>
      </c>
      <c r="AB738">
        <v>3.0823345039339818E-119</v>
      </c>
      <c r="AC738">
        <v>0.41</v>
      </c>
      <c r="AD738" s="3">
        <v>0.54101642496701574</v>
      </c>
      <c r="AE738">
        <v>1</v>
      </c>
      <c r="AF738" t="str">
        <f t="shared" ref="AF738:AF801" si="213">IF(AE738=1,"US","Non-US")</f>
        <v>US</v>
      </c>
      <c r="AG738">
        <v>2</v>
      </c>
      <c r="AH738">
        <v>1</v>
      </c>
      <c r="AI738">
        <v>2</v>
      </c>
      <c r="AJ738">
        <v>1</v>
      </c>
      <c r="AK738" t="s">
        <v>112</v>
      </c>
      <c r="AL738">
        <v>32</v>
      </c>
      <c r="AN738" t="s">
        <v>527</v>
      </c>
      <c r="AO738">
        <v>3.3029999999999999</v>
      </c>
    </row>
    <row r="739" spans="1:41" ht="15.6">
      <c r="A739">
        <v>16</v>
      </c>
      <c r="B739" t="s">
        <v>366</v>
      </c>
      <c r="C739" t="s">
        <v>367</v>
      </c>
      <c r="D739" s="3">
        <v>87</v>
      </c>
      <c r="F739">
        <v>2019</v>
      </c>
      <c r="G739">
        <f t="shared" si="206"/>
        <v>6</v>
      </c>
      <c r="H739">
        <f t="shared" si="208"/>
        <v>6.8532229339697659E-2</v>
      </c>
      <c r="I739">
        <f t="shared" si="209"/>
        <v>9.2368421052631614E-2</v>
      </c>
      <c r="J739">
        <f t="shared" si="210"/>
        <v>78</v>
      </c>
      <c r="K739">
        <v>1</v>
      </c>
      <c r="L739">
        <v>1</v>
      </c>
      <c r="M739" s="12">
        <f t="shared" si="211"/>
        <v>6.6876377880362312E-2</v>
      </c>
      <c r="N739">
        <f t="shared" si="207"/>
        <v>2.9281213431219765E-2</v>
      </c>
      <c r="O739">
        <f t="shared" si="212"/>
        <v>0.25860467490044009</v>
      </c>
      <c r="P739" t="s">
        <v>823</v>
      </c>
      <c r="Q739" t="s">
        <v>826</v>
      </c>
      <c r="R739">
        <v>6.8550000000000004</v>
      </c>
      <c r="S739">
        <v>6.8550000000000004</v>
      </c>
      <c r="U739">
        <v>104</v>
      </c>
      <c r="V739" t="s">
        <v>138</v>
      </c>
      <c r="W739">
        <v>104</v>
      </c>
      <c r="Y739">
        <v>2006</v>
      </c>
      <c r="Z739">
        <f>2025-2006</f>
        <v>19</v>
      </c>
      <c r="AA739">
        <v>5.9347892458510793E-14</v>
      </c>
      <c r="AB739">
        <v>9.8913361641057864E-90</v>
      </c>
      <c r="AC739">
        <v>0.57999999999999996</v>
      </c>
      <c r="AD739" s="3">
        <v>0.4790435067040672</v>
      </c>
      <c r="AE739">
        <v>1</v>
      </c>
      <c r="AF739" t="str">
        <f t="shared" si="213"/>
        <v>US</v>
      </c>
      <c r="AG739">
        <v>2</v>
      </c>
      <c r="AH739">
        <v>1</v>
      </c>
      <c r="AI739">
        <v>2</v>
      </c>
      <c r="AJ739">
        <v>1</v>
      </c>
      <c r="AK739" t="s">
        <v>112</v>
      </c>
      <c r="AL739">
        <v>32</v>
      </c>
      <c r="AN739" t="s">
        <v>527</v>
      </c>
      <c r="AO739">
        <v>3.3029999999999999</v>
      </c>
    </row>
    <row r="740" spans="1:41" ht="15.6">
      <c r="A740">
        <v>16</v>
      </c>
      <c r="B740" t="s">
        <v>366</v>
      </c>
      <c r="C740" t="s">
        <v>367</v>
      </c>
      <c r="D740" s="3">
        <v>87</v>
      </c>
      <c r="F740">
        <v>2019</v>
      </c>
      <c r="G740">
        <f t="shared" si="206"/>
        <v>6</v>
      </c>
      <c r="H740">
        <f t="shared" si="208"/>
        <v>6.8532229339697659E-2</v>
      </c>
      <c r="I740">
        <f t="shared" si="209"/>
        <v>9.2368421052631614E-2</v>
      </c>
      <c r="J740">
        <f t="shared" si="210"/>
        <v>78</v>
      </c>
      <c r="K740">
        <v>1</v>
      </c>
      <c r="L740">
        <v>1</v>
      </c>
      <c r="M740" s="12">
        <f t="shared" si="211"/>
        <v>6.6876377880362312E-2</v>
      </c>
      <c r="N740">
        <f t="shared" si="207"/>
        <v>2.9281213431219765E-2</v>
      </c>
      <c r="O740">
        <f t="shared" si="212"/>
        <v>0.25860467490044009</v>
      </c>
      <c r="P740" t="s">
        <v>823</v>
      </c>
      <c r="Q740" t="s">
        <v>826</v>
      </c>
      <c r="R740">
        <v>6.8550000000000004</v>
      </c>
      <c r="S740">
        <v>6.8550000000000004</v>
      </c>
      <c r="U740">
        <v>104</v>
      </c>
      <c r="V740" t="s">
        <v>138</v>
      </c>
      <c r="W740">
        <v>104</v>
      </c>
      <c r="Y740">
        <v>2006</v>
      </c>
      <c r="Z740">
        <f>2025-2006</f>
        <v>19</v>
      </c>
      <c r="AA740">
        <v>1.3495322018694838E-2</v>
      </c>
      <c r="AB740">
        <v>1.32505878875791E-56</v>
      </c>
      <c r="AC740">
        <v>0.2</v>
      </c>
      <c r="AD740" s="3">
        <v>0.3914010798235561</v>
      </c>
      <c r="AE740">
        <v>1</v>
      </c>
      <c r="AF740" t="str">
        <f t="shared" si="213"/>
        <v>US</v>
      </c>
      <c r="AG740">
        <v>2</v>
      </c>
      <c r="AH740">
        <v>1</v>
      </c>
      <c r="AI740">
        <v>2</v>
      </c>
      <c r="AJ740">
        <v>1</v>
      </c>
      <c r="AK740" t="s">
        <v>112</v>
      </c>
      <c r="AL740">
        <v>32</v>
      </c>
      <c r="AN740" t="s">
        <v>527</v>
      </c>
      <c r="AO740">
        <v>3.3029999999999999</v>
      </c>
    </row>
    <row r="741" spans="1:41" ht="15.6">
      <c r="A741">
        <v>16</v>
      </c>
      <c r="B741" t="s">
        <v>366</v>
      </c>
      <c r="C741" t="s">
        <v>367</v>
      </c>
      <c r="D741" s="3">
        <v>87</v>
      </c>
      <c r="F741">
        <v>2019</v>
      </c>
      <c r="G741">
        <f t="shared" si="206"/>
        <v>6</v>
      </c>
      <c r="H741">
        <f t="shared" si="208"/>
        <v>6.8532229339697659E-2</v>
      </c>
      <c r="I741">
        <f t="shared" si="209"/>
        <v>9.2368421052631614E-2</v>
      </c>
      <c r="J741">
        <f t="shared" si="210"/>
        <v>78</v>
      </c>
      <c r="K741">
        <v>1</v>
      </c>
      <c r="L741">
        <v>1</v>
      </c>
      <c r="M741" s="12">
        <f t="shared" si="211"/>
        <v>6.6876377880362312E-2</v>
      </c>
      <c r="N741">
        <f t="shared" si="207"/>
        <v>2.9281213431219765E-2</v>
      </c>
      <c r="O741">
        <f t="shared" si="212"/>
        <v>0.25860467490044009</v>
      </c>
      <c r="P741" t="s">
        <v>823</v>
      </c>
      <c r="Q741" t="s">
        <v>826</v>
      </c>
      <c r="R741">
        <v>6.8550000000000004</v>
      </c>
      <c r="S741">
        <v>6.8550000000000004</v>
      </c>
      <c r="U741">
        <v>104</v>
      </c>
      <c r="V741" t="s">
        <v>138</v>
      </c>
      <c r="W741">
        <v>104</v>
      </c>
      <c r="Y741">
        <v>2006</v>
      </c>
      <c r="Z741">
        <f>2025-2006</f>
        <v>19</v>
      </c>
      <c r="AA741">
        <v>3.2263961474053848E-8</v>
      </c>
      <c r="AB741">
        <v>3.199850522144975E-45</v>
      </c>
      <c r="AC741">
        <v>0.43</v>
      </c>
      <c r="AD741" s="3">
        <v>0.35134841201663852</v>
      </c>
      <c r="AE741">
        <v>1</v>
      </c>
      <c r="AF741" t="str">
        <f t="shared" si="213"/>
        <v>US</v>
      </c>
      <c r="AG741">
        <v>2</v>
      </c>
      <c r="AH741">
        <v>1</v>
      </c>
      <c r="AI741">
        <v>2</v>
      </c>
      <c r="AJ741">
        <v>1</v>
      </c>
      <c r="AK741" t="s">
        <v>112</v>
      </c>
      <c r="AL741">
        <v>32</v>
      </c>
      <c r="AN741" t="s">
        <v>527</v>
      </c>
      <c r="AO741">
        <v>3.3029999999999999</v>
      </c>
    </row>
    <row r="742" spans="1:41" ht="15.6">
      <c r="A742">
        <v>16</v>
      </c>
      <c r="B742" t="s">
        <v>366</v>
      </c>
      <c r="C742" t="s">
        <v>367</v>
      </c>
      <c r="D742" s="3">
        <v>87</v>
      </c>
      <c r="F742">
        <v>2019</v>
      </c>
      <c r="G742">
        <f t="shared" si="206"/>
        <v>6</v>
      </c>
      <c r="H742">
        <f t="shared" si="208"/>
        <v>6.8532229339697659E-2</v>
      </c>
      <c r="I742">
        <f t="shared" si="209"/>
        <v>9.2368421052631614E-2</v>
      </c>
      <c r="J742">
        <f t="shared" si="210"/>
        <v>78</v>
      </c>
      <c r="K742">
        <v>1</v>
      </c>
      <c r="L742">
        <v>1</v>
      </c>
      <c r="M742" s="12">
        <f t="shared" si="211"/>
        <v>6.6876377880362312E-2</v>
      </c>
      <c r="N742">
        <f t="shared" si="207"/>
        <v>2.9281213431219765E-2</v>
      </c>
      <c r="O742">
        <f t="shared" si="212"/>
        <v>0.25860467490044009</v>
      </c>
      <c r="P742" t="s">
        <v>823</v>
      </c>
      <c r="Q742" t="s">
        <v>826</v>
      </c>
      <c r="R742">
        <v>6.8550000000000004</v>
      </c>
      <c r="S742">
        <v>6.8550000000000004</v>
      </c>
      <c r="U742">
        <v>104</v>
      </c>
      <c r="V742" t="s">
        <v>138</v>
      </c>
      <c r="W742">
        <v>104</v>
      </c>
      <c r="Y742">
        <v>2006</v>
      </c>
      <c r="Z742">
        <f>2025-2006</f>
        <v>19</v>
      </c>
      <c r="AB742">
        <v>2.2535772431245896E-10</v>
      </c>
      <c r="AC742" t="s">
        <v>827</v>
      </c>
      <c r="AD742" s="3">
        <v>0.16025070358029656</v>
      </c>
      <c r="AE742">
        <v>1</v>
      </c>
      <c r="AF742" t="str">
        <f t="shared" si="213"/>
        <v>US</v>
      </c>
      <c r="AG742">
        <v>2</v>
      </c>
      <c r="AH742">
        <v>1</v>
      </c>
      <c r="AI742">
        <v>2</v>
      </c>
      <c r="AJ742">
        <v>1</v>
      </c>
      <c r="AK742" t="s">
        <v>112</v>
      </c>
      <c r="AL742">
        <v>32</v>
      </c>
      <c r="AN742" t="s">
        <v>527</v>
      </c>
      <c r="AO742">
        <v>3.3029999999999999</v>
      </c>
    </row>
    <row r="743" spans="1:41" ht="15.6">
      <c r="A743">
        <v>16</v>
      </c>
      <c r="B743" t="s">
        <v>366</v>
      </c>
      <c r="C743" t="s">
        <v>367</v>
      </c>
      <c r="D743" s="3">
        <v>87</v>
      </c>
      <c r="F743">
        <v>2019</v>
      </c>
      <c r="G743">
        <f t="shared" si="206"/>
        <v>6</v>
      </c>
      <c r="H743">
        <f t="shared" si="208"/>
        <v>6.8532229339697659E-2</v>
      </c>
      <c r="I743">
        <f t="shared" si="209"/>
        <v>9.2368421052631614E-2</v>
      </c>
      <c r="J743">
        <f t="shared" si="210"/>
        <v>78</v>
      </c>
      <c r="K743">
        <v>1</v>
      </c>
      <c r="L743">
        <v>1</v>
      </c>
      <c r="M743" s="12">
        <f t="shared" si="211"/>
        <v>6.6876377880362312E-2</v>
      </c>
      <c r="N743">
        <f t="shared" si="207"/>
        <v>2.9281213431219765E-2</v>
      </c>
      <c r="O743">
        <f t="shared" si="212"/>
        <v>0.25860467490044009</v>
      </c>
      <c r="P743" t="s">
        <v>823</v>
      </c>
      <c r="Q743" t="s">
        <v>826</v>
      </c>
      <c r="R743">
        <v>6.8550000000000004</v>
      </c>
      <c r="S743">
        <v>6.8550000000000004</v>
      </c>
      <c r="U743">
        <v>104</v>
      </c>
      <c r="V743" t="s">
        <v>138</v>
      </c>
      <c r="W743">
        <v>104</v>
      </c>
      <c r="Y743">
        <v>2006</v>
      </c>
      <c r="Z743">
        <f>2025-2006</f>
        <v>19</v>
      </c>
      <c r="AB743">
        <v>1.6399157671698361E-7</v>
      </c>
      <c r="AC743" t="s">
        <v>828</v>
      </c>
      <c r="AD743" s="3">
        <v>-0.13255988920228229</v>
      </c>
      <c r="AE743">
        <v>1</v>
      </c>
      <c r="AF743" t="str">
        <f t="shared" si="213"/>
        <v>US</v>
      </c>
      <c r="AG743">
        <v>2</v>
      </c>
      <c r="AH743">
        <v>1</v>
      </c>
      <c r="AI743">
        <v>2</v>
      </c>
      <c r="AJ743">
        <v>1</v>
      </c>
      <c r="AK743" t="s">
        <v>112</v>
      </c>
      <c r="AL743">
        <v>32</v>
      </c>
      <c r="AN743" t="s">
        <v>527</v>
      </c>
      <c r="AO743">
        <v>3.3029999999999999</v>
      </c>
    </row>
    <row r="744" spans="1:41" ht="15.6">
      <c r="A744">
        <v>16</v>
      </c>
      <c r="B744" t="s">
        <v>366</v>
      </c>
      <c r="C744" t="s">
        <v>367</v>
      </c>
      <c r="D744" s="3">
        <v>87</v>
      </c>
      <c r="F744">
        <v>2019</v>
      </c>
      <c r="G744">
        <f t="shared" si="206"/>
        <v>6</v>
      </c>
      <c r="H744">
        <f t="shared" si="208"/>
        <v>6.8532229339697659E-2</v>
      </c>
      <c r="I744">
        <f t="shared" si="209"/>
        <v>9.2368421052631614E-2</v>
      </c>
      <c r="J744">
        <f t="shared" si="210"/>
        <v>78</v>
      </c>
      <c r="K744">
        <v>1</v>
      </c>
      <c r="L744">
        <v>1</v>
      </c>
      <c r="M744" s="12">
        <f t="shared" si="211"/>
        <v>6.6876377880362312E-2</v>
      </c>
      <c r="N744">
        <f t="shared" si="207"/>
        <v>2.9281213431219765E-2</v>
      </c>
      <c r="O744">
        <f t="shared" si="212"/>
        <v>0.25860467490044009</v>
      </c>
      <c r="P744" t="s">
        <v>822</v>
      </c>
      <c r="Q744" t="s">
        <v>826</v>
      </c>
      <c r="R744">
        <v>6.8550000000000004</v>
      </c>
      <c r="S744">
        <v>6.8550000000000004</v>
      </c>
      <c r="U744">
        <v>104</v>
      </c>
      <c r="V744" t="s">
        <v>138</v>
      </c>
      <c r="W744">
        <v>104</v>
      </c>
      <c r="Y744">
        <v>2006</v>
      </c>
      <c r="Z744">
        <f>2025-2006</f>
        <v>19</v>
      </c>
      <c r="AA744">
        <v>2.1526215669612929E-2</v>
      </c>
      <c r="AB744">
        <v>2.1112144106765169E-50</v>
      </c>
      <c r="AC744">
        <v>-0.22</v>
      </c>
      <c r="AD744" s="3">
        <v>-0.47492850576184314</v>
      </c>
      <c r="AE744">
        <v>1</v>
      </c>
      <c r="AF744" t="str">
        <f t="shared" si="213"/>
        <v>US</v>
      </c>
      <c r="AG744">
        <v>2</v>
      </c>
      <c r="AH744">
        <v>1</v>
      </c>
      <c r="AI744">
        <v>2</v>
      </c>
      <c r="AJ744">
        <v>1</v>
      </c>
      <c r="AK744" t="s">
        <v>112</v>
      </c>
      <c r="AL744">
        <v>32</v>
      </c>
      <c r="AN744" t="s">
        <v>527</v>
      </c>
      <c r="AO744">
        <v>3.3029999999999999</v>
      </c>
    </row>
    <row r="745" spans="1:41" ht="15.6">
      <c r="A745">
        <v>16</v>
      </c>
      <c r="B745" t="s">
        <v>366</v>
      </c>
      <c r="C745" t="s">
        <v>367</v>
      </c>
      <c r="D745" s="3">
        <v>87</v>
      </c>
      <c r="F745">
        <v>2019</v>
      </c>
      <c r="G745">
        <f t="shared" si="206"/>
        <v>6</v>
      </c>
      <c r="H745">
        <f t="shared" si="208"/>
        <v>6.8532229339697659E-2</v>
      </c>
      <c r="I745">
        <f t="shared" si="209"/>
        <v>9.2368421052631614E-2</v>
      </c>
      <c r="J745">
        <f t="shared" si="210"/>
        <v>78</v>
      </c>
      <c r="K745">
        <v>1</v>
      </c>
      <c r="L745">
        <v>1</v>
      </c>
      <c r="M745" s="12">
        <f t="shared" si="211"/>
        <v>6.6876377880362312E-2</v>
      </c>
      <c r="N745">
        <f t="shared" si="207"/>
        <v>2.9281213431219765E-2</v>
      </c>
      <c r="O745">
        <f t="shared" si="212"/>
        <v>0.25860467490044009</v>
      </c>
      <c r="P745" t="s">
        <v>822</v>
      </c>
      <c r="Q745" t="s">
        <v>826</v>
      </c>
      <c r="R745">
        <v>6.8550000000000004</v>
      </c>
      <c r="S745">
        <v>6.8550000000000004</v>
      </c>
      <c r="U745">
        <v>104</v>
      </c>
      <c r="V745" t="s">
        <v>138</v>
      </c>
      <c r="W745">
        <v>104</v>
      </c>
      <c r="Y745">
        <v>2006</v>
      </c>
      <c r="Z745">
        <f>2025-2006</f>
        <v>19</v>
      </c>
      <c r="AA745">
        <v>4.5210195449755103E-3</v>
      </c>
      <c r="AB745">
        <v>1.6522558004419532E-12</v>
      </c>
      <c r="AC745">
        <v>0.27</v>
      </c>
      <c r="AD745" s="3">
        <v>0.20933245700763436</v>
      </c>
      <c r="AE745">
        <v>1</v>
      </c>
      <c r="AF745" t="str">
        <f t="shared" si="213"/>
        <v>US</v>
      </c>
      <c r="AG745">
        <v>2</v>
      </c>
      <c r="AH745">
        <v>1</v>
      </c>
      <c r="AI745">
        <v>2</v>
      </c>
      <c r="AJ745">
        <v>1</v>
      </c>
      <c r="AK745" t="s">
        <v>112</v>
      </c>
      <c r="AL745">
        <v>32</v>
      </c>
      <c r="AN745" t="s">
        <v>527</v>
      </c>
      <c r="AO745">
        <v>3.3029999999999999</v>
      </c>
    </row>
    <row r="746" spans="1:41" ht="15.6">
      <c r="A746">
        <v>16</v>
      </c>
      <c r="B746" t="s">
        <v>366</v>
      </c>
      <c r="C746" t="s">
        <v>367</v>
      </c>
      <c r="D746" s="3">
        <v>87</v>
      </c>
      <c r="F746">
        <v>2019</v>
      </c>
      <c r="G746">
        <f t="shared" si="206"/>
        <v>6</v>
      </c>
      <c r="H746">
        <f t="shared" si="208"/>
        <v>6.8532229339697659E-2</v>
      </c>
      <c r="I746">
        <f t="shared" si="209"/>
        <v>9.2368421052631614E-2</v>
      </c>
      <c r="J746">
        <f t="shared" si="210"/>
        <v>78</v>
      </c>
      <c r="K746">
        <v>1</v>
      </c>
      <c r="L746">
        <v>1</v>
      </c>
      <c r="M746" s="12">
        <f t="shared" si="211"/>
        <v>6.6876377880362312E-2</v>
      </c>
      <c r="N746">
        <f t="shared" si="207"/>
        <v>2.9281213431219765E-2</v>
      </c>
      <c r="O746">
        <f t="shared" si="212"/>
        <v>0.25860467490044009</v>
      </c>
      <c r="P746" t="s">
        <v>822</v>
      </c>
      <c r="Q746" t="s">
        <v>826</v>
      </c>
      <c r="R746">
        <v>6.8550000000000004</v>
      </c>
      <c r="S746">
        <v>6.8550000000000004</v>
      </c>
      <c r="U746">
        <v>104</v>
      </c>
      <c r="V746" t="s">
        <v>138</v>
      </c>
      <c r="W746">
        <v>104</v>
      </c>
      <c r="Y746">
        <v>2006</v>
      </c>
      <c r="Z746">
        <f>2025-2006</f>
        <v>19</v>
      </c>
      <c r="AA746">
        <v>3.1203983641903404E-89</v>
      </c>
      <c r="AB746">
        <v>3.4159192556231884E-60</v>
      </c>
      <c r="AC746">
        <v>0.17</v>
      </c>
      <c r="AD746" s="3">
        <v>0.39757604984081513</v>
      </c>
      <c r="AE746">
        <v>1</v>
      </c>
      <c r="AF746" t="str">
        <f t="shared" si="213"/>
        <v>US</v>
      </c>
      <c r="AG746">
        <v>2</v>
      </c>
      <c r="AH746">
        <v>1</v>
      </c>
      <c r="AI746">
        <v>2</v>
      </c>
      <c r="AJ746">
        <v>1</v>
      </c>
      <c r="AK746" t="s">
        <v>112</v>
      </c>
      <c r="AL746">
        <v>32</v>
      </c>
      <c r="AN746" t="s">
        <v>527</v>
      </c>
      <c r="AO746">
        <v>3.3029999999999999</v>
      </c>
    </row>
    <row r="747" spans="1:41" ht="15.6">
      <c r="A747">
        <v>16</v>
      </c>
      <c r="B747" t="s">
        <v>366</v>
      </c>
      <c r="C747" t="s">
        <v>367</v>
      </c>
      <c r="D747" s="3">
        <v>87</v>
      </c>
      <c r="F747">
        <v>2019</v>
      </c>
      <c r="G747">
        <f t="shared" si="206"/>
        <v>6</v>
      </c>
      <c r="H747">
        <f t="shared" si="208"/>
        <v>6.8532229339697659E-2</v>
      </c>
      <c r="I747">
        <f t="shared" si="209"/>
        <v>9.2368421052631614E-2</v>
      </c>
      <c r="J747">
        <f t="shared" si="210"/>
        <v>78</v>
      </c>
      <c r="K747">
        <v>1</v>
      </c>
      <c r="L747">
        <v>1</v>
      </c>
      <c r="M747" s="12">
        <f t="shared" si="211"/>
        <v>6.6876377880362312E-2</v>
      </c>
      <c r="N747">
        <f t="shared" si="207"/>
        <v>2.9281213431219765E-2</v>
      </c>
      <c r="O747">
        <f t="shared" si="212"/>
        <v>0.25860467490044009</v>
      </c>
      <c r="P747" t="s">
        <v>822</v>
      </c>
      <c r="Q747" t="s">
        <v>826</v>
      </c>
      <c r="R747">
        <v>6.8550000000000004</v>
      </c>
      <c r="S747">
        <v>6.8550000000000004</v>
      </c>
      <c r="U747">
        <v>104</v>
      </c>
      <c r="V747" t="s">
        <v>138</v>
      </c>
      <c r="W747">
        <v>104</v>
      </c>
      <c r="Y747">
        <v>2006</v>
      </c>
      <c r="Z747">
        <f>2025-2006</f>
        <v>19</v>
      </c>
      <c r="AA747">
        <v>1.5741679658099468E-159</v>
      </c>
      <c r="AB747">
        <v>4.6868696127510717E-83</v>
      </c>
      <c r="AC747">
        <v>0.2</v>
      </c>
      <c r="AD747" s="3">
        <v>-0.46148390349724677</v>
      </c>
      <c r="AE747">
        <v>1</v>
      </c>
      <c r="AF747" t="str">
        <f t="shared" si="213"/>
        <v>US</v>
      </c>
      <c r="AG747">
        <v>2</v>
      </c>
      <c r="AH747">
        <v>1</v>
      </c>
      <c r="AI747">
        <v>2</v>
      </c>
      <c r="AJ747">
        <v>1</v>
      </c>
      <c r="AK747" t="s">
        <v>112</v>
      </c>
      <c r="AL747">
        <v>32</v>
      </c>
      <c r="AN747" t="s">
        <v>527</v>
      </c>
      <c r="AO747">
        <v>3.3029999999999999</v>
      </c>
    </row>
    <row r="748" spans="1:41" ht="15.6">
      <c r="A748">
        <v>16</v>
      </c>
      <c r="B748" t="s">
        <v>366</v>
      </c>
      <c r="C748" t="s">
        <v>367</v>
      </c>
      <c r="D748" s="3">
        <v>87</v>
      </c>
      <c r="F748">
        <v>2019</v>
      </c>
      <c r="G748">
        <f t="shared" si="206"/>
        <v>6</v>
      </c>
      <c r="H748">
        <f t="shared" si="208"/>
        <v>6.8532229339697659E-2</v>
      </c>
      <c r="I748">
        <f t="shared" si="209"/>
        <v>9.2368421052631614E-2</v>
      </c>
      <c r="J748">
        <f t="shared" si="210"/>
        <v>78</v>
      </c>
      <c r="K748">
        <v>1</v>
      </c>
      <c r="L748">
        <v>1</v>
      </c>
      <c r="M748" s="12">
        <f t="shared" si="211"/>
        <v>6.6876377880362312E-2</v>
      </c>
      <c r="N748">
        <f t="shared" si="207"/>
        <v>2.9281213431219765E-2</v>
      </c>
      <c r="O748">
        <f t="shared" si="212"/>
        <v>0.25860467490044009</v>
      </c>
      <c r="P748" t="s">
        <v>823</v>
      </c>
      <c r="Q748" t="s">
        <v>826</v>
      </c>
      <c r="R748">
        <v>6.8550000000000004</v>
      </c>
      <c r="S748">
        <v>6.8550000000000004</v>
      </c>
      <c r="U748">
        <v>104</v>
      </c>
      <c r="V748" t="s">
        <v>138</v>
      </c>
      <c r="W748">
        <v>104</v>
      </c>
      <c r="Y748">
        <v>2006</v>
      </c>
      <c r="Z748">
        <f>2025-2006</f>
        <v>19</v>
      </c>
      <c r="AA748">
        <v>1.7550708992498296E-5</v>
      </c>
      <c r="AB748">
        <v>8.3319117279971581E-20</v>
      </c>
      <c r="AC748">
        <v>-7.0000000000000007E-2</v>
      </c>
      <c r="AD748" s="3">
        <v>0.22848043525041464</v>
      </c>
      <c r="AE748">
        <v>1</v>
      </c>
      <c r="AF748" t="str">
        <f t="shared" si="213"/>
        <v>US</v>
      </c>
      <c r="AG748">
        <v>2</v>
      </c>
      <c r="AH748">
        <v>1</v>
      </c>
      <c r="AI748">
        <v>2</v>
      </c>
      <c r="AJ748">
        <v>1</v>
      </c>
      <c r="AK748" t="s">
        <v>112</v>
      </c>
      <c r="AL748">
        <v>32</v>
      </c>
      <c r="AN748" t="s">
        <v>527</v>
      </c>
      <c r="AO748">
        <v>3.3029999999999999</v>
      </c>
    </row>
    <row r="749" spans="1:41" ht="15.6">
      <c r="A749">
        <v>16</v>
      </c>
      <c r="B749" t="s">
        <v>366</v>
      </c>
      <c r="C749" t="s">
        <v>367</v>
      </c>
      <c r="D749" s="3">
        <v>87</v>
      </c>
      <c r="F749">
        <v>2019</v>
      </c>
      <c r="G749">
        <f t="shared" si="206"/>
        <v>6</v>
      </c>
      <c r="H749">
        <f t="shared" si="208"/>
        <v>6.8532229339697659E-2</v>
      </c>
      <c r="I749">
        <f t="shared" si="209"/>
        <v>9.2368421052631614E-2</v>
      </c>
      <c r="J749">
        <f t="shared" si="210"/>
        <v>78</v>
      </c>
      <c r="K749">
        <v>1</v>
      </c>
      <c r="L749">
        <v>1</v>
      </c>
      <c r="M749" s="12">
        <f t="shared" si="211"/>
        <v>6.6876377880362312E-2</v>
      </c>
      <c r="N749">
        <f t="shared" si="207"/>
        <v>2.9281213431219765E-2</v>
      </c>
      <c r="O749">
        <f t="shared" si="212"/>
        <v>0.25860467490044009</v>
      </c>
      <c r="P749" t="s">
        <v>823</v>
      </c>
      <c r="Q749" t="s">
        <v>826</v>
      </c>
      <c r="R749">
        <v>6.8550000000000004</v>
      </c>
      <c r="S749">
        <v>6.8550000000000004</v>
      </c>
      <c r="U749">
        <v>104</v>
      </c>
      <c r="V749" t="s">
        <v>138</v>
      </c>
      <c r="W749">
        <v>104</v>
      </c>
      <c r="Y749">
        <v>2006</v>
      </c>
      <c r="Z749">
        <f>2025-2006</f>
        <v>19</v>
      </c>
      <c r="AA749">
        <v>6.3964880984901478E-14</v>
      </c>
      <c r="AB749">
        <v>1.7111944756903308E-41</v>
      </c>
      <c r="AC749">
        <v>0.27</v>
      </c>
      <c r="AD749" s="3">
        <v>-0.33316177089309484</v>
      </c>
      <c r="AE749">
        <v>1</v>
      </c>
      <c r="AF749" t="str">
        <f t="shared" si="213"/>
        <v>US</v>
      </c>
      <c r="AG749">
        <v>2</v>
      </c>
      <c r="AH749">
        <v>1</v>
      </c>
      <c r="AI749">
        <v>2</v>
      </c>
      <c r="AJ749">
        <v>1</v>
      </c>
      <c r="AK749" t="s">
        <v>112</v>
      </c>
      <c r="AL749">
        <v>32</v>
      </c>
      <c r="AN749" t="s">
        <v>527</v>
      </c>
      <c r="AO749">
        <v>3.3029999999999999</v>
      </c>
    </row>
    <row r="750" spans="1:41" ht="15.6">
      <c r="A750">
        <v>16</v>
      </c>
      <c r="B750" t="s">
        <v>366</v>
      </c>
      <c r="C750" t="s">
        <v>367</v>
      </c>
      <c r="D750" s="3">
        <v>87</v>
      </c>
      <c r="F750">
        <v>2019</v>
      </c>
      <c r="G750">
        <f t="shared" si="206"/>
        <v>6</v>
      </c>
      <c r="H750">
        <f t="shared" si="208"/>
        <v>6.8532229339697659E-2</v>
      </c>
      <c r="I750">
        <f t="shared" si="209"/>
        <v>9.2368421052631614E-2</v>
      </c>
      <c r="J750">
        <f t="shared" si="210"/>
        <v>78</v>
      </c>
      <c r="K750">
        <v>1</v>
      </c>
      <c r="L750">
        <v>1</v>
      </c>
      <c r="M750" s="12">
        <f t="shared" si="211"/>
        <v>6.6876377880362312E-2</v>
      </c>
      <c r="N750">
        <f t="shared" si="207"/>
        <v>2.9281213431219765E-2</v>
      </c>
      <c r="O750">
        <f t="shared" si="212"/>
        <v>0.25860467490044009</v>
      </c>
      <c r="P750" t="s">
        <v>823</v>
      </c>
      <c r="Q750" t="s">
        <v>826</v>
      </c>
      <c r="R750">
        <v>6.8550000000000004</v>
      </c>
      <c r="S750">
        <v>6.8550000000000004</v>
      </c>
      <c r="U750">
        <v>104</v>
      </c>
      <c r="V750" t="s">
        <v>138</v>
      </c>
      <c r="W750">
        <v>104</v>
      </c>
      <c r="Y750">
        <v>2006</v>
      </c>
      <c r="Z750">
        <f>2025-2006</f>
        <v>19</v>
      </c>
      <c r="AA750">
        <v>1.2386941946325544E-15</v>
      </c>
      <c r="AB750">
        <v>4.889658369986202E-47</v>
      </c>
      <c r="AC750">
        <v>-0.24</v>
      </c>
      <c r="AD750" s="3">
        <v>0.35421792890571613</v>
      </c>
      <c r="AE750">
        <v>1</v>
      </c>
      <c r="AF750" t="str">
        <f t="shared" si="213"/>
        <v>US</v>
      </c>
      <c r="AG750">
        <v>2</v>
      </c>
      <c r="AH750">
        <v>1</v>
      </c>
      <c r="AI750">
        <v>2</v>
      </c>
      <c r="AJ750">
        <v>1</v>
      </c>
      <c r="AK750" t="s">
        <v>112</v>
      </c>
      <c r="AL750">
        <v>32</v>
      </c>
      <c r="AN750" t="s">
        <v>527</v>
      </c>
      <c r="AO750">
        <v>3.3029999999999999</v>
      </c>
    </row>
    <row r="751" spans="1:41" ht="15.6">
      <c r="A751">
        <v>16</v>
      </c>
      <c r="B751" t="s">
        <v>366</v>
      </c>
      <c r="C751" t="s">
        <v>367</v>
      </c>
      <c r="D751" s="3">
        <v>87</v>
      </c>
      <c r="F751">
        <v>2019</v>
      </c>
      <c r="G751">
        <f t="shared" si="206"/>
        <v>6</v>
      </c>
      <c r="H751">
        <f t="shared" si="208"/>
        <v>6.8532229339697659E-2</v>
      </c>
      <c r="I751">
        <f t="shared" si="209"/>
        <v>9.2368421052631614E-2</v>
      </c>
      <c r="J751">
        <f t="shared" si="210"/>
        <v>78</v>
      </c>
      <c r="K751">
        <v>1</v>
      </c>
      <c r="L751">
        <v>1</v>
      </c>
      <c r="M751" s="12">
        <f t="shared" si="211"/>
        <v>6.6876377880362312E-2</v>
      </c>
      <c r="N751">
        <f t="shared" si="207"/>
        <v>2.9281213431219765E-2</v>
      </c>
      <c r="O751">
        <f t="shared" si="212"/>
        <v>0.25860467490044009</v>
      </c>
      <c r="P751" t="s">
        <v>823</v>
      </c>
      <c r="Q751" t="s">
        <v>826</v>
      </c>
      <c r="R751">
        <v>6.8550000000000004</v>
      </c>
      <c r="S751">
        <v>6.8550000000000004</v>
      </c>
      <c r="U751">
        <v>104</v>
      </c>
      <c r="V751" t="s">
        <v>138</v>
      </c>
      <c r="W751">
        <v>104</v>
      </c>
      <c r="Y751">
        <v>2006</v>
      </c>
      <c r="Z751">
        <f>2025-2006</f>
        <v>19</v>
      </c>
      <c r="AA751">
        <v>1.0972157667105092E-75</v>
      </c>
      <c r="AB751">
        <v>1.3222161668157884E-150</v>
      </c>
      <c r="AC751">
        <v>-0.14000000000000001</v>
      </c>
      <c r="AD751" s="3">
        <v>-0.59743742423389512</v>
      </c>
      <c r="AE751">
        <v>1</v>
      </c>
      <c r="AF751" t="str">
        <f t="shared" si="213"/>
        <v>US</v>
      </c>
      <c r="AG751">
        <v>2</v>
      </c>
      <c r="AH751">
        <v>1</v>
      </c>
      <c r="AI751">
        <v>2</v>
      </c>
      <c r="AJ751">
        <v>1</v>
      </c>
      <c r="AK751" t="s">
        <v>112</v>
      </c>
      <c r="AL751">
        <v>32</v>
      </c>
      <c r="AN751" t="s">
        <v>527</v>
      </c>
      <c r="AO751">
        <v>3.3029999999999999</v>
      </c>
    </row>
    <row r="752" spans="1:41" ht="15.6">
      <c r="A752">
        <v>16</v>
      </c>
      <c r="B752" t="s">
        <v>366</v>
      </c>
      <c r="C752" t="s">
        <v>367</v>
      </c>
      <c r="D752" s="3">
        <v>87</v>
      </c>
      <c r="F752">
        <v>2019</v>
      </c>
      <c r="G752">
        <f t="shared" si="206"/>
        <v>6</v>
      </c>
      <c r="H752">
        <f t="shared" si="208"/>
        <v>6.8532229339697659E-2</v>
      </c>
      <c r="I752">
        <f t="shared" si="209"/>
        <v>9.2368421052631614E-2</v>
      </c>
      <c r="J752">
        <f t="shared" si="210"/>
        <v>78</v>
      </c>
      <c r="K752">
        <v>1</v>
      </c>
      <c r="L752">
        <v>1</v>
      </c>
      <c r="M752" s="12">
        <f t="shared" si="211"/>
        <v>6.6876377880362312E-2</v>
      </c>
      <c r="N752">
        <f t="shared" si="207"/>
        <v>2.9281213431219765E-2</v>
      </c>
      <c r="O752">
        <f t="shared" si="212"/>
        <v>0.25860467490044009</v>
      </c>
      <c r="P752" t="s">
        <v>823</v>
      </c>
      <c r="Q752" t="s">
        <v>826</v>
      </c>
      <c r="R752">
        <v>6.8550000000000004</v>
      </c>
      <c r="S752">
        <v>6.8550000000000004</v>
      </c>
      <c r="U752">
        <v>104</v>
      </c>
      <c r="V752" t="s">
        <v>138</v>
      </c>
      <c r="W752">
        <v>104</v>
      </c>
      <c r="Y752">
        <v>2006</v>
      </c>
      <c r="Z752">
        <f>2025-2006</f>
        <v>19</v>
      </c>
      <c r="AA752">
        <v>7.7053084760164491E-14</v>
      </c>
      <c r="AB752">
        <v>1.3317921747601643E-11</v>
      </c>
      <c r="AC752">
        <v>0.23</v>
      </c>
      <c r="AD752" s="3">
        <v>0.17070970770216845</v>
      </c>
      <c r="AE752">
        <v>1</v>
      </c>
      <c r="AF752" t="str">
        <f t="shared" si="213"/>
        <v>US</v>
      </c>
      <c r="AG752">
        <v>2</v>
      </c>
      <c r="AH752">
        <v>1</v>
      </c>
      <c r="AI752">
        <v>2</v>
      </c>
      <c r="AJ752">
        <v>1</v>
      </c>
      <c r="AK752" t="s">
        <v>112</v>
      </c>
      <c r="AL752">
        <v>32</v>
      </c>
      <c r="AN752" t="s">
        <v>527</v>
      </c>
      <c r="AO752">
        <v>3.3029999999999999</v>
      </c>
    </row>
    <row r="753" spans="1:41" ht="15.6">
      <c r="A753">
        <v>16</v>
      </c>
      <c r="B753" t="s">
        <v>366</v>
      </c>
      <c r="C753" t="s">
        <v>367</v>
      </c>
      <c r="D753" s="3">
        <v>87</v>
      </c>
      <c r="F753">
        <v>2019</v>
      </c>
      <c r="G753">
        <f t="shared" si="206"/>
        <v>6</v>
      </c>
      <c r="H753">
        <f t="shared" si="208"/>
        <v>6.8532229339697659E-2</v>
      </c>
      <c r="I753">
        <f t="shared" si="209"/>
        <v>9.2368421052631614E-2</v>
      </c>
      <c r="J753">
        <f t="shared" si="210"/>
        <v>78</v>
      </c>
      <c r="K753">
        <v>1</v>
      </c>
      <c r="L753">
        <v>1</v>
      </c>
      <c r="M753" s="12">
        <f t="shared" si="211"/>
        <v>6.6876377880362312E-2</v>
      </c>
      <c r="N753">
        <f t="shared" si="207"/>
        <v>2.9281213431219765E-2</v>
      </c>
      <c r="O753">
        <f t="shared" si="212"/>
        <v>0.25860467490044009</v>
      </c>
      <c r="P753" t="s">
        <v>823</v>
      </c>
      <c r="Q753" t="s">
        <v>826</v>
      </c>
      <c r="R753">
        <v>6.8550000000000004</v>
      </c>
      <c r="S753">
        <v>6.8550000000000004</v>
      </c>
      <c r="U753">
        <v>104</v>
      </c>
      <c r="V753" t="s">
        <v>138</v>
      </c>
      <c r="W753">
        <v>104</v>
      </c>
      <c r="Y753">
        <v>2006</v>
      </c>
      <c r="Z753">
        <f>2025-2006</f>
        <v>19</v>
      </c>
      <c r="AA753">
        <v>1.1961465749673701E-10</v>
      </c>
      <c r="AB753">
        <v>7.1957032689040238E-6</v>
      </c>
      <c r="AC753">
        <v>-0.25</v>
      </c>
      <c r="AD753" s="3">
        <v>0.11371246906034869</v>
      </c>
      <c r="AE753">
        <v>1</v>
      </c>
      <c r="AF753" t="str">
        <f t="shared" si="213"/>
        <v>US</v>
      </c>
      <c r="AG753">
        <v>2</v>
      </c>
      <c r="AH753">
        <v>1</v>
      </c>
      <c r="AI753">
        <v>2</v>
      </c>
      <c r="AJ753">
        <v>1</v>
      </c>
      <c r="AK753" t="s">
        <v>112</v>
      </c>
      <c r="AL753">
        <v>32</v>
      </c>
      <c r="AN753" t="s">
        <v>527</v>
      </c>
      <c r="AO753">
        <v>3.3029999999999999</v>
      </c>
    </row>
    <row r="754" spans="1:41" ht="15.6">
      <c r="A754">
        <v>16</v>
      </c>
      <c r="B754" t="s">
        <v>366</v>
      </c>
      <c r="C754" t="s">
        <v>367</v>
      </c>
      <c r="D754" s="3">
        <v>87</v>
      </c>
      <c r="F754">
        <v>2019</v>
      </c>
      <c r="G754">
        <f t="shared" si="206"/>
        <v>6</v>
      </c>
      <c r="H754">
        <f t="shared" si="208"/>
        <v>6.8532229339697659E-2</v>
      </c>
      <c r="I754">
        <f t="shared" si="209"/>
        <v>9.2368421052631614E-2</v>
      </c>
      <c r="J754">
        <f t="shared" si="210"/>
        <v>78</v>
      </c>
      <c r="K754">
        <v>1</v>
      </c>
      <c r="L754">
        <v>1</v>
      </c>
      <c r="M754" s="12">
        <f t="shared" si="211"/>
        <v>6.6876377880362312E-2</v>
      </c>
      <c r="N754">
        <f t="shared" si="207"/>
        <v>2.9281213431219765E-2</v>
      </c>
      <c r="O754">
        <f t="shared" si="212"/>
        <v>0.25860467490044009</v>
      </c>
      <c r="P754" t="s">
        <v>823</v>
      </c>
      <c r="Q754" t="s">
        <v>826</v>
      </c>
      <c r="R754">
        <v>6.8550000000000004</v>
      </c>
      <c r="S754">
        <v>6.8550000000000004</v>
      </c>
      <c r="U754">
        <v>104</v>
      </c>
      <c r="V754" t="s">
        <v>138</v>
      </c>
      <c r="W754">
        <v>104</v>
      </c>
      <c r="Y754">
        <v>2006</v>
      </c>
      <c r="Z754">
        <f>2025-2006</f>
        <v>19</v>
      </c>
      <c r="AA754">
        <v>1.3935595712144611E-16</v>
      </c>
      <c r="AB754">
        <v>1.9738023889345139E-14</v>
      </c>
      <c r="AC754">
        <v>0.3</v>
      </c>
      <c r="AD754" s="3">
        <v>0.19270023156870908</v>
      </c>
      <c r="AE754">
        <v>1</v>
      </c>
      <c r="AF754" t="str">
        <f t="shared" si="213"/>
        <v>US</v>
      </c>
      <c r="AG754">
        <v>2</v>
      </c>
      <c r="AH754">
        <v>1</v>
      </c>
      <c r="AI754">
        <v>2</v>
      </c>
      <c r="AJ754">
        <v>1</v>
      </c>
      <c r="AK754" t="s">
        <v>112</v>
      </c>
      <c r="AL754">
        <v>32</v>
      </c>
      <c r="AN754" t="s">
        <v>527</v>
      </c>
      <c r="AO754">
        <v>3.3029999999999999</v>
      </c>
    </row>
    <row r="755" spans="1:41" ht="15.6">
      <c r="A755">
        <v>16</v>
      </c>
      <c r="B755" t="s">
        <v>366</v>
      </c>
      <c r="C755" t="s">
        <v>367</v>
      </c>
      <c r="D755" s="3">
        <v>87</v>
      </c>
      <c r="F755">
        <v>2019</v>
      </c>
      <c r="G755">
        <f t="shared" si="206"/>
        <v>6</v>
      </c>
      <c r="H755">
        <f t="shared" si="208"/>
        <v>6.8532229339697659E-2</v>
      </c>
      <c r="I755">
        <f t="shared" si="209"/>
        <v>9.2368421052631614E-2</v>
      </c>
      <c r="J755">
        <f t="shared" si="210"/>
        <v>78</v>
      </c>
      <c r="K755">
        <v>1</v>
      </c>
      <c r="L755">
        <v>1</v>
      </c>
      <c r="M755" s="12">
        <f t="shared" si="211"/>
        <v>6.6876377880362312E-2</v>
      </c>
      <c r="N755">
        <f t="shared" si="207"/>
        <v>2.9281213431219765E-2</v>
      </c>
      <c r="O755">
        <f t="shared" si="212"/>
        <v>0.25860467490044009</v>
      </c>
      <c r="P755" t="s">
        <v>823</v>
      </c>
      <c r="Q755" t="s">
        <v>826</v>
      </c>
      <c r="R755">
        <v>6.8550000000000004</v>
      </c>
      <c r="S755">
        <v>6.8550000000000004</v>
      </c>
      <c r="U755">
        <v>104</v>
      </c>
      <c r="V755" t="s">
        <v>138</v>
      </c>
      <c r="W755">
        <v>104</v>
      </c>
      <c r="Y755">
        <v>2006</v>
      </c>
      <c r="Z755">
        <f>2025-2006</f>
        <v>19</v>
      </c>
      <c r="AA755">
        <v>1.1562455990371598E-13</v>
      </c>
      <c r="AB755">
        <v>1.6854814731970368E-30</v>
      </c>
      <c r="AC755">
        <v>-0.5</v>
      </c>
      <c r="AD755" s="3">
        <v>-0.28578354013392143</v>
      </c>
      <c r="AE755">
        <v>1</v>
      </c>
      <c r="AF755" t="str">
        <f t="shared" si="213"/>
        <v>US</v>
      </c>
      <c r="AG755">
        <v>2</v>
      </c>
      <c r="AH755">
        <v>1</v>
      </c>
      <c r="AI755">
        <v>2</v>
      </c>
      <c r="AJ755">
        <v>1</v>
      </c>
      <c r="AK755" t="s">
        <v>112</v>
      </c>
      <c r="AL755">
        <v>32</v>
      </c>
      <c r="AN755" t="s">
        <v>527</v>
      </c>
      <c r="AO755">
        <v>3.3029999999999999</v>
      </c>
    </row>
    <row r="756" spans="1:41" ht="15.6">
      <c r="A756">
        <v>16</v>
      </c>
      <c r="B756" t="s">
        <v>366</v>
      </c>
      <c r="C756" t="s">
        <v>367</v>
      </c>
      <c r="D756" s="3">
        <v>87</v>
      </c>
      <c r="F756">
        <v>2019</v>
      </c>
      <c r="G756">
        <f t="shared" si="206"/>
        <v>6</v>
      </c>
      <c r="H756">
        <f t="shared" si="208"/>
        <v>6.8532229339697659E-2</v>
      </c>
      <c r="I756">
        <f t="shared" si="209"/>
        <v>9.2368421052631614E-2</v>
      </c>
      <c r="J756">
        <f t="shared" si="210"/>
        <v>78</v>
      </c>
      <c r="K756">
        <v>1</v>
      </c>
      <c r="L756">
        <v>1</v>
      </c>
      <c r="M756" s="12">
        <f t="shared" si="211"/>
        <v>6.6876377880362312E-2</v>
      </c>
      <c r="N756">
        <f t="shared" si="207"/>
        <v>2.9281213431219765E-2</v>
      </c>
      <c r="O756">
        <f t="shared" si="212"/>
        <v>0.25860467490044009</v>
      </c>
      <c r="P756" t="s">
        <v>822</v>
      </c>
      <c r="Q756" t="s">
        <v>826</v>
      </c>
      <c r="R756">
        <v>6.8550000000000004</v>
      </c>
      <c r="S756">
        <v>6.8550000000000004</v>
      </c>
      <c r="U756">
        <v>104</v>
      </c>
      <c r="V756" t="s">
        <v>138</v>
      </c>
      <c r="W756">
        <v>104</v>
      </c>
      <c r="Y756">
        <v>2006</v>
      </c>
      <c r="Z756">
        <f>2025-2006</f>
        <v>19</v>
      </c>
      <c r="AA756">
        <v>2.049557243283252E-2</v>
      </c>
      <c r="AB756">
        <v>7.0712152660841289E-8</v>
      </c>
      <c r="AC756">
        <v>0.32</v>
      </c>
      <c r="AD756" s="3">
        <v>0.13596871238412903</v>
      </c>
      <c r="AE756">
        <v>1</v>
      </c>
      <c r="AF756" t="str">
        <f t="shared" si="213"/>
        <v>US</v>
      </c>
      <c r="AG756">
        <v>2</v>
      </c>
      <c r="AH756">
        <v>1</v>
      </c>
      <c r="AI756">
        <v>2</v>
      </c>
      <c r="AJ756">
        <v>1</v>
      </c>
      <c r="AK756" t="s">
        <v>112</v>
      </c>
      <c r="AL756">
        <v>32</v>
      </c>
      <c r="AN756" t="s">
        <v>527</v>
      </c>
      <c r="AO756">
        <v>3.3029999999999999</v>
      </c>
    </row>
    <row r="757" spans="1:41" ht="15.6">
      <c r="A757">
        <v>16</v>
      </c>
      <c r="B757" t="s">
        <v>366</v>
      </c>
      <c r="C757" t="s">
        <v>367</v>
      </c>
      <c r="D757" s="3">
        <v>87</v>
      </c>
      <c r="F757">
        <v>2019</v>
      </c>
      <c r="G757">
        <f t="shared" si="206"/>
        <v>6</v>
      </c>
      <c r="H757">
        <f t="shared" si="208"/>
        <v>6.8532229339697659E-2</v>
      </c>
      <c r="I757">
        <f t="shared" si="209"/>
        <v>9.2368421052631614E-2</v>
      </c>
      <c r="J757">
        <f t="shared" si="210"/>
        <v>78</v>
      </c>
      <c r="K757">
        <v>1</v>
      </c>
      <c r="L757">
        <v>1</v>
      </c>
      <c r="M757" s="12">
        <f t="shared" si="211"/>
        <v>6.6876377880362312E-2</v>
      </c>
      <c r="N757">
        <f t="shared" si="207"/>
        <v>2.9281213431219765E-2</v>
      </c>
      <c r="O757">
        <f t="shared" si="212"/>
        <v>0.25860467490044009</v>
      </c>
      <c r="P757" t="s">
        <v>823</v>
      </c>
      <c r="Q757" t="s">
        <v>826</v>
      </c>
      <c r="R757">
        <v>6.8550000000000004</v>
      </c>
      <c r="S757">
        <v>6.8550000000000004</v>
      </c>
      <c r="U757">
        <v>104</v>
      </c>
      <c r="V757" t="s">
        <v>138</v>
      </c>
      <c r="W757">
        <v>104</v>
      </c>
      <c r="Y757">
        <v>2006</v>
      </c>
      <c r="Z757">
        <f>2025-2006</f>
        <v>19</v>
      </c>
      <c r="AA757">
        <v>7.1136909318339038E-46</v>
      </c>
      <c r="AB757">
        <v>9.4071854801856205E-12</v>
      </c>
      <c r="AC757">
        <v>-0.66</v>
      </c>
      <c r="AD757" s="3">
        <v>-0.17195639450705458</v>
      </c>
      <c r="AE757">
        <v>1</v>
      </c>
      <c r="AF757" t="str">
        <f t="shared" si="213"/>
        <v>US</v>
      </c>
      <c r="AG757">
        <v>2</v>
      </c>
      <c r="AH757">
        <v>1</v>
      </c>
      <c r="AI757">
        <v>2</v>
      </c>
      <c r="AJ757">
        <v>1</v>
      </c>
      <c r="AK757" t="s">
        <v>112</v>
      </c>
      <c r="AL757">
        <v>32</v>
      </c>
      <c r="AN757" t="s">
        <v>527</v>
      </c>
      <c r="AO757">
        <v>3.3029999999999999</v>
      </c>
    </row>
    <row r="758" spans="1:41" ht="15.6">
      <c r="A758">
        <v>16</v>
      </c>
      <c r="B758" t="s">
        <v>366</v>
      </c>
      <c r="C758" t="s">
        <v>367</v>
      </c>
      <c r="D758" s="3">
        <v>87</v>
      </c>
      <c r="F758">
        <v>2019</v>
      </c>
      <c r="G758">
        <f t="shared" si="206"/>
        <v>6</v>
      </c>
      <c r="H758">
        <f t="shared" si="208"/>
        <v>6.8532229339697659E-2</v>
      </c>
      <c r="I758">
        <f t="shared" si="209"/>
        <v>9.2368421052631614E-2</v>
      </c>
      <c r="J758">
        <f t="shared" si="210"/>
        <v>78</v>
      </c>
      <c r="K758">
        <v>1</v>
      </c>
      <c r="L758">
        <v>1</v>
      </c>
      <c r="M758" s="12">
        <f t="shared" si="211"/>
        <v>6.6876377880362312E-2</v>
      </c>
      <c r="N758">
        <f t="shared" si="207"/>
        <v>2.9281213431219765E-2</v>
      </c>
      <c r="O758">
        <f t="shared" si="212"/>
        <v>0.25860467490044009</v>
      </c>
      <c r="P758" t="s">
        <v>823</v>
      </c>
      <c r="Q758" t="s">
        <v>826</v>
      </c>
      <c r="R758">
        <v>6.8550000000000004</v>
      </c>
      <c r="S758">
        <v>6.8550000000000004</v>
      </c>
      <c r="U758">
        <v>104</v>
      </c>
      <c r="V758" t="s">
        <v>138</v>
      </c>
      <c r="W758">
        <v>104</v>
      </c>
      <c r="Y758">
        <v>2006</v>
      </c>
      <c r="Z758">
        <f>2025-2006</f>
        <v>19</v>
      </c>
      <c r="AA758">
        <v>4.6539257228916957E-6</v>
      </c>
      <c r="AB758">
        <v>0.20116890832476647</v>
      </c>
      <c r="AC758">
        <v>0.3</v>
      </c>
      <c r="AD758" s="3">
        <v>0.10155566847140886</v>
      </c>
      <c r="AE758">
        <v>1</v>
      </c>
      <c r="AF758" t="str">
        <f t="shared" si="213"/>
        <v>US</v>
      </c>
      <c r="AG758">
        <v>2</v>
      </c>
      <c r="AH758">
        <v>1</v>
      </c>
      <c r="AI758">
        <v>2</v>
      </c>
      <c r="AJ758">
        <v>1</v>
      </c>
      <c r="AK758" t="s">
        <v>112</v>
      </c>
      <c r="AL758">
        <v>32</v>
      </c>
      <c r="AN758" t="s">
        <v>527</v>
      </c>
      <c r="AO758">
        <v>3.3029999999999999</v>
      </c>
    </row>
    <row r="759" spans="1:41" ht="15.6">
      <c r="A759">
        <v>16</v>
      </c>
      <c r="B759" t="s">
        <v>366</v>
      </c>
      <c r="C759" t="s">
        <v>367</v>
      </c>
      <c r="D759" s="3">
        <v>87</v>
      </c>
      <c r="F759">
        <v>2019</v>
      </c>
      <c r="G759">
        <f t="shared" si="206"/>
        <v>6</v>
      </c>
      <c r="H759">
        <f t="shared" si="208"/>
        <v>6.8532229339697659E-2</v>
      </c>
      <c r="I759">
        <f t="shared" si="209"/>
        <v>9.2368421052631614E-2</v>
      </c>
      <c r="J759">
        <f t="shared" si="210"/>
        <v>78</v>
      </c>
      <c r="K759">
        <v>1</v>
      </c>
      <c r="L759">
        <v>1</v>
      </c>
      <c r="M759" s="12">
        <f t="shared" si="211"/>
        <v>6.6876377880362312E-2</v>
      </c>
      <c r="N759">
        <f t="shared" si="207"/>
        <v>2.9281213431219765E-2</v>
      </c>
      <c r="O759">
        <f t="shared" si="212"/>
        <v>0.25860467490044009</v>
      </c>
      <c r="P759" t="s">
        <v>823</v>
      </c>
      <c r="Q759" t="s">
        <v>826</v>
      </c>
      <c r="R759">
        <v>6.8550000000000004</v>
      </c>
      <c r="S759">
        <v>6.8550000000000004</v>
      </c>
      <c r="U759">
        <v>104</v>
      </c>
      <c r="V759" t="s">
        <v>138</v>
      </c>
      <c r="W759">
        <v>104</v>
      </c>
      <c r="Y759">
        <v>2006</v>
      </c>
      <c r="Z759">
        <f>2025-2006</f>
        <v>19</v>
      </c>
      <c r="AA759">
        <v>2.9463422783692104E-4</v>
      </c>
      <c r="AB759">
        <v>0.14538375027040273</v>
      </c>
      <c r="AC759">
        <v>0.25</v>
      </c>
      <c r="AD759" s="3">
        <v>0.1170666064278522</v>
      </c>
      <c r="AE759">
        <v>1</v>
      </c>
      <c r="AF759" t="str">
        <f t="shared" si="213"/>
        <v>US</v>
      </c>
      <c r="AG759">
        <v>2</v>
      </c>
      <c r="AH759">
        <v>1</v>
      </c>
      <c r="AI759">
        <v>2</v>
      </c>
      <c r="AJ759">
        <v>1</v>
      </c>
      <c r="AK759" t="s">
        <v>112</v>
      </c>
      <c r="AL759">
        <v>32</v>
      </c>
      <c r="AN759" t="s">
        <v>527</v>
      </c>
      <c r="AO759">
        <v>3.3029999999999999</v>
      </c>
    </row>
    <row r="760" spans="1:41" ht="15.6">
      <c r="A760">
        <v>16</v>
      </c>
      <c r="B760" t="s">
        <v>366</v>
      </c>
      <c r="C760" t="s">
        <v>367</v>
      </c>
      <c r="D760" s="3">
        <v>87</v>
      </c>
      <c r="F760">
        <v>2019</v>
      </c>
      <c r="G760">
        <f t="shared" si="206"/>
        <v>6</v>
      </c>
      <c r="H760">
        <f t="shared" si="208"/>
        <v>6.8532229339697659E-2</v>
      </c>
      <c r="I760">
        <f t="shared" si="209"/>
        <v>9.2368421052631614E-2</v>
      </c>
      <c r="J760">
        <f t="shared" si="210"/>
        <v>78</v>
      </c>
      <c r="K760">
        <v>1</v>
      </c>
      <c r="L760">
        <v>1</v>
      </c>
      <c r="M760" s="12">
        <f t="shared" si="211"/>
        <v>6.6876377880362312E-2</v>
      </c>
      <c r="N760">
        <f t="shared" si="207"/>
        <v>2.9281213431219765E-2</v>
      </c>
      <c r="O760">
        <f t="shared" si="212"/>
        <v>0.25860467490044009</v>
      </c>
      <c r="P760" t="s">
        <v>823</v>
      </c>
      <c r="Q760" t="s">
        <v>826</v>
      </c>
      <c r="R760">
        <v>6.8550000000000004</v>
      </c>
      <c r="S760">
        <v>6.8550000000000004</v>
      </c>
      <c r="U760">
        <v>104</v>
      </c>
      <c r="V760" t="s">
        <v>138</v>
      </c>
      <c r="W760">
        <v>104</v>
      </c>
      <c r="Y760">
        <v>2006</v>
      </c>
      <c r="Z760">
        <f>2025-2006</f>
        <v>19</v>
      </c>
      <c r="AA760">
        <v>1.0476448371907081E-2</v>
      </c>
      <c r="AB760">
        <v>2.1765190249180246E-2</v>
      </c>
      <c r="AC760">
        <v>0.26</v>
      </c>
      <c r="AD760" s="3">
        <v>0.18252470110295504</v>
      </c>
      <c r="AE760">
        <v>1</v>
      </c>
      <c r="AF760" t="str">
        <f t="shared" si="213"/>
        <v>US</v>
      </c>
      <c r="AG760">
        <v>2</v>
      </c>
      <c r="AH760">
        <v>1</v>
      </c>
      <c r="AI760">
        <v>2</v>
      </c>
      <c r="AJ760">
        <v>1</v>
      </c>
      <c r="AK760" t="s">
        <v>112</v>
      </c>
      <c r="AL760">
        <v>32</v>
      </c>
      <c r="AN760" t="s">
        <v>527</v>
      </c>
      <c r="AO760">
        <v>3.3029999999999999</v>
      </c>
    </row>
    <row r="761" spans="1:41" ht="15.6">
      <c r="A761">
        <v>16</v>
      </c>
      <c r="B761" t="s">
        <v>366</v>
      </c>
      <c r="C761" t="s">
        <v>367</v>
      </c>
      <c r="D761" s="3">
        <v>87</v>
      </c>
      <c r="F761">
        <v>2019</v>
      </c>
      <c r="G761">
        <f t="shared" si="206"/>
        <v>6</v>
      </c>
      <c r="H761">
        <f t="shared" si="208"/>
        <v>6.8532229339697659E-2</v>
      </c>
      <c r="I761">
        <f t="shared" si="209"/>
        <v>9.2368421052631614E-2</v>
      </c>
      <c r="J761">
        <f t="shared" si="210"/>
        <v>78</v>
      </c>
      <c r="K761">
        <v>1</v>
      </c>
      <c r="L761">
        <v>1</v>
      </c>
      <c r="M761" s="12">
        <f t="shared" si="211"/>
        <v>6.6876377880362312E-2</v>
      </c>
      <c r="N761">
        <f t="shared" si="207"/>
        <v>2.9281213431219765E-2</v>
      </c>
      <c r="O761">
        <f t="shared" si="212"/>
        <v>0.25860467490044009</v>
      </c>
      <c r="P761" t="s">
        <v>823</v>
      </c>
      <c r="Q761" t="s">
        <v>826</v>
      </c>
      <c r="R761">
        <v>6.8550000000000004</v>
      </c>
      <c r="S761">
        <v>6.8550000000000004</v>
      </c>
      <c r="U761">
        <v>104</v>
      </c>
      <c r="V761" t="s">
        <v>138</v>
      </c>
      <c r="W761">
        <v>104</v>
      </c>
      <c r="Y761">
        <v>2006</v>
      </c>
      <c r="Z761">
        <f>2025-2006</f>
        <v>19</v>
      </c>
      <c r="AA761">
        <v>2.4525543450327485E-18</v>
      </c>
      <c r="AB761">
        <v>1.4535315315992833E-45</v>
      </c>
      <c r="AC761">
        <v>0.21</v>
      </c>
      <c r="AD761" s="3">
        <v>0.34899013864150902</v>
      </c>
      <c r="AE761">
        <v>1</v>
      </c>
      <c r="AF761" t="str">
        <f t="shared" si="213"/>
        <v>US</v>
      </c>
      <c r="AG761">
        <v>2</v>
      </c>
      <c r="AH761">
        <v>1</v>
      </c>
      <c r="AI761">
        <v>2</v>
      </c>
      <c r="AJ761">
        <v>1</v>
      </c>
      <c r="AK761" t="s">
        <v>112</v>
      </c>
      <c r="AL761">
        <v>32</v>
      </c>
      <c r="AN761" t="s">
        <v>527</v>
      </c>
      <c r="AO761">
        <v>3.3029999999999999</v>
      </c>
    </row>
    <row r="762" spans="1:41" ht="15.6">
      <c r="A762">
        <v>16</v>
      </c>
      <c r="B762" t="s">
        <v>366</v>
      </c>
      <c r="C762" t="s">
        <v>367</v>
      </c>
      <c r="D762" s="3">
        <v>87</v>
      </c>
      <c r="F762">
        <v>2019</v>
      </c>
      <c r="G762">
        <f t="shared" si="206"/>
        <v>6</v>
      </c>
      <c r="H762">
        <f t="shared" si="208"/>
        <v>6.8532229339697659E-2</v>
      </c>
      <c r="I762">
        <f t="shared" si="209"/>
        <v>9.2368421052631614E-2</v>
      </c>
      <c r="J762">
        <f t="shared" si="210"/>
        <v>78</v>
      </c>
      <c r="K762">
        <v>1</v>
      </c>
      <c r="L762">
        <v>1</v>
      </c>
      <c r="M762" s="12">
        <f t="shared" si="211"/>
        <v>6.6876377880362312E-2</v>
      </c>
      <c r="N762">
        <f t="shared" si="207"/>
        <v>2.9281213431219765E-2</v>
      </c>
      <c r="O762">
        <f t="shared" si="212"/>
        <v>0.25860467490044009</v>
      </c>
      <c r="P762" t="s">
        <v>823</v>
      </c>
      <c r="Q762" t="s">
        <v>826</v>
      </c>
      <c r="R762">
        <v>6.8550000000000004</v>
      </c>
      <c r="S762">
        <v>6.8550000000000004</v>
      </c>
      <c r="U762">
        <v>104</v>
      </c>
      <c r="V762" t="s">
        <v>138</v>
      </c>
      <c r="W762">
        <v>104</v>
      </c>
      <c r="Y762">
        <v>2006</v>
      </c>
      <c r="Z762">
        <f>2025-2006</f>
        <v>19</v>
      </c>
      <c r="AA762">
        <v>7.0897822955558142E-7</v>
      </c>
      <c r="AB762">
        <v>3.8855703178906057E-40</v>
      </c>
      <c r="AC762">
        <v>0.33</v>
      </c>
      <c r="AD762" s="3">
        <v>0.32785229901197921</v>
      </c>
      <c r="AE762">
        <v>1</v>
      </c>
      <c r="AF762" t="str">
        <f t="shared" si="213"/>
        <v>US</v>
      </c>
      <c r="AG762">
        <v>2</v>
      </c>
      <c r="AH762">
        <v>1</v>
      </c>
      <c r="AI762">
        <v>2</v>
      </c>
      <c r="AJ762">
        <v>1</v>
      </c>
      <c r="AK762" t="s">
        <v>112</v>
      </c>
      <c r="AL762">
        <v>32</v>
      </c>
      <c r="AN762" t="s">
        <v>527</v>
      </c>
      <c r="AO762">
        <v>3.3029999999999999</v>
      </c>
    </row>
    <row r="763" spans="1:41" ht="15.6">
      <c r="A763">
        <v>16</v>
      </c>
      <c r="B763" t="s">
        <v>366</v>
      </c>
      <c r="C763" t="s">
        <v>367</v>
      </c>
      <c r="D763" s="3">
        <v>87</v>
      </c>
      <c r="F763">
        <v>2019</v>
      </c>
      <c r="G763">
        <f t="shared" si="206"/>
        <v>6</v>
      </c>
      <c r="H763">
        <f t="shared" si="208"/>
        <v>6.8532229339697659E-2</v>
      </c>
      <c r="I763">
        <f t="shared" si="209"/>
        <v>9.2368421052631614E-2</v>
      </c>
      <c r="J763">
        <f t="shared" si="210"/>
        <v>78</v>
      </c>
      <c r="K763">
        <v>1</v>
      </c>
      <c r="L763">
        <v>1</v>
      </c>
      <c r="M763" s="12">
        <f t="shared" si="211"/>
        <v>6.6876377880362312E-2</v>
      </c>
      <c r="N763">
        <f t="shared" si="207"/>
        <v>2.9281213431219765E-2</v>
      </c>
      <c r="O763">
        <f t="shared" si="212"/>
        <v>0.25860467490044009</v>
      </c>
      <c r="P763" t="s">
        <v>823</v>
      </c>
      <c r="Q763" t="s">
        <v>826</v>
      </c>
      <c r="R763">
        <v>6.8550000000000004</v>
      </c>
      <c r="S763">
        <v>6.8550000000000004</v>
      </c>
      <c r="U763">
        <v>104</v>
      </c>
      <c r="V763" t="s">
        <v>138</v>
      </c>
      <c r="W763">
        <v>104</v>
      </c>
      <c r="Y763">
        <v>2006</v>
      </c>
      <c r="Z763">
        <f>2025-2006</f>
        <v>19</v>
      </c>
      <c r="AA763">
        <v>3.9932588575673413E-3</v>
      </c>
      <c r="AB763">
        <v>7.653777672670393E-25</v>
      </c>
      <c r="AC763">
        <v>0.37</v>
      </c>
      <c r="AD763" s="3">
        <v>0.36394157628875573</v>
      </c>
      <c r="AE763">
        <v>1</v>
      </c>
      <c r="AF763" t="str">
        <f t="shared" si="213"/>
        <v>US</v>
      </c>
      <c r="AG763">
        <v>2</v>
      </c>
      <c r="AH763">
        <v>1</v>
      </c>
      <c r="AI763">
        <v>2</v>
      </c>
      <c r="AJ763">
        <v>1</v>
      </c>
      <c r="AK763" t="s">
        <v>112</v>
      </c>
      <c r="AL763">
        <v>32</v>
      </c>
      <c r="AN763" t="s">
        <v>527</v>
      </c>
      <c r="AO763">
        <v>3.3029999999999999</v>
      </c>
    </row>
    <row r="764" spans="1:41" ht="15.6">
      <c r="A764">
        <v>16</v>
      </c>
      <c r="B764" t="s">
        <v>366</v>
      </c>
      <c r="C764" t="s">
        <v>367</v>
      </c>
      <c r="D764" s="3">
        <v>87</v>
      </c>
      <c r="F764">
        <v>2019</v>
      </c>
      <c r="G764">
        <f t="shared" si="206"/>
        <v>6</v>
      </c>
      <c r="H764">
        <f t="shared" si="208"/>
        <v>6.8532229339697659E-2</v>
      </c>
      <c r="I764">
        <f t="shared" si="209"/>
        <v>9.2368421052631614E-2</v>
      </c>
      <c r="J764">
        <f t="shared" si="210"/>
        <v>78</v>
      </c>
      <c r="K764">
        <v>1</v>
      </c>
      <c r="L764">
        <v>1</v>
      </c>
      <c r="M764" s="12">
        <f t="shared" si="211"/>
        <v>6.6876377880362312E-2</v>
      </c>
      <c r="N764">
        <f t="shared" si="207"/>
        <v>2.9281213431219765E-2</v>
      </c>
      <c r="O764">
        <f t="shared" si="212"/>
        <v>0.25860467490044009</v>
      </c>
      <c r="P764" t="s">
        <v>823</v>
      </c>
      <c r="Q764" t="s">
        <v>826</v>
      </c>
      <c r="R764">
        <v>6.8550000000000004</v>
      </c>
      <c r="S764">
        <v>6.8550000000000004</v>
      </c>
      <c r="U764">
        <v>104</v>
      </c>
      <c r="V764" t="s">
        <v>138</v>
      </c>
      <c r="W764">
        <v>104</v>
      </c>
      <c r="Y764">
        <v>2006</v>
      </c>
      <c r="Z764">
        <f>2025-2006</f>
        <v>19</v>
      </c>
      <c r="AA764">
        <v>5.0164029901400946E-3</v>
      </c>
      <c r="AB764">
        <v>6.4648147237485339E-18</v>
      </c>
      <c r="AC764">
        <v>-0.35</v>
      </c>
      <c r="AD764" s="3">
        <v>-0.30813619888115928</v>
      </c>
      <c r="AE764">
        <v>1</v>
      </c>
      <c r="AF764" t="str">
        <f t="shared" si="213"/>
        <v>US</v>
      </c>
      <c r="AG764">
        <v>2</v>
      </c>
      <c r="AH764">
        <v>1</v>
      </c>
      <c r="AI764">
        <v>2</v>
      </c>
      <c r="AJ764">
        <v>1</v>
      </c>
      <c r="AK764" t="s">
        <v>112</v>
      </c>
      <c r="AL764">
        <v>32</v>
      </c>
      <c r="AN764" t="s">
        <v>527</v>
      </c>
      <c r="AO764">
        <v>3.3029999999999999</v>
      </c>
    </row>
    <row r="765" spans="1:41" ht="15.6">
      <c r="A765">
        <v>16</v>
      </c>
      <c r="B765" t="s">
        <v>366</v>
      </c>
      <c r="C765" t="s">
        <v>367</v>
      </c>
      <c r="D765" s="3">
        <v>87</v>
      </c>
      <c r="F765">
        <v>2019</v>
      </c>
      <c r="G765">
        <f t="shared" si="206"/>
        <v>6</v>
      </c>
      <c r="H765">
        <f t="shared" si="208"/>
        <v>6.8532229339697659E-2</v>
      </c>
      <c r="I765">
        <f t="shared" si="209"/>
        <v>9.2368421052631614E-2</v>
      </c>
      <c r="J765">
        <f t="shared" si="210"/>
        <v>78</v>
      </c>
      <c r="K765">
        <v>1</v>
      </c>
      <c r="L765">
        <v>1</v>
      </c>
      <c r="M765" s="12">
        <f t="shared" si="211"/>
        <v>6.6876377880362312E-2</v>
      </c>
      <c r="N765">
        <f t="shared" si="207"/>
        <v>2.9281213431219765E-2</v>
      </c>
      <c r="O765">
        <f t="shared" si="212"/>
        <v>0.25860467490044009</v>
      </c>
      <c r="P765" t="s">
        <v>823</v>
      </c>
      <c r="Q765" t="s">
        <v>826</v>
      </c>
      <c r="R765">
        <v>6.8550000000000004</v>
      </c>
      <c r="S765">
        <v>6.8550000000000004</v>
      </c>
      <c r="U765">
        <v>104</v>
      </c>
      <c r="V765" t="s">
        <v>138</v>
      </c>
      <c r="W765">
        <v>104</v>
      </c>
      <c r="Y765">
        <v>2006</v>
      </c>
      <c r="Z765">
        <f>2025-2006</f>
        <v>19</v>
      </c>
      <c r="AA765">
        <v>4.8940671510793604E-4</v>
      </c>
      <c r="AB765">
        <v>7.9895743906417471E-6</v>
      </c>
      <c r="AC765">
        <v>0.24</v>
      </c>
      <c r="AD765" s="3">
        <v>0.12430483975894725</v>
      </c>
      <c r="AE765">
        <v>1</v>
      </c>
      <c r="AF765" t="str">
        <f t="shared" si="213"/>
        <v>US</v>
      </c>
      <c r="AG765">
        <v>2</v>
      </c>
      <c r="AH765">
        <v>1</v>
      </c>
      <c r="AI765">
        <v>2</v>
      </c>
      <c r="AJ765">
        <v>1</v>
      </c>
      <c r="AK765" t="s">
        <v>112</v>
      </c>
      <c r="AL765">
        <v>32</v>
      </c>
      <c r="AN765" t="s">
        <v>527</v>
      </c>
      <c r="AO765">
        <v>3.3029999999999999</v>
      </c>
    </row>
    <row r="766" spans="1:41" ht="15.6">
      <c r="A766">
        <v>16</v>
      </c>
      <c r="B766" t="s">
        <v>366</v>
      </c>
      <c r="C766" t="s">
        <v>367</v>
      </c>
      <c r="D766" s="3">
        <v>87</v>
      </c>
      <c r="F766">
        <v>2019</v>
      </c>
      <c r="G766">
        <f t="shared" si="206"/>
        <v>6</v>
      </c>
      <c r="H766">
        <f t="shared" si="208"/>
        <v>6.8532229339697659E-2</v>
      </c>
      <c r="I766">
        <f t="shared" si="209"/>
        <v>9.2368421052631614E-2</v>
      </c>
      <c r="J766">
        <f t="shared" si="210"/>
        <v>78</v>
      </c>
      <c r="K766">
        <v>1</v>
      </c>
      <c r="L766">
        <v>1</v>
      </c>
      <c r="M766" s="12">
        <f t="shared" si="211"/>
        <v>6.6876377880362312E-2</v>
      </c>
      <c r="N766">
        <f t="shared" si="207"/>
        <v>2.9281213431219765E-2</v>
      </c>
      <c r="O766">
        <f t="shared" si="212"/>
        <v>0.25860467490044009</v>
      </c>
      <c r="P766" t="s">
        <v>822</v>
      </c>
      <c r="Q766" t="s">
        <v>826</v>
      </c>
      <c r="R766">
        <v>6.8550000000000004</v>
      </c>
      <c r="S766">
        <v>6.8550000000000004</v>
      </c>
      <c r="U766">
        <v>104</v>
      </c>
      <c r="V766" t="s">
        <v>138</v>
      </c>
      <c r="W766">
        <v>104</v>
      </c>
      <c r="Y766">
        <v>2006</v>
      </c>
      <c r="Z766">
        <f>2025-2006</f>
        <v>19</v>
      </c>
      <c r="AB766">
        <v>1.5619816204826835E-3</v>
      </c>
      <c r="AC766">
        <v>-0.34</v>
      </c>
      <c r="AD766" s="3">
        <v>9.5430110602683096E-2</v>
      </c>
      <c r="AE766">
        <v>1</v>
      </c>
      <c r="AF766" t="str">
        <f t="shared" si="213"/>
        <v>US</v>
      </c>
      <c r="AG766">
        <v>2</v>
      </c>
      <c r="AH766">
        <v>1</v>
      </c>
      <c r="AI766">
        <v>2</v>
      </c>
      <c r="AJ766">
        <v>1</v>
      </c>
      <c r="AK766" t="s">
        <v>112</v>
      </c>
      <c r="AL766">
        <v>32</v>
      </c>
      <c r="AN766" t="s">
        <v>527</v>
      </c>
      <c r="AO766">
        <v>3.3029999999999999</v>
      </c>
    </row>
    <row r="767" spans="1:41" ht="15.6">
      <c r="A767">
        <v>16</v>
      </c>
      <c r="B767" t="s">
        <v>366</v>
      </c>
      <c r="C767" t="s">
        <v>367</v>
      </c>
      <c r="D767" s="3">
        <v>87</v>
      </c>
      <c r="F767">
        <v>2019</v>
      </c>
      <c r="G767">
        <f t="shared" si="206"/>
        <v>6</v>
      </c>
      <c r="H767">
        <f t="shared" si="208"/>
        <v>6.8532229339697659E-2</v>
      </c>
      <c r="I767">
        <f t="shared" si="209"/>
        <v>9.2368421052631614E-2</v>
      </c>
      <c r="J767">
        <f t="shared" si="210"/>
        <v>78</v>
      </c>
      <c r="K767">
        <v>1</v>
      </c>
      <c r="L767">
        <v>1</v>
      </c>
      <c r="M767" s="12">
        <f t="shared" si="211"/>
        <v>6.6876377880362312E-2</v>
      </c>
      <c r="N767">
        <f t="shared" si="207"/>
        <v>2.9281213431219765E-2</v>
      </c>
      <c r="O767">
        <f t="shared" si="212"/>
        <v>0.25860467490044009</v>
      </c>
      <c r="P767" t="s">
        <v>822</v>
      </c>
      <c r="Q767" t="s">
        <v>826</v>
      </c>
      <c r="R767">
        <v>6.8550000000000004</v>
      </c>
      <c r="S767">
        <v>6.8550000000000004</v>
      </c>
      <c r="U767">
        <v>104</v>
      </c>
      <c r="V767" t="s">
        <v>138</v>
      </c>
      <c r="W767">
        <v>104</v>
      </c>
      <c r="Y767">
        <v>2006</v>
      </c>
      <c r="Z767">
        <f>2025-2006</f>
        <v>19</v>
      </c>
      <c r="AA767">
        <v>5.1803426948183232E-7</v>
      </c>
      <c r="AB767">
        <v>4.3685067968953778E-7</v>
      </c>
      <c r="AC767">
        <v>0.35</v>
      </c>
      <c r="AD767" s="3">
        <v>0.17417819907021306</v>
      </c>
      <c r="AE767">
        <v>1</v>
      </c>
      <c r="AF767" t="str">
        <f t="shared" si="213"/>
        <v>US</v>
      </c>
      <c r="AG767">
        <v>2</v>
      </c>
      <c r="AH767">
        <v>1</v>
      </c>
      <c r="AI767">
        <v>2</v>
      </c>
      <c r="AJ767">
        <v>1</v>
      </c>
      <c r="AK767" t="s">
        <v>112</v>
      </c>
      <c r="AL767">
        <v>32</v>
      </c>
      <c r="AN767" t="s">
        <v>527</v>
      </c>
      <c r="AO767">
        <v>3.3029999999999999</v>
      </c>
    </row>
    <row r="768" spans="1:41" ht="15.6">
      <c r="A768">
        <v>16</v>
      </c>
      <c r="B768" t="s">
        <v>366</v>
      </c>
      <c r="C768" t="s">
        <v>367</v>
      </c>
      <c r="D768" s="3">
        <v>87</v>
      </c>
      <c r="F768">
        <v>2019</v>
      </c>
      <c r="G768">
        <f t="shared" si="206"/>
        <v>6</v>
      </c>
      <c r="H768">
        <f t="shared" si="208"/>
        <v>6.8532229339697659E-2</v>
      </c>
      <c r="I768">
        <f t="shared" si="209"/>
        <v>9.2368421052631614E-2</v>
      </c>
      <c r="J768">
        <f t="shared" si="210"/>
        <v>78</v>
      </c>
      <c r="K768">
        <v>1</v>
      </c>
      <c r="L768">
        <v>1</v>
      </c>
      <c r="M768" s="12">
        <f t="shared" si="211"/>
        <v>6.6876377880362312E-2</v>
      </c>
      <c r="N768">
        <f t="shared" si="207"/>
        <v>2.9281213431219765E-2</v>
      </c>
      <c r="O768">
        <f t="shared" si="212"/>
        <v>0.25860467490044009</v>
      </c>
      <c r="P768" t="s">
        <v>823</v>
      </c>
      <c r="Q768" t="s">
        <v>826</v>
      </c>
      <c r="R768">
        <v>6.8550000000000004</v>
      </c>
      <c r="S768">
        <v>6.8550000000000004</v>
      </c>
      <c r="U768">
        <v>104</v>
      </c>
      <c r="V768" t="s">
        <v>138</v>
      </c>
      <c r="W768">
        <v>104</v>
      </c>
      <c r="Y768">
        <v>2006</v>
      </c>
      <c r="Z768">
        <f>2025-2006</f>
        <v>19</v>
      </c>
      <c r="AA768">
        <v>3.1515265476083031E-9</v>
      </c>
      <c r="AB768">
        <v>3.4733412395843414E-7</v>
      </c>
      <c r="AC768">
        <v>0.28000000000000003</v>
      </c>
      <c r="AD768" s="3">
        <v>0.18405029107222712</v>
      </c>
      <c r="AE768">
        <v>1</v>
      </c>
      <c r="AF768" t="str">
        <f t="shared" si="213"/>
        <v>US</v>
      </c>
      <c r="AG768">
        <v>2</v>
      </c>
      <c r="AH768">
        <v>1</v>
      </c>
      <c r="AI768">
        <v>2</v>
      </c>
      <c r="AJ768">
        <v>1</v>
      </c>
      <c r="AK768" t="s">
        <v>112</v>
      </c>
      <c r="AL768">
        <v>32</v>
      </c>
      <c r="AN768" t="s">
        <v>527</v>
      </c>
      <c r="AO768">
        <v>3.3029999999999999</v>
      </c>
    </row>
    <row r="769" spans="1:41" ht="15.6">
      <c r="A769">
        <v>16</v>
      </c>
      <c r="B769" t="s">
        <v>366</v>
      </c>
      <c r="C769" t="s">
        <v>367</v>
      </c>
      <c r="D769" s="3">
        <v>87</v>
      </c>
      <c r="F769">
        <v>2019</v>
      </c>
      <c r="G769">
        <f t="shared" si="206"/>
        <v>6</v>
      </c>
      <c r="H769">
        <f t="shared" si="208"/>
        <v>6.8532229339697659E-2</v>
      </c>
      <c r="I769">
        <f t="shared" si="209"/>
        <v>9.2368421052631614E-2</v>
      </c>
      <c r="J769">
        <f t="shared" si="210"/>
        <v>78</v>
      </c>
      <c r="K769">
        <v>1</v>
      </c>
      <c r="L769">
        <v>1</v>
      </c>
      <c r="M769" s="12">
        <f t="shared" si="211"/>
        <v>6.6876377880362312E-2</v>
      </c>
      <c r="N769">
        <f t="shared" ref="N769:N800" si="214">$O$737/SQRT($J$737)</f>
        <v>2.9281213431219765E-2</v>
      </c>
      <c r="O769">
        <f t="shared" si="212"/>
        <v>0.25860467490044009</v>
      </c>
      <c r="P769" t="s">
        <v>823</v>
      </c>
      <c r="Q769" t="s">
        <v>826</v>
      </c>
      <c r="R769">
        <v>6.8550000000000004</v>
      </c>
      <c r="S769">
        <v>6.8550000000000004</v>
      </c>
      <c r="U769">
        <v>104</v>
      </c>
      <c r="V769" t="s">
        <v>138</v>
      </c>
      <c r="W769">
        <v>104</v>
      </c>
      <c r="Y769">
        <v>2006</v>
      </c>
      <c r="Z769">
        <f>2025-2006</f>
        <v>19</v>
      </c>
      <c r="AA769">
        <v>3.1515265476083031E-9</v>
      </c>
      <c r="AB769">
        <v>1.2654210435329868E-5</v>
      </c>
      <c r="AC769">
        <v>0.2</v>
      </c>
      <c r="AD769" s="3">
        <v>0.15805233887326217</v>
      </c>
      <c r="AE769">
        <v>1</v>
      </c>
      <c r="AF769" t="str">
        <f t="shared" si="213"/>
        <v>US</v>
      </c>
      <c r="AG769">
        <v>2</v>
      </c>
      <c r="AH769">
        <v>1</v>
      </c>
      <c r="AI769">
        <v>2</v>
      </c>
      <c r="AJ769">
        <v>1</v>
      </c>
      <c r="AK769" t="s">
        <v>112</v>
      </c>
      <c r="AL769">
        <v>32</v>
      </c>
      <c r="AN769" t="s">
        <v>527</v>
      </c>
      <c r="AO769">
        <v>3.3029999999999999</v>
      </c>
    </row>
    <row r="770" spans="1:41" ht="15.6">
      <c r="A770">
        <v>16</v>
      </c>
      <c r="B770" t="s">
        <v>366</v>
      </c>
      <c r="C770" t="s">
        <v>367</v>
      </c>
      <c r="D770" s="3">
        <v>87</v>
      </c>
      <c r="F770">
        <v>2019</v>
      </c>
      <c r="G770">
        <f t="shared" si="206"/>
        <v>6</v>
      </c>
      <c r="H770">
        <f t="shared" si="208"/>
        <v>6.8532229339697659E-2</v>
      </c>
      <c r="I770">
        <f t="shared" si="209"/>
        <v>9.2368421052631614E-2</v>
      </c>
      <c r="J770">
        <f t="shared" si="210"/>
        <v>78</v>
      </c>
      <c r="K770">
        <v>1</v>
      </c>
      <c r="L770">
        <v>1</v>
      </c>
      <c r="M770" s="12">
        <f t="shared" si="211"/>
        <v>6.6876377880362312E-2</v>
      </c>
      <c r="N770">
        <f t="shared" si="214"/>
        <v>2.9281213431219765E-2</v>
      </c>
      <c r="O770">
        <f t="shared" si="212"/>
        <v>0.25860467490044009</v>
      </c>
      <c r="P770" t="s">
        <v>822</v>
      </c>
      <c r="Q770" t="s">
        <v>826</v>
      </c>
      <c r="R770">
        <v>6.8550000000000004</v>
      </c>
      <c r="S770">
        <v>6.8550000000000004</v>
      </c>
      <c r="U770">
        <v>104</v>
      </c>
      <c r="V770" t="s">
        <v>138</v>
      </c>
      <c r="W770">
        <v>104</v>
      </c>
      <c r="Y770">
        <v>2006</v>
      </c>
      <c r="Z770">
        <f>2025-2006</f>
        <v>19</v>
      </c>
      <c r="AA770">
        <v>4.4683215564984603E-5</v>
      </c>
      <c r="AB770">
        <v>4.2612289309287069E-20</v>
      </c>
      <c r="AC770">
        <v>0.41</v>
      </c>
      <c r="AD770" s="3">
        <v>-0.31102927303782268</v>
      </c>
      <c r="AE770">
        <v>1</v>
      </c>
      <c r="AF770" t="str">
        <f t="shared" si="213"/>
        <v>US</v>
      </c>
      <c r="AG770">
        <v>2</v>
      </c>
      <c r="AH770">
        <v>1</v>
      </c>
      <c r="AI770">
        <v>2</v>
      </c>
      <c r="AJ770">
        <v>1</v>
      </c>
      <c r="AK770" t="s">
        <v>112</v>
      </c>
      <c r="AL770">
        <v>32</v>
      </c>
      <c r="AN770" t="s">
        <v>527</v>
      </c>
      <c r="AO770">
        <v>3.3029999999999999</v>
      </c>
    </row>
    <row r="771" spans="1:41" ht="15.6">
      <c r="A771">
        <v>16</v>
      </c>
      <c r="B771" t="s">
        <v>366</v>
      </c>
      <c r="C771" t="s">
        <v>367</v>
      </c>
      <c r="D771" s="3">
        <v>87</v>
      </c>
      <c r="F771">
        <v>2019</v>
      </c>
      <c r="G771">
        <f t="shared" si="206"/>
        <v>6</v>
      </c>
      <c r="H771">
        <f t="shared" si="208"/>
        <v>6.8532229339697659E-2</v>
      </c>
      <c r="I771">
        <f t="shared" si="209"/>
        <v>9.2368421052631614E-2</v>
      </c>
      <c r="J771">
        <f t="shared" si="210"/>
        <v>78</v>
      </c>
      <c r="K771">
        <v>1</v>
      </c>
      <c r="L771">
        <v>1</v>
      </c>
      <c r="M771" s="12">
        <f t="shared" si="211"/>
        <v>6.6876377880362312E-2</v>
      </c>
      <c r="N771">
        <f t="shared" si="214"/>
        <v>2.9281213431219765E-2</v>
      </c>
      <c r="O771">
        <f t="shared" si="212"/>
        <v>0.25860467490044009</v>
      </c>
      <c r="P771" t="s">
        <v>823</v>
      </c>
      <c r="Q771" t="s">
        <v>826</v>
      </c>
      <c r="R771">
        <v>6.8550000000000004</v>
      </c>
      <c r="S771">
        <v>6.8550000000000004</v>
      </c>
      <c r="U771">
        <v>104</v>
      </c>
      <c r="V771" t="s">
        <v>138</v>
      </c>
      <c r="W771">
        <v>104</v>
      </c>
      <c r="Y771">
        <v>2006</v>
      </c>
      <c r="Z771">
        <f>2025-2006</f>
        <v>19</v>
      </c>
      <c r="AA771">
        <v>2.1576602980228446E-18</v>
      </c>
      <c r="AB771">
        <v>0.82476226445884582</v>
      </c>
      <c r="AC771">
        <v>0.24</v>
      </c>
      <c r="AD771" s="3">
        <v>6.5307891005980806E-3</v>
      </c>
      <c r="AE771">
        <v>1</v>
      </c>
      <c r="AF771" t="str">
        <f t="shared" si="213"/>
        <v>US</v>
      </c>
      <c r="AG771">
        <v>2</v>
      </c>
      <c r="AH771">
        <v>1</v>
      </c>
      <c r="AI771">
        <v>2</v>
      </c>
      <c r="AJ771">
        <v>1</v>
      </c>
      <c r="AK771" t="s">
        <v>112</v>
      </c>
      <c r="AL771">
        <v>32</v>
      </c>
      <c r="AN771" t="s">
        <v>527</v>
      </c>
      <c r="AO771">
        <v>3.3029999999999999</v>
      </c>
    </row>
    <row r="772" spans="1:41" ht="15.6">
      <c r="A772">
        <v>16</v>
      </c>
      <c r="B772" t="s">
        <v>366</v>
      </c>
      <c r="C772" t="s">
        <v>367</v>
      </c>
      <c r="D772" s="3">
        <v>87</v>
      </c>
      <c r="F772">
        <v>2019</v>
      </c>
      <c r="G772">
        <f t="shared" si="206"/>
        <v>6</v>
      </c>
      <c r="H772">
        <f t="shared" si="208"/>
        <v>6.8532229339697659E-2</v>
      </c>
      <c r="I772">
        <f t="shared" si="209"/>
        <v>9.2368421052631614E-2</v>
      </c>
      <c r="J772">
        <f t="shared" si="210"/>
        <v>78</v>
      </c>
      <c r="K772">
        <v>1</v>
      </c>
      <c r="L772">
        <v>1</v>
      </c>
      <c r="M772" s="12">
        <f t="shared" si="211"/>
        <v>6.6876377880362312E-2</v>
      </c>
      <c r="N772">
        <f t="shared" si="214"/>
        <v>2.9281213431219765E-2</v>
      </c>
      <c r="O772">
        <f t="shared" si="212"/>
        <v>0.25860467490044009</v>
      </c>
      <c r="P772" t="s">
        <v>823</v>
      </c>
      <c r="Q772" t="s">
        <v>826</v>
      </c>
      <c r="R772">
        <v>6.8550000000000004</v>
      </c>
      <c r="S772">
        <v>6.8550000000000004</v>
      </c>
      <c r="U772">
        <v>104</v>
      </c>
      <c r="V772" t="s">
        <v>138</v>
      </c>
      <c r="W772">
        <v>104</v>
      </c>
      <c r="Y772">
        <v>2006</v>
      </c>
      <c r="Z772">
        <f>2025-2006</f>
        <v>19</v>
      </c>
      <c r="AA772">
        <v>1.3602446793974319E-11</v>
      </c>
      <c r="AB772">
        <v>2.695921630439942E-3</v>
      </c>
      <c r="AC772">
        <v>0.44</v>
      </c>
      <c r="AD772" s="3">
        <v>8.8324305523899749E-2</v>
      </c>
      <c r="AE772">
        <v>1</v>
      </c>
      <c r="AF772" t="str">
        <f t="shared" si="213"/>
        <v>US</v>
      </c>
      <c r="AG772">
        <v>2</v>
      </c>
      <c r="AH772">
        <v>1</v>
      </c>
      <c r="AI772">
        <v>2</v>
      </c>
      <c r="AJ772">
        <v>1</v>
      </c>
      <c r="AK772" t="s">
        <v>112</v>
      </c>
      <c r="AL772">
        <v>32</v>
      </c>
      <c r="AN772" t="s">
        <v>527</v>
      </c>
      <c r="AO772">
        <v>3.3029999999999999</v>
      </c>
    </row>
    <row r="773" spans="1:41" ht="15.6">
      <c r="A773">
        <v>16</v>
      </c>
      <c r="B773" t="s">
        <v>366</v>
      </c>
      <c r="C773" t="s">
        <v>367</v>
      </c>
      <c r="D773" s="3">
        <v>87</v>
      </c>
      <c r="F773">
        <v>2019</v>
      </c>
      <c r="G773">
        <f t="shared" si="206"/>
        <v>6</v>
      </c>
      <c r="H773">
        <f t="shared" si="208"/>
        <v>6.8532229339697659E-2</v>
      </c>
      <c r="I773">
        <f t="shared" si="209"/>
        <v>9.2368421052631614E-2</v>
      </c>
      <c r="J773">
        <f t="shared" si="210"/>
        <v>78</v>
      </c>
      <c r="K773">
        <v>1</v>
      </c>
      <c r="L773">
        <v>1</v>
      </c>
      <c r="M773" s="12">
        <f t="shared" si="211"/>
        <v>6.6876377880362312E-2</v>
      </c>
      <c r="N773">
        <f t="shared" si="214"/>
        <v>2.9281213431219765E-2</v>
      </c>
      <c r="O773">
        <f t="shared" si="212"/>
        <v>0.25860467490044009</v>
      </c>
      <c r="P773" t="s">
        <v>823</v>
      </c>
      <c r="Q773" t="s">
        <v>826</v>
      </c>
      <c r="R773">
        <v>6.8550000000000004</v>
      </c>
      <c r="S773">
        <v>6.8550000000000004</v>
      </c>
      <c r="U773">
        <v>104</v>
      </c>
      <c r="V773" t="s">
        <v>138</v>
      </c>
      <c r="W773">
        <v>104</v>
      </c>
      <c r="Y773">
        <v>2006</v>
      </c>
      <c r="Z773">
        <f>2025-2006</f>
        <v>19</v>
      </c>
      <c r="AA773">
        <v>1.8390689915293414E-3</v>
      </c>
      <c r="AB773">
        <v>0.18721416912822586</v>
      </c>
      <c r="AC773">
        <v>0.38</v>
      </c>
      <c r="AD773" s="3">
        <v>-4.0032686598940402E-2</v>
      </c>
      <c r="AE773">
        <v>1</v>
      </c>
      <c r="AF773" t="str">
        <f t="shared" si="213"/>
        <v>US</v>
      </c>
      <c r="AG773">
        <v>2</v>
      </c>
      <c r="AH773">
        <v>1</v>
      </c>
      <c r="AI773">
        <v>2</v>
      </c>
      <c r="AJ773">
        <v>1</v>
      </c>
      <c r="AK773" t="s">
        <v>112</v>
      </c>
      <c r="AL773">
        <v>32</v>
      </c>
      <c r="AN773" t="s">
        <v>527</v>
      </c>
      <c r="AO773">
        <v>3.3029999999999999</v>
      </c>
    </row>
    <row r="774" spans="1:41" ht="15.6">
      <c r="A774">
        <v>16</v>
      </c>
      <c r="B774" t="s">
        <v>366</v>
      </c>
      <c r="C774" t="s">
        <v>367</v>
      </c>
      <c r="D774" s="3">
        <v>87</v>
      </c>
      <c r="F774">
        <v>2019</v>
      </c>
      <c r="G774">
        <f t="shared" si="206"/>
        <v>6</v>
      </c>
      <c r="H774">
        <f t="shared" si="208"/>
        <v>6.8532229339697659E-2</v>
      </c>
      <c r="I774">
        <f t="shared" si="209"/>
        <v>9.2368421052631614E-2</v>
      </c>
      <c r="J774">
        <f t="shared" si="210"/>
        <v>78</v>
      </c>
      <c r="K774">
        <v>1</v>
      </c>
      <c r="L774">
        <v>1</v>
      </c>
      <c r="M774" s="12">
        <f t="shared" si="211"/>
        <v>6.6876377880362312E-2</v>
      </c>
      <c r="N774">
        <f t="shared" si="214"/>
        <v>2.9281213431219765E-2</v>
      </c>
      <c r="O774">
        <f t="shared" si="212"/>
        <v>0.25860467490044009</v>
      </c>
      <c r="P774" t="s">
        <v>823</v>
      </c>
      <c r="Q774" t="s">
        <v>826</v>
      </c>
      <c r="R774">
        <v>6.8550000000000004</v>
      </c>
      <c r="S774">
        <v>6.8550000000000004</v>
      </c>
      <c r="U774">
        <v>104</v>
      </c>
      <c r="V774" t="s">
        <v>138</v>
      </c>
      <c r="W774">
        <v>104</v>
      </c>
      <c r="Y774">
        <v>2006</v>
      </c>
      <c r="Z774">
        <f>2025-2006</f>
        <v>19</v>
      </c>
      <c r="AA774">
        <v>1.8390689915293414E-3</v>
      </c>
      <c r="AB774">
        <v>1.1305169117438363E-7</v>
      </c>
      <c r="AC774">
        <v>-0.43</v>
      </c>
      <c r="AD774" s="3">
        <v>-0.17261233227624778</v>
      </c>
      <c r="AE774">
        <v>1</v>
      </c>
      <c r="AF774" t="str">
        <f t="shared" si="213"/>
        <v>US</v>
      </c>
      <c r="AG774">
        <v>2</v>
      </c>
      <c r="AH774">
        <v>1</v>
      </c>
      <c r="AI774">
        <v>2</v>
      </c>
      <c r="AJ774">
        <v>1</v>
      </c>
      <c r="AK774" t="s">
        <v>112</v>
      </c>
      <c r="AL774">
        <v>32</v>
      </c>
      <c r="AN774" t="s">
        <v>527</v>
      </c>
      <c r="AO774">
        <v>3.3029999999999999</v>
      </c>
    </row>
    <row r="775" spans="1:41" ht="15.6">
      <c r="A775">
        <v>16</v>
      </c>
      <c r="B775" t="s">
        <v>366</v>
      </c>
      <c r="C775" t="s">
        <v>367</v>
      </c>
      <c r="D775" s="3">
        <v>87</v>
      </c>
      <c r="F775">
        <v>2019</v>
      </c>
      <c r="G775">
        <f t="shared" si="206"/>
        <v>6</v>
      </c>
      <c r="H775">
        <f t="shared" si="208"/>
        <v>6.8532229339697659E-2</v>
      </c>
      <c r="I775">
        <f t="shared" si="209"/>
        <v>9.2368421052631614E-2</v>
      </c>
      <c r="J775">
        <f t="shared" si="210"/>
        <v>78</v>
      </c>
      <c r="K775">
        <v>1</v>
      </c>
      <c r="L775">
        <v>1</v>
      </c>
      <c r="M775" s="12">
        <f t="shared" si="211"/>
        <v>6.6876377880362312E-2</v>
      </c>
      <c r="N775">
        <f t="shared" si="214"/>
        <v>2.9281213431219765E-2</v>
      </c>
      <c r="O775">
        <f t="shared" si="212"/>
        <v>0.25860467490044009</v>
      </c>
      <c r="P775" t="s">
        <v>823</v>
      </c>
      <c r="Q775" t="s">
        <v>826</v>
      </c>
      <c r="R775">
        <v>6.8550000000000004</v>
      </c>
      <c r="S775">
        <v>6.8550000000000004</v>
      </c>
      <c r="U775">
        <v>104</v>
      </c>
      <c r="V775" t="s">
        <v>138</v>
      </c>
      <c r="W775">
        <v>104</v>
      </c>
      <c r="Y775">
        <v>2006</v>
      </c>
      <c r="Z775">
        <f>2025-2006</f>
        <v>19</v>
      </c>
      <c r="AA775">
        <v>1.039458640445144E-4</v>
      </c>
      <c r="AB775">
        <v>6.309720268184872E-25</v>
      </c>
      <c r="AC775">
        <v>0.17</v>
      </c>
      <c r="AD775" s="3">
        <v>-0.2576634318216392</v>
      </c>
      <c r="AE775">
        <v>1</v>
      </c>
      <c r="AF775" t="str">
        <f t="shared" si="213"/>
        <v>US</v>
      </c>
      <c r="AG775">
        <v>2</v>
      </c>
      <c r="AH775">
        <v>1</v>
      </c>
      <c r="AI775">
        <v>2</v>
      </c>
      <c r="AJ775">
        <v>1</v>
      </c>
      <c r="AK775" t="s">
        <v>112</v>
      </c>
      <c r="AL775">
        <v>32</v>
      </c>
      <c r="AN775" t="s">
        <v>527</v>
      </c>
      <c r="AO775">
        <v>3.3029999999999999</v>
      </c>
    </row>
    <row r="776" spans="1:41" ht="15.6">
      <c r="A776">
        <v>16</v>
      </c>
      <c r="B776" t="s">
        <v>366</v>
      </c>
      <c r="C776" t="s">
        <v>367</v>
      </c>
      <c r="D776" s="3">
        <v>87</v>
      </c>
      <c r="F776">
        <v>2019</v>
      </c>
      <c r="G776">
        <f t="shared" si="206"/>
        <v>6</v>
      </c>
      <c r="H776">
        <f t="shared" si="208"/>
        <v>6.8532229339697659E-2</v>
      </c>
      <c r="I776">
        <f t="shared" si="209"/>
        <v>9.2368421052631614E-2</v>
      </c>
      <c r="J776">
        <f t="shared" si="210"/>
        <v>78</v>
      </c>
      <c r="K776">
        <v>1</v>
      </c>
      <c r="L776">
        <v>1</v>
      </c>
      <c r="M776" s="12">
        <f t="shared" si="211"/>
        <v>6.6876377880362312E-2</v>
      </c>
      <c r="N776">
        <f t="shared" si="214"/>
        <v>2.9281213431219765E-2</v>
      </c>
      <c r="O776">
        <f t="shared" si="212"/>
        <v>0.25860467490044009</v>
      </c>
      <c r="P776" t="s">
        <v>823</v>
      </c>
      <c r="Q776" t="s">
        <v>826</v>
      </c>
      <c r="R776">
        <v>6.8550000000000004</v>
      </c>
      <c r="S776">
        <v>6.8550000000000004</v>
      </c>
      <c r="U776">
        <v>104</v>
      </c>
      <c r="V776" t="s">
        <v>138</v>
      </c>
      <c r="W776">
        <v>104</v>
      </c>
      <c r="Y776">
        <v>2006</v>
      </c>
      <c r="Z776">
        <f>2025-2006</f>
        <v>19</v>
      </c>
      <c r="AA776">
        <v>1.039458640445144E-4</v>
      </c>
      <c r="AB776">
        <v>2.0548467658963607E-2</v>
      </c>
      <c r="AC776">
        <v>0.21</v>
      </c>
      <c r="AD776" s="3">
        <v>5.8827525374207941E-2</v>
      </c>
      <c r="AE776">
        <v>1</v>
      </c>
      <c r="AF776" t="str">
        <f t="shared" si="213"/>
        <v>US</v>
      </c>
      <c r="AG776">
        <v>2</v>
      </c>
      <c r="AH776">
        <v>1</v>
      </c>
      <c r="AI776">
        <v>2</v>
      </c>
      <c r="AJ776">
        <v>1</v>
      </c>
      <c r="AK776" t="s">
        <v>112</v>
      </c>
      <c r="AL776">
        <v>32</v>
      </c>
      <c r="AN776" t="s">
        <v>527</v>
      </c>
      <c r="AO776">
        <v>3.3029999999999999</v>
      </c>
    </row>
    <row r="777" spans="1:41" ht="15.6">
      <c r="A777">
        <v>16</v>
      </c>
      <c r="B777" t="s">
        <v>366</v>
      </c>
      <c r="C777" t="s">
        <v>367</v>
      </c>
      <c r="D777" s="3">
        <v>87</v>
      </c>
      <c r="F777">
        <v>2019</v>
      </c>
      <c r="G777">
        <f t="shared" si="206"/>
        <v>6</v>
      </c>
      <c r="H777">
        <f t="shared" si="208"/>
        <v>6.8532229339697659E-2</v>
      </c>
      <c r="I777">
        <f t="shared" si="209"/>
        <v>9.2368421052631614E-2</v>
      </c>
      <c r="J777">
        <f t="shared" si="210"/>
        <v>78</v>
      </c>
      <c r="K777">
        <v>1</v>
      </c>
      <c r="L777">
        <v>1</v>
      </c>
      <c r="M777" s="12">
        <f t="shared" si="211"/>
        <v>6.6876377880362312E-2</v>
      </c>
      <c r="N777">
        <f t="shared" si="214"/>
        <v>2.9281213431219765E-2</v>
      </c>
      <c r="O777">
        <f t="shared" si="212"/>
        <v>0.25860467490044009</v>
      </c>
      <c r="P777" t="s">
        <v>823</v>
      </c>
      <c r="Q777" t="s">
        <v>826</v>
      </c>
      <c r="R777">
        <v>6.8550000000000004</v>
      </c>
      <c r="S777">
        <v>6.8550000000000004</v>
      </c>
      <c r="U777">
        <v>104</v>
      </c>
      <c r="V777" t="s">
        <v>138</v>
      </c>
      <c r="W777">
        <v>104</v>
      </c>
      <c r="Y777">
        <v>2006</v>
      </c>
      <c r="Z777">
        <f>2025-2006</f>
        <v>19</v>
      </c>
      <c r="AA777">
        <v>4.9457985449100645E-3</v>
      </c>
      <c r="AB777">
        <v>1.1775155249374769E-19</v>
      </c>
      <c r="AC777">
        <v>0.4</v>
      </c>
      <c r="AD777" s="3">
        <v>-0.22763362434299497</v>
      </c>
      <c r="AE777">
        <v>1</v>
      </c>
      <c r="AF777" t="str">
        <f t="shared" si="213"/>
        <v>US</v>
      </c>
      <c r="AG777">
        <v>2</v>
      </c>
      <c r="AH777">
        <v>1</v>
      </c>
      <c r="AI777">
        <v>2</v>
      </c>
      <c r="AJ777">
        <v>1</v>
      </c>
      <c r="AK777" t="s">
        <v>112</v>
      </c>
      <c r="AL777">
        <v>32</v>
      </c>
      <c r="AN777" t="s">
        <v>527</v>
      </c>
      <c r="AO777">
        <v>3.3029999999999999</v>
      </c>
    </row>
    <row r="778" spans="1:41" ht="15.6">
      <c r="A778">
        <v>16</v>
      </c>
      <c r="B778" t="s">
        <v>366</v>
      </c>
      <c r="C778" t="s">
        <v>367</v>
      </c>
      <c r="D778" s="3">
        <v>87</v>
      </c>
      <c r="F778">
        <v>2019</v>
      </c>
      <c r="G778">
        <f t="shared" si="206"/>
        <v>6</v>
      </c>
      <c r="H778">
        <f t="shared" si="208"/>
        <v>6.8532229339697659E-2</v>
      </c>
      <c r="I778">
        <f t="shared" si="209"/>
        <v>9.2368421052631614E-2</v>
      </c>
      <c r="J778">
        <f t="shared" si="210"/>
        <v>78</v>
      </c>
      <c r="K778">
        <v>1</v>
      </c>
      <c r="L778">
        <v>1</v>
      </c>
      <c r="M778" s="12">
        <f t="shared" si="211"/>
        <v>6.6876377880362312E-2</v>
      </c>
      <c r="N778">
        <f t="shared" si="214"/>
        <v>2.9281213431219765E-2</v>
      </c>
      <c r="O778">
        <f t="shared" si="212"/>
        <v>0.25860467490044009</v>
      </c>
      <c r="P778" t="s">
        <v>823</v>
      </c>
      <c r="Q778" t="s">
        <v>826</v>
      </c>
      <c r="R778">
        <v>6.8550000000000004</v>
      </c>
      <c r="S778">
        <v>6.8550000000000004</v>
      </c>
      <c r="U778">
        <v>104</v>
      </c>
      <c r="V778" t="s">
        <v>138</v>
      </c>
      <c r="W778">
        <v>104</v>
      </c>
      <c r="Y778">
        <v>2006</v>
      </c>
      <c r="Z778">
        <f>2025-2006</f>
        <v>19</v>
      </c>
      <c r="AA778">
        <v>9.7946279571933885E-6</v>
      </c>
      <c r="AB778">
        <v>2.6295889481151995E-13</v>
      </c>
      <c r="AC778">
        <v>0.15</v>
      </c>
      <c r="AD778" s="3">
        <v>-0.1843424164319992</v>
      </c>
      <c r="AE778">
        <v>1</v>
      </c>
      <c r="AF778" t="str">
        <f t="shared" si="213"/>
        <v>US</v>
      </c>
      <c r="AG778">
        <v>2</v>
      </c>
      <c r="AH778">
        <v>1</v>
      </c>
      <c r="AI778">
        <v>2</v>
      </c>
      <c r="AJ778">
        <v>1</v>
      </c>
      <c r="AK778" t="s">
        <v>112</v>
      </c>
      <c r="AL778">
        <v>32</v>
      </c>
      <c r="AN778" t="s">
        <v>527</v>
      </c>
      <c r="AO778">
        <v>3.3029999999999999</v>
      </c>
    </row>
    <row r="779" spans="1:41" ht="15.6">
      <c r="A779">
        <v>16</v>
      </c>
      <c r="B779" t="s">
        <v>366</v>
      </c>
      <c r="C779" t="s">
        <v>367</v>
      </c>
      <c r="D779" s="3">
        <v>87</v>
      </c>
      <c r="F779">
        <v>2019</v>
      </c>
      <c r="G779">
        <f t="shared" si="206"/>
        <v>6</v>
      </c>
      <c r="H779">
        <f t="shared" si="208"/>
        <v>6.8532229339697659E-2</v>
      </c>
      <c r="I779">
        <f t="shared" si="209"/>
        <v>9.2368421052631614E-2</v>
      </c>
      <c r="J779">
        <f t="shared" si="210"/>
        <v>78</v>
      </c>
      <c r="K779">
        <v>1</v>
      </c>
      <c r="L779">
        <v>1</v>
      </c>
      <c r="M779" s="12">
        <f t="shared" si="211"/>
        <v>6.6876377880362312E-2</v>
      </c>
      <c r="N779">
        <f t="shared" si="214"/>
        <v>2.9281213431219765E-2</v>
      </c>
      <c r="O779">
        <f t="shared" si="212"/>
        <v>0.25860467490044009</v>
      </c>
      <c r="P779" t="s">
        <v>824</v>
      </c>
      <c r="Q779" t="s">
        <v>826</v>
      </c>
      <c r="R779">
        <v>6.8550000000000004</v>
      </c>
      <c r="S779">
        <v>6.8550000000000004</v>
      </c>
      <c r="U779">
        <v>104</v>
      </c>
      <c r="V779" t="s">
        <v>138</v>
      </c>
      <c r="W779">
        <v>104</v>
      </c>
      <c r="Y779">
        <v>2006</v>
      </c>
      <c r="Z779">
        <f>2025-2006</f>
        <v>19</v>
      </c>
      <c r="AA779">
        <v>7.8523193286001788E-19</v>
      </c>
      <c r="AB779">
        <v>1.2889647636162533E-52</v>
      </c>
      <c r="AC779">
        <v>0.35</v>
      </c>
      <c r="AD779" s="3">
        <v>0.37904719240403989</v>
      </c>
      <c r="AE779">
        <v>1</v>
      </c>
      <c r="AF779" t="str">
        <f t="shared" si="213"/>
        <v>US</v>
      </c>
      <c r="AG779">
        <v>2</v>
      </c>
      <c r="AH779">
        <v>1</v>
      </c>
      <c r="AI779">
        <v>2</v>
      </c>
      <c r="AJ779">
        <v>1</v>
      </c>
      <c r="AK779" t="s">
        <v>112</v>
      </c>
      <c r="AL779">
        <v>32</v>
      </c>
      <c r="AN779" t="s">
        <v>527</v>
      </c>
      <c r="AO779">
        <v>3.3029999999999999</v>
      </c>
    </row>
    <row r="780" spans="1:41" ht="15.6">
      <c r="A780">
        <v>16</v>
      </c>
      <c r="B780" t="s">
        <v>366</v>
      </c>
      <c r="C780" t="s">
        <v>367</v>
      </c>
      <c r="D780" s="3">
        <v>87</v>
      </c>
      <c r="F780">
        <v>2019</v>
      </c>
      <c r="G780">
        <f t="shared" si="206"/>
        <v>6</v>
      </c>
      <c r="H780">
        <f t="shared" si="208"/>
        <v>6.8532229339697659E-2</v>
      </c>
      <c r="I780">
        <f t="shared" si="209"/>
        <v>9.2368421052631614E-2</v>
      </c>
      <c r="J780">
        <f t="shared" si="210"/>
        <v>78</v>
      </c>
      <c r="K780">
        <v>1</v>
      </c>
      <c r="L780">
        <v>1</v>
      </c>
      <c r="M780" s="12">
        <f t="shared" si="211"/>
        <v>6.6876377880362312E-2</v>
      </c>
      <c r="N780">
        <f t="shared" si="214"/>
        <v>2.9281213431219765E-2</v>
      </c>
      <c r="O780">
        <f t="shared" si="212"/>
        <v>0.25860467490044009</v>
      </c>
      <c r="P780" t="s">
        <v>824</v>
      </c>
      <c r="Q780" t="s">
        <v>826</v>
      </c>
      <c r="R780">
        <v>6.8550000000000004</v>
      </c>
      <c r="S780">
        <v>6.8550000000000004</v>
      </c>
      <c r="U780">
        <v>104</v>
      </c>
      <c r="V780" t="s">
        <v>138</v>
      </c>
      <c r="W780">
        <v>104</v>
      </c>
      <c r="Y780">
        <v>2006</v>
      </c>
      <c r="Z780">
        <f>2025-2006</f>
        <v>19</v>
      </c>
      <c r="AA780">
        <v>1.9127789372335935E-15</v>
      </c>
      <c r="AB780">
        <v>2.5523126744829587E-91</v>
      </c>
      <c r="AC780">
        <v>0.35</v>
      </c>
      <c r="AD780" s="3">
        <v>-0.48905923470331253</v>
      </c>
      <c r="AE780">
        <v>1</v>
      </c>
      <c r="AF780" t="str">
        <f t="shared" si="213"/>
        <v>US</v>
      </c>
      <c r="AG780">
        <v>2</v>
      </c>
      <c r="AH780">
        <v>1</v>
      </c>
      <c r="AI780">
        <v>2</v>
      </c>
      <c r="AJ780">
        <v>1</v>
      </c>
      <c r="AK780" t="s">
        <v>112</v>
      </c>
      <c r="AL780">
        <v>32</v>
      </c>
      <c r="AN780" t="s">
        <v>527</v>
      </c>
      <c r="AO780">
        <v>3.3029999999999999</v>
      </c>
    </row>
    <row r="781" spans="1:41" ht="15.6">
      <c r="A781">
        <v>16</v>
      </c>
      <c r="B781" t="s">
        <v>366</v>
      </c>
      <c r="C781" t="s">
        <v>367</v>
      </c>
      <c r="D781" s="3">
        <v>87</v>
      </c>
      <c r="F781">
        <v>2019</v>
      </c>
      <c r="G781">
        <f t="shared" si="206"/>
        <v>6</v>
      </c>
      <c r="H781">
        <f t="shared" si="208"/>
        <v>6.8532229339697659E-2</v>
      </c>
      <c r="I781">
        <f t="shared" si="209"/>
        <v>9.2368421052631614E-2</v>
      </c>
      <c r="J781">
        <f t="shared" si="210"/>
        <v>78</v>
      </c>
      <c r="K781">
        <v>1</v>
      </c>
      <c r="L781">
        <v>1</v>
      </c>
      <c r="M781" s="12">
        <f t="shared" si="211"/>
        <v>6.6876377880362312E-2</v>
      </c>
      <c r="N781">
        <f t="shared" si="214"/>
        <v>2.9281213431219765E-2</v>
      </c>
      <c r="O781">
        <f t="shared" si="212"/>
        <v>0.25860467490044009</v>
      </c>
      <c r="P781" t="s">
        <v>824</v>
      </c>
      <c r="Q781" t="s">
        <v>826</v>
      </c>
      <c r="R781">
        <v>6.8550000000000004</v>
      </c>
      <c r="S781">
        <v>6.8550000000000004</v>
      </c>
      <c r="U781">
        <v>104</v>
      </c>
      <c r="V781" t="s">
        <v>138</v>
      </c>
      <c r="W781">
        <v>104</v>
      </c>
      <c r="Y781">
        <v>2006</v>
      </c>
      <c r="Z781">
        <f>2025-2006</f>
        <v>19</v>
      </c>
      <c r="AA781">
        <v>7.8346257227003088E-15</v>
      </c>
      <c r="AB781">
        <v>1.2282388250963395E-16</v>
      </c>
      <c r="AC781">
        <v>-0.33</v>
      </c>
      <c r="AD781" s="3">
        <v>0.2112053562839474</v>
      </c>
      <c r="AE781">
        <v>1</v>
      </c>
      <c r="AF781" t="str">
        <f t="shared" si="213"/>
        <v>US</v>
      </c>
      <c r="AG781">
        <v>2</v>
      </c>
      <c r="AH781">
        <v>1</v>
      </c>
      <c r="AI781">
        <v>2</v>
      </c>
      <c r="AJ781">
        <v>1</v>
      </c>
      <c r="AK781" t="s">
        <v>112</v>
      </c>
      <c r="AL781">
        <v>32</v>
      </c>
      <c r="AN781" t="s">
        <v>527</v>
      </c>
      <c r="AO781">
        <v>3.3029999999999999</v>
      </c>
    </row>
    <row r="782" spans="1:41" ht="15.6">
      <c r="A782">
        <v>16</v>
      </c>
      <c r="B782" t="s">
        <v>366</v>
      </c>
      <c r="C782" t="s">
        <v>367</v>
      </c>
      <c r="D782" s="3">
        <v>87</v>
      </c>
      <c r="F782">
        <v>2019</v>
      </c>
      <c r="G782">
        <f t="shared" si="206"/>
        <v>6</v>
      </c>
      <c r="H782">
        <f t="shared" si="208"/>
        <v>6.8532229339697659E-2</v>
      </c>
      <c r="I782">
        <f t="shared" si="209"/>
        <v>9.2368421052631614E-2</v>
      </c>
      <c r="J782">
        <f t="shared" si="210"/>
        <v>78</v>
      </c>
      <c r="K782">
        <v>1</v>
      </c>
      <c r="L782">
        <v>1</v>
      </c>
      <c r="M782" s="12">
        <f t="shared" si="211"/>
        <v>6.6876377880362312E-2</v>
      </c>
      <c r="N782">
        <f t="shared" si="214"/>
        <v>2.9281213431219765E-2</v>
      </c>
      <c r="O782">
        <f t="shared" si="212"/>
        <v>0.25860467490044009</v>
      </c>
      <c r="P782" t="s">
        <v>824</v>
      </c>
      <c r="Q782" t="s">
        <v>826</v>
      </c>
      <c r="R782">
        <v>6.8550000000000004</v>
      </c>
      <c r="S782">
        <v>6.8550000000000004</v>
      </c>
      <c r="U782">
        <v>104</v>
      </c>
      <c r="V782" t="s">
        <v>138</v>
      </c>
      <c r="W782">
        <v>104</v>
      </c>
      <c r="Y782">
        <v>2006</v>
      </c>
      <c r="Z782">
        <f>2025-2006</f>
        <v>19</v>
      </c>
      <c r="AA782">
        <v>4.6157829798514907E-11</v>
      </c>
      <c r="AB782">
        <v>1.6834203234953376E-89</v>
      </c>
      <c r="AC782">
        <v>-0.3</v>
      </c>
      <c r="AD782" s="3">
        <v>0.48470114509917972</v>
      </c>
      <c r="AE782">
        <v>1</v>
      </c>
      <c r="AF782" t="str">
        <f t="shared" si="213"/>
        <v>US</v>
      </c>
      <c r="AG782">
        <v>2</v>
      </c>
      <c r="AH782">
        <v>1</v>
      </c>
      <c r="AI782">
        <v>2</v>
      </c>
      <c r="AJ782">
        <v>1</v>
      </c>
      <c r="AK782" t="s">
        <v>112</v>
      </c>
      <c r="AL782">
        <v>32</v>
      </c>
      <c r="AN782" t="s">
        <v>527</v>
      </c>
      <c r="AO782">
        <v>3.3029999999999999</v>
      </c>
    </row>
    <row r="783" spans="1:41" ht="15.6">
      <c r="A783">
        <v>16</v>
      </c>
      <c r="B783" t="s">
        <v>366</v>
      </c>
      <c r="C783" t="s">
        <v>367</v>
      </c>
      <c r="D783" s="3">
        <v>87</v>
      </c>
      <c r="F783">
        <v>2019</v>
      </c>
      <c r="G783">
        <f t="shared" si="206"/>
        <v>6</v>
      </c>
      <c r="H783">
        <f t="shared" si="208"/>
        <v>6.8532229339697659E-2</v>
      </c>
      <c r="I783">
        <f t="shared" si="209"/>
        <v>9.2368421052631614E-2</v>
      </c>
      <c r="J783">
        <f t="shared" si="210"/>
        <v>78</v>
      </c>
      <c r="K783">
        <v>1</v>
      </c>
      <c r="L783">
        <v>1</v>
      </c>
      <c r="M783" s="12">
        <f t="shared" si="211"/>
        <v>6.6876377880362312E-2</v>
      </c>
      <c r="N783">
        <f t="shared" si="214"/>
        <v>2.9281213431219765E-2</v>
      </c>
      <c r="O783">
        <f t="shared" si="212"/>
        <v>0.25860467490044009</v>
      </c>
      <c r="P783" t="s">
        <v>824</v>
      </c>
      <c r="Q783" t="s">
        <v>826</v>
      </c>
      <c r="R783">
        <v>6.8550000000000004</v>
      </c>
      <c r="S783">
        <v>6.8550000000000004</v>
      </c>
      <c r="U783">
        <v>104</v>
      </c>
      <c r="V783" t="s">
        <v>138</v>
      </c>
      <c r="W783">
        <v>104</v>
      </c>
      <c r="Y783">
        <v>2006</v>
      </c>
      <c r="Z783">
        <f>2025-2006</f>
        <v>19</v>
      </c>
      <c r="AA783">
        <v>8.8641525054518749E-12</v>
      </c>
      <c r="AB783">
        <v>1.0681957414641132E-8</v>
      </c>
      <c r="AC783">
        <v>0.32</v>
      </c>
      <c r="AD783" s="3">
        <v>0.14690026496795699</v>
      </c>
      <c r="AE783">
        <v>1</v>
      </c>
      <c r="AF783" t="str">
        <f t="shared" si="213"/>
        <v>US</v>
      </c>
      <c r="AG783">
        <v>2</v>
      </c>
      <c r="AH783">
        <v>1</v>
      </c>
      <c r="AI783">
        <v>2</v>
      </c>
      <c r="AJ783">
        <v>1</v>
      </c>
      <c r="AK783" t="s">
        <v>112</v>
      </c>
      <c r="AL783">
        <v>32</v>
      </c>
      <c r="AN783" t="s">
        <v>527</v>
      </c>
      <c r="AO783">
        <v>3.3029999999999999</v>
      </c>
    </row>
    <row r="784" spans="1:41" ht="15.6">
      <c r="A784">
        <v>16</v>
      </c>
      <c r="B784" t="s">
        <v>366</v>
      </c>
      <c r="C784" t="s">
        <v>367</v>
      </c>
      <c r="D784" s="3">
        <v>87</v>
      </c>
      <c r="F784">
        <v>2019</v>
      </c>
      <c r="G784">
        <f t="shared" si="206"/>
        <v>6</v>
      </c>
      <c r="H784">
        <f t="shared" si="208"/>
        <v>6.8532229339697659E-2</v>
      </c>
      <c r="I784">
        <f t="shared" si="209"/>
        <v>9.2368421052631614E-2</v>
      </c>
      <c r="J784">
        <f t="shared" si="210"/>
        <v>78</v>
      </c>
      <c r="K784">
        <v>1</v>
      </c>
      <c r="L784">
        <v>1</v>
      </c>
      <c r="M784" s="12">
        <f t="shared" si="211"/>
        <v>6.6876377880362312E-2</v>
      </c>
      <c r="N784">
        <f t="shared" si="214"/>
        <v>2.9281213431219765E-2</v>
      </c>
      <c r="O784">
        <f t="shared" si="212"/>
        <v>0.25860467490044009</v>
      </c>
      <c r="P784" t="s">
        <v>824</v>
      </c>
      <c r="Q784" t="s">
        <v>826</v>
      </c>
      <c r="R784">
        <v>6.8550000000000004</v>
      </c>
      <c r="S784">
        <v>6.8550000000000004</v>
      </c>
      <c r="U784">
        <v>104</v>
      </c>
      <c r="V784" t="s">
        <v>138</v>
      </c>
      <c r="W784">
        <v>104</v>
      </c>
      <c r="Y784">
        <v>2006</v>
      </c>
      <c r="Z784">
        <f>2025-2006</f>
        <v>19</v>
      </c>
      <c r="AA784">
        <v>1.5976260898067304E-16</v>
      </c>
      <c r="AB784">
        <v>7.5448977336000767E-61</v>
      </c>
      <c r="AC784">
        <v>0.25</v>
      </c>
      <c r="AD784" s="3">
        <v>0.40648744635602407</v>
      </c>
      <c r="AE784">
        <v>1</v>
      </c>
      <c r="AF784" t="str">
        <f t="shared" si="213"/>
        <v>US</v>
      </c>
      <c r="AG784">
        <v>2</v>
      </c>
      <c r="AH784">
        <v>1</v>
      </c>
      <c r="AI784">
        <v>2</v>
      </c>
      <c r="AJ784">
        <v>1</v>
      </c>
      <c r="AK784" t="s">
        <v>112</v>
      </c>
      <c r="AL784">
        <v>32</v>
      </c>
      <c r="AN784" t="s">
        <v>527</v>
      </c>
      <c r="AO784">
        <v>3.3029999999999999</v>
      </c>
    </row>
    <row r="785" spans="1:41" ht="15.6">
      <c r="A785">
        <v>16</v>
      </c>
      <c r="B785" t="s">
        <v>366</v>
      </c>
      <c r="C785" t="s">
        <v>367</v>
      </c>
      <c r="D785" s="3">
        <v>87</v>
      </c>
      <c r="F785">
        <v>2019</v>
      </c>
      <c r="G785">
        <f t="shared" si="206"/>
        <v>6</v>
      </c>
      <c r="H785">
        <f t="shared" si="208"/>
        <v>6.8532229339697659E-2</v>
      </c>
      <c r="I785">
        <f t="shared" si="209"/>
        <v>9.2368421052631614E-2</v>
      </c>
      <c r="J785">
        <f t="shared" si="210"/>
        <v>78</v>
      </c>
      <c r="K785">
        <v>1</v>
      </c>
      <c r="L785">
        <v>1</v>
      </c>
      <c r="M785" s="12">
        <f t="shared" si="211"/>
        <v>6.6876377880362312E-2</v>
      </c>
      <c r="N785">
        <f t="shared" si="214"/>
        <v>2.9281213431219765E-2</v>
      </c>
      <c r="O785">
        <f t="shared" si="212"/>
        <v>0.25860467490044009</v>
      </c>
      <c r="P785" t="s">
        <v>824</v>
      </c>
      <c r="Q785" t="s">
        <v>826</v>
      </c>
      <c r="R785">
        <v>6.8550000000000004</v>
      </c>
      <c r="S785">
        <v>6.8550000000000004</v>
      </c>
      <c r="U785">
        <v>104</v>
      </c>
      <c r="V785" t="s">
        <v>138</v>
      </c>
      <c r="W785">
        <v>104</v>
      </c>
      <c r="Y785">
        <v>2006</v>
      </c>
      <c r="Z785">
        <f>2025-2006</f>
        <v>19</v>
      </c>
      <c r="AA785">
        <v>1.521050915700907E-5</v>
      </c>
      <c r="AB785">
        <v>2.4817580634076768E-9</v>
      </c>
      <c r="AC785">
        <v>0.1</v>
      </c>
      <c r="AD785" s="3">
        <v>0.15307240766553487</v>
      </c>
      <c r="AE785">
        <v>1</v>
      </c>
      <c r="AF785" t="str">
        <f t="shared" si="213"/>
        <v>US</v>
      </c>
      <c r="AG785">
        <v>2</v>
      </c>
      <c r="AH785">
        <v>1</v>
      </c>
      <c r="AI785">
        <v>2</v>
      </c>
      <c r="AJ785">
        <v>1</v>
      </c>
      <c r="AK785" t="s">
        <v>112</v>
      </c>
      <c r="AL785">
        <v>32</v>
      </c>
      <c r="AN785" t="s">
        <v>527</v>
      </c>
      <c r="AO785">
        <v>3.3029999999999999</v>
      </c>
    </row>
    <row r="786" spans="1:41" ht="15.6">
      <c r="A786">
        <v>16</v>
      </c>
      <c r="B786" t="s">
        <v>366</v>
      </c>
      <c r="C786" t="s">
        <v>367</v>
      </c>
      <c r="D786" s="3">
        <v>87</v>
      </c>
      <c r="F786">
        <v>2019</v>
      </c>
      <c r="G786">
        <f t="shared" ref="G786:G849" si="215">2025-F786</f>
        <v>6</v>
      </c>
      <c r="H786">
        <f t="shared" si="208"/>
        <v>6.8532229339697659E-2</v>
      </c>
      <c r="I786">
        <f t="shared" si="209"/>
        <v>9.2368421052631614E-2</v>
      </c>
      <c r="J786">
        <f t="shared" si="210"/>
        <v>78</v>
      </c>
      <c r="K786">
        <v>1</v>
      </c>
      <c r="L786">
        <v>1</v>
      </c>
      <c r="M786" s="12">
        <f t="shared" si="211"/>
        <v>6.6876377880362312E-2</v>
      </c>
      <c r="N786">
        <f t="shared" si="214"/>
        <v>2.9281213431219765E-2</v>
      </c>
      <c r="O786">
        <f t="shared" si="212"/>
        <v>0.25860467490044009</v>
      </c>
      <c r="P786" t="s">
        <v>824</v>
      </c>
      <c r="Q786" t="s">
        <v>826</v>
      </c>
      <c r="R786">
        <v>6.8550000000000004</v>
      </c>
      <c r="S786">
        <v>6.8550000000000004</v>
      </c>
      <c r="U786">
        <v>104</v>
      </c>
      <c r="V786" t="s">
        <v>138</v>
      </c>
      <c r="W786">
        <v>104</v>
      </c>
      <c r="Y786">
        <v>2006</v>
      </c>
      <c r="Z786">
        <f>2025-2006</f>
        <v>19</v>
      </c>
      <c r="AA786">
        <v>3.0398313305909429E-3</v>
      </c>
      <c r="AB786">
        <v>1.075592946492258E-3</v>
      </c>
      <c r="AC786">
        <v>0.11</v>
      </c>
      <c r="AD786" s="3">
        <v>8.4293983147278317E-2</v>
      </c>
      <c r="AE786">
        <v>1</v>
      </c>
      <c r="AF786" t="str">
        <f t="shared" si="213"/>
        <v>US</v>
      </c>
      <c r="AG786">
        <v>2</v>
      </c>
      <c r="AH786">
        <v>1</v>
      </c>
      <c r="AI786">
        <v>2</v>
      </c>
      <c r="AJ786">
        <v>1</v>
      </c>
      <c r="AK786" t="s">
        <v>112</v>
      </c>
      <c r="AL786">
        <v>32</v>
      </c>
      <c r="AN786" t="s">
        <v>527</v>
      </c>
      <c r="AO786">
        <v>3.3029999999999999</v>
      </c>
    </row>
    <row r="787" spans="1:41" ht="15.6">
      <c r="A787">
        <v>16</v>
      </c>
      <c r="B787" t="s">
        <v>366</v>
      </c>
      <c r="C787" t="s">
        <v>367</v>
      </c>
      <c r="D787" s="3">
        <v>87</v>
      </c>
      <c r="F787">
        <v>2019</v>
      </c>
      <c r="G787">
        <f t="shared" si="215"/>
        <v>6</v>
      </c>
      <c r="H787">
        <f t="shared" si="208"/>
        <v>6.8532229339697659E-2</v>
      </c>
      <c r="I787">
        <f t="shared" si="209"/>
        <v>9.2368421052631614E-2</v>
      </c>
      <c r="J787">
        <f t="shared" si="210"/>
        <v>78</v>
      </c>
      <c r="K787">
        <v>1</v>
      </c>
      <c r="L787">
        <v>1</v>
      </c>
      <c r="M787" s="12">
        <f t="shared" si="211"/>
        <v>6.6876377880362312E-2</v>
      </c>
      <c r="N787">
        <f t="shared" si="214"/>
        <v>2.9281213431219765E-2</v>
      </c>
      <c r="O787">
        <f t="shared" si="212"/>
        <v>0.25860467490044009</v>
      </c>
      <c r="P787" t="s">
        <v>824</v>
      </c>
      <c r="Q787" t="s">
        <v>826</v>
      </c>
      <c r="R787">
        <v>6.8550000000000004</v>
      </c>
      <c r="S787">
        <v>6.8550000000000004</v>
      </c>
      <c r="U787">
        <v>104</v>
      </c>
      <c r="V787" t="s">
        <v>138</v>
      </c>
      <c r="W787">
        <v>104</v>
      </c>
      <c r="Y787">
        <v>2006</v>
      </c>
      <c r="Z787">
        <f>2025-2006</f>
        <v>19</v>
      </c>
      <c r="AA787">
        <v>1.521050915700907E-5</v>
      </c>
      <c r="AB787">
        <v>1.4998647841241131E-12</v>
      </c>
      <c r="AC787">
        <v>-0.1</v>
      </c>
      <c r="AD787" s="3">
        <v>0.18117933403366315</v>
      </c>
      <c r="AE787">
        <v>1</v>
      </c>
      <c r="AF787" t="str">
        <f t="shared" si="213"/>
        <v>US</v>
      </c>
      <c r="AG787">
        <v>2</v>
      </c>
      <c r="AH787">
        <v>1</v>
      </c>
      <c r="AI787">
        <v>2</v>
      </c>
      <c r="AJ787">
        <v>1</v>
      </c>
      <c r="AK787" t="s">
        <v>112</v>
      </c>
      <c r="AL787">
        <v>32</v>
      </c>
      <c r="AN787" t="s">
        <v>527</v>
      </c>
      <c r="AO787">
        <v>3.3029999999999999</v>
      </c>
    </row>
    <row r="788" spans="1:41" ht="15.6">
      <c r="A788">
        <v>16</v>
      </c>
      <c r="B788" t="s">
        <v>366</v>
      </c>
      <c r="C788" t="s">
        <v>367</v>
      </c>
      <c r="D788" s="3">
        <v>87</v>
      </c>
      <c r="F788">
        <v>2019</v>
      </c>
      <c r="G788">
        <f t="shared" si="215"/>
        <v>6</v>
      </c>
      <c r="H788">
        <f t="shared" si="208"/>
        <v>6.8532229339697659E-2</v>
      </c>
      <c r="I788">
        <f t="shared" si="209"/>
        <v>9.2368421052631614E-2</v>
      </c>
      <c r="J788">
        <f t="shared" si="210"/>
        <v>78</v>
      </c>
      <c r="K788">
        <v>1</v>
      </c>
      <c r="L788">
        <v>1</v>
      </c>
      <c r="M788" s="12">
        <f t="shared" si="211"/>
        <v>6.6876377880362312E-2</v>
      </c>
      <c r="N788">
        <f t="shared" si="214"/>
        <v>2.9281213431219765E-2</v>
      </c>
      <c r="O788">
        <f t="shared" si="212"/>
        <v>0.25860467490044009</v>
      </c>
      <c r="P788" t="s">
        <v>825</v>
      </c>
      <c r="Q788" t="s">
        <v>826</v>
      </c>
      <c r="R788">
        <v>6.8550000000000004</v>
      </c>
      <c r="S788">
        <v>6.8550000000000004</v>
      </c>
      <c r="U788">
        <v>104</v>
      </c>
      <c r="V788" t="s">
        <v>138</v>
      </c>
      <c r="W788">
        <v>104</v>
      </c>
      <c r="Y788">
        <v>2006</v>
      </c>
      <c r="Z788">
        <f>2025-2006</f>
        <v>19</v>
      </c>
      <c r="AA788">
        <v>2.003031005497551E-8</v>
      </c>
      <c r="AB788">
        <v>0.60902153038204299</v>
      </c>
      <c r="AC788">
        <v>-0.28000000000000003</v>
      </c>
      <c r="AD788" s="3">
        <v>-1.7704084545460186E-2</v>
      </c>
      <c r="AE788">
        <v>1</v>
      </c>
      <c r="AF788" t="str">
        <f t="shared" si="213"/>
        <v>US</v>
      </c>
      <c r="AG788">
        <v>2</v>
      </c>
      <c r="AH788">
        <v>1</v>
      </c>
      <c r="AI788">
        <v>2</v>
      </c>
      <c r="AJ788">
        <v>1</v>
      </c>
      <c r="AK788" t="s">
        <v>112</v>
      </c>
      <c r="AL788">
        <v>32</v>
      </c>
      <c r="AN788" t="s">
        <v>527</v>
      </c>
      <c r="AO788">
        <v>3.3029999999999999</v>
      </c>
    </row>
    <row r="789" spans="1:41" ht="15.6">
      <c r="A789">
        <v>16</v>
      </c>
      <c r="B789" t="s">
        <v>366</v>
      </c>
      <c r="C789" t="s">
        <v>367</v>
      </c>
      <c r="D789" s="3">
        <v>87</v>
      </c>
      <c r="F789">
        <v>2019</v>
      </c>
      <c r="G789">
        <f t="shared" si="215"/>
        <v>6</v>
      </c>
      <c r="H789">
        <f t="shared" si="208"/>
        <v>6.8532229339697659E-2</v>
      </c>
      <c r="I789">
        <f t="shared" si="209"/>
        <v>9.2368421052631614E-2</v>
      </c>
      <c r="J789">
        <f t="shared" si="210"/>
        <v>78</v>
      </c>
      <c r="K789">
        <v>1</v>
      </c>
      <c r="L789">
        <v>1</v>
      </c>
      <c r="M789" s="12">
        <f t="shared" si="211"/>
        <v>6.6876377880362312E-2</v>
      </c>
      <c r="N789">
        <f t="shared" si="214"/>
        <v>2.9281213431219765E-2</v>
      </c>
      <c r="O789">
        <f t="shared" si="212"/>
        <v>0.25860467490044009</v>
      </c>
      <c r="P789" t="s">
        <v>825</v>
      </c>
      <c r="Q789" t="s">
        <v>826</v>
      </c>
      <c r="R789">
        <v>6.8550000000000004</v>
      </c>
      <c r="S789">
        <v>6.8550000000000004</v>
      </c>
      <c r="U789">
        <v>104</v>
      </c>
      <c r="V789" t="s">
        <v>138</v>
      </c>
      <c r="W789">
        <v>104</v>
      </c>
      <c r="Y789">
        <v>2006</v>
      </c>
      <c r="Z789">
        <f>2025-2006</f>
        <v>19</v>
      </c>
      <c r="AA789">
        <v>8.5231083729311039E-4</v>
      </c>
      <c r="AB789">
        <v>7.159881504593184E-3</v>
      </c>
      <c r="AC789">
        <v>0.28000000000000003</v>
      </c>
      <c r="AD789" s="3">
        <v>-0.1534697096734027</v>
      </c>
      <c r="AE789">
        <v>1</v>
      </c>
      <c r="AF789" t="str">
        <f t="shared" si="213"/>
        <v>US</v>
      </c>
      <c r="AG789">
        <v>2</v>
      </c>
      <c r="AH789">
        <v>1</v>
      </c>
      <c r="AI789">
        <v>2</v>
      </c>
      <c r="AJ789">
        <v>1</v>
      </c>
      <c r="AK789" t="s">
        <v>112</v>
      </c>
      <c r="AL789">
        <v>32</v>
      </c>
      <c r="AN789" t="s">
        <v>527</v>
      </c>
      <c r="AO789">
        <v>3.3029999999999999</v>
      </c>
    </row>
    <row r="790" spans="1:41" ht="15.6">
      <c r="A790">
        <v>16</v>
      </c>
      <c r="B790" t="s">
        <v>366</v>
      </c>
      <c r="C790" t="s">
        <v>367</v>
      </c>
      <c r="D790" s="3">
        <v>87</v>
      </c>
      <c r="F790">
        <v>2019</v>
      </c>
      <c r="G790">
        <f t="shared" si="215"/>
        <v>6</v>
      </c>
      <c r="H790">
        <f t="shared" si="208"/>
        <v>6.8532229339697659E-2</v>
      </c>
      <c r="I790">
        <f t="shared" si="209"/>
        <v>9.2368421052631614E-2</v>
      </c>
      <c r="J790">
        <f t="shared" si="210"/>
        <v>78</v>
      </c>
      <c r="K790">
        <v>1</v>
      </c>
      <c r="L790">
        <v>1</v>
      </c>
      <c r="M790" s="12">
        <f t="shared" si="211"/>
        <v>6.6876377880362312E-2</v>
      </c>
      <c r="N790">
        <f t="shared" si="214"/>
        <v>2.9281213431219765E-2</v>
      </c>
      <c r="O790">
        <f t="shared" si="212"/>
        <v>0.25860467490044009</v>
      </c>
      <c r="P790" t="s">
        <v>825</v>
      </c>
      <c r="Q790" t="s">
        <v>826</v>
      </c>
      <c r="R790">
        <v>6.8550000000000004</v>
      </c>
      <c r="S790">
        <v>6.8550000000000004</v>
      </c>
      <c r="U790">
        <v>104</v>
      </c>
      <c r="V790" t="s">
        <v>138</v>
      </c>
      <c r="W790">
        <v>104</v>
      </c>
      <c r="Y790">
        <v>2006</v>
      </c>
      <c r="Z790">
        <f>2025-2006</f>
        <v>19</v>
      </c>
      <c r="AA790">
        <v>1.1485726856583694E-13</v>
      </c>
      <c r="AB790">
        <v>0.12794256469801094</v>
      </c>
      <c r="AC790">
        <v>-0.2</v>
      </c>
      <c r="AD790" s="3">
        <v>-6.9578781663219277E-2</v>
      </c>
      <c r="AE790">
        <v>1</v>
      </c>
      <c r="AF790" t="str">
        <f t="shared" si="213"/>
        <v>US</v>
      </c>
      <c r="AG790">
        <v>2</v>
      </c>
      <c r="AH790">
        <v>1</v>
      </c>
      <c r="AI790">
        <v>2</v>
      </c>
      <c r="AJ790">
        <v>1</v>
      </c>
      <c r="AK790" t="s">
        <v>112</v>
      </c>
      <c r="AL790">
        <v>32</v>
      </c>
      <c r="AN790" t="s">
        <v>527</v>
      </c>
      <c r="AO790">
        <v>3.3029999999999999</v>
      </c>
    </row>
    <row r="791" spans="1:41" ht="15.6">
      <c r="A791">
        <v>16</v>
      </c>
      <c r="B791" t="s">
        <v>366</v>
      </c>
      <c r="C791" t="s">
        <v>367</v>
      </c>
      <c r="D791" s="3">
        <v>87</v>
      </c>
      <c r="F791">
        <v>2019</v>
      </c>
      <c r="G791">
        <f t="shared" si="215"/>
        <v>6</v>
      </c>
      <c r="H791">
        <f t="shared" si="208"/>
        <v>6.8532229339697659E-2</v>
      </c>
      <c r="I791">
        <f t="shared" si="209"/>
        <v>9.2368421052631614E-2</v>
      </c>
      <c r="J791">
        <f t="shared" si="210"/>
        <v>78</v>
      </c>
      <c r="K791">
        <v>1</v>
      </c>
      <c r="L791">
        <v>1</v>
      </c>
      <c r="M791" s="12">
        <f t="shared" si="211"/>
        <v>6.6876377880362312E-2</v>
      </c>
      <c r="N791">
        <f t="shared" si="214"/>
        <v>2.9281213431219765E-2</v>
      </c>
      <c r="O791">
        <f t="shared" si="212"/>
        <v>0.25860467490044009</v>
      </c>
      <c r="P791" t="s">
        <v>825</v>
      </c>
      <c r="Q791" t="s">
        <v>826</v>
      </c>
      <c r="R791">
        <v>6.8550000000000004</v>
      </c>
      <c r="S791">
        <v>6.8550000000000004</v>
      </c>
      <c r="U791">
        <v>104</v>
      </c>
      <c r="V791" t="s">
        <v>138</v>
      </c>
      <c r="W791">
        <v>104</v>
      </c>
      <c r="Y791">
        <v>2006</v>
      </c>
      <c r="Z791">
        <f>2025-2006</f>
        <v>19</v>
      </c>
      <c r="AA791">
        <v>1.2325724683931594E-6</v>
      </c>
      <c r="AB791">
        <v>3.3104011196072647E-2</v>
      </c>
      <c r="AC791">
        <v>-0.31</v>
      </c>
      <c r="AD791" s="3">
        <v>-9.7281019569157176E-2</v>
      </c>
      <c r="AE791">
        <v>1</v>
      </c>
      <c r="AF791" t="str">
        <f t="shared" si="213"/>
        <v>US</v>
      </c>
      <c r="AG791">
        <v>2</v>
      </c>
      <c r="AH791">
        <v>1</v>
      </c>
      <c r="AI791">
        <v>2</v>
      </c>
      <c r="AJ791">
        <v>1</v>
      </c>
      <c r="AK791" t="s">
        <v>112</v>
      </c>
      <c r="AL791">
        <v>32</v>
      </c>
      <c r="AN791" t="s">
        <v>527</v>
      </c>
      <c r="AO791">
        <v>3.3029999999999999</v>
      </c>
    </row>
    <row r="792" spans="1:41" ht="15.6">
      <c r="A792">
        <v>16</v>
      </c>
      <c r="B792" t="s">
        <v>366</v>
      </c>
      <c r="C792" t="s">
        <v>367</v>
      </c>
      <c r="D792" s="3">
        <v>87</v>
      </c>
      <c r="F792">
        <v>2019</v>
      </c>
      <c r="G792">
        <f t="shared" si="215"/>
        <v>6</v>
      </c>
      <c r="H792">
        <f t="shared" si="208"/>
        <v>6.8532229339697659E-2</v>
      </c>
      <c r="I792">
        <f t="shared" si="209"/>
        <v>9.2368421052631614E-2</v>
      </c>
      <c r="J792">
        <f t="shared" si="210"/>
        <v>78</v>
      </c>
      <c r="K792">
        <v>1</v>
      </c>
      <c r="L792">
        <v>1</v>
      </c>
      <c r="M792" s="12">
        <f t="shared" si="211"/>
        <v>6.6876377880362312E-2</v>
      </c>
      <c r="N792">
        <f t="shared" si="214"/>
        <v>2.9281213431219765E-2</v>
      </c>
      <c r="O792">
        <f t="shared" si="212"/>
        <v>0.25860467490044009</v>
      </c>
      <c r="P792" t="s">
        <v>825</v>
      </c>
      <c r="Q792" t="s">
        <v>826</v>
      </c>
      <c r="R792">
        <v>6.8550000000000004</v>
      </c>
      <c r="S792">
        <v>6.8550000000000004</v>
      </c>
      <c r="U792">
        <v>104</v>
      </c>
      <c r="V792" t="s">
        <v>138</v>
      </c>
      <c r="W792">
        <v>104</v>
      </c>
      <c r="Y792">
        <v>2006</v>
      </c>
      <c r="Z792">
        <f>2025-2006</f>
        <v>19</v>
      </c>
      <c r="AA792">
        <v>5.1742491588636684E-3</v>
      </c>
      <c r="AB792">
        <v>2.710737313029061E-8</v>
      </c>
      <c r="AC792">
        <v>0.57999999999999996</v>
      </c>
      <c r="AD792" s="3">
        <v>0.24282728288169847</v>
      </c>
      <c r="AE792">
        <v>1</v>
      </c>
      <c r="AF792" t="str">
        <f t="shared" si="213"/>
        <v>US</v>
      </c>
      <c r="AG792">
        <v>2</v>
      </c>
      <c r="AH792">
        <v>1</v>
      </c>
      <c r="AI792">
        <v>2</v>
      </c>
      <c r="AJ792">
        <v>1</v>
      </c>
      <c r="AK792" t="s">
        <v>112</v>
      </c>
      <c r="AL792">
        <v>32</v>
      </c>
      <c r="AN792" t="s">
        <v>527</v>
      </c>
      <c r="AO792">
        <v>3.3029999999999999</v>
      </c>
    </row>
    <row r="793" spans="1:41" ht="15.6">
      <c r="A793">
        <v>16</v>
      </c>
      <c r="B793" t="s">
        <v>366</v>
      </c>
      <c r="C793" t="s">
        <v>367</v>
      </c>
      <c r="D793" s="3">
        <v>87</v>
      </c>
      <c r="F793">
        <v>2019</v>
      </c>
      <c r="G793">
        <f t="shared" si="215"/>
        <v>6</v>
      </c>
      <c r="H793">
        <f t="shared" si="208"/>
        <v>6.8532229339697659E-2</v>
      </c>
      <c r="I793">
        <f t="shared" si="209"/>
        <v>9.2368421052631614E-2</v>
      </c>
      <c r="J793">
        <f t="shared" si="210"/>
        <v>78</v>
      </c>
      <c r="K793">
        <v>1</v>
      </c>
      <c r="L793">
        <v>1</v>
      </c>
      <c r="M793" s="12">
        <f t="shared" si="211"/>
        <v>6.6876377880362312E-2</v>
      </c>
      <c r="N793">
        <f t="shared" si="214"/>
        <v>2.9281213431219765E-2</v>
      </c>
      <c r="O793">
        <f t="shared" si="212"/>
        <v>0.25860467490044009</v>
      </c>
      <c r="P793" t="s">
        <v>825</v>
      </c>
      <c r="Q793" t="s">
        <v>826</v>
      </c>
      <c r="R793">
        <v>6.8550000000000004</v>
      </c>
      <c r="S793">
        <v>6.8550000000000004</v>
      </c>
      <c r="U793">
        <v>104</v>
      </c>
      <c r="V793" t="s">
        <v>138</v>
      </c>
      <c r="W793">
        <v>104</v>
      </c>
      <c r="Y793">
        <v>2006</v>
      </c>
      <c r="Z793">
        <f>2025-2006</f>
        <v>19</v>
      </c>
      <c r="AA793">
        <v>2.5109089171197128E-4</v>
      </c>
      <c r="AB793">
        <v>8.127556834728525E-13</v>
      </c>
      <c r="AC793">
        <v>0.24</v>
      </c>
      <c r="AD793" s="3">
        <v>-0.30963723053672915</v>
      </c>
      <c r="AE793">
        <v>1</v>
      </c>
      <c r="AF793" t="str">
        <f t="shared" si="213"/>
        <v>US</v>
      </c>
      <c r="AG793">
        <v>2</v>
      </c>
      <c r="AH793">
        <v>1</v>
      </c>
      <c r="AI793">
        <v>2</v>
      </c>
      <c r="AJ793">
        <v>1</v>
      </c>
      <c r="AK793" t="s">
        <v>112</v>
      </c>
      <c r="AL793">
        <v>32</v>
      </c>
      <c r="AN793" t="s">
        <v>527</v>
      </c>
      <c r="AO793">
        <v>3.3029999999999999</v>
      </c>
    </row>
    <row r="794" spans="1:41" ht="15.6">
      <c r="A794">
        <v>16</v>
      </c>
      <c r="B794" t="s">
        <v>366</v>
      </c>
      <c r="C794" t="s">
        <v>367</v>
      </c>
      <c r="D794" s="3">
        <v>87</v>
      </c>
      <c r="F794">
        <v>2019</v>
      </c>
      <c r="G794">
        <f t="shared" si="215"/>
        <v>6</v>
      </c>
      <c r="H794">
        <f t="shared" si="208"/>
        <v>6.8532229339697659E-2</v>
      </c>
      <c r="I794">
        <f t="shared" si="209"/>
        <v>9.2368421052631614E-2</v>
      </c>
      <c r="J794">
        <f t="shared" si="210"/>
        <v>78</v>
      </c>
      <c r="K794">
        <v>1</v>
      </c>
      <c r="L794">
        <v>1</v>
      </c>
      <c r="M794" s="12">
        <f t="shared" si="211"/>
        <v>6.6876377880362312E-2</v>
      </c>
      <c r="N794">
        <f t="shared" si="214"/>
        <v>2.9281213431219765E-2</v>
      </c>
      <c r="O794">
        <f t="shared" si="212"/>
        <v>0.25860467490044009</v>
      </c>
      <c r="P794" t="s">
        <v>825</v>
      </c>
      <c r="Q794" t="s">
        <v>826</v>
      </c>
      <c r="R794">
        <v>6.8550000000000004</v>
      </c>
      <c r="S794">
        <v>6.8550000000000004</v>
      </c>
      <c r="U794">
        <v>104</v>
      </c>
      <c r="V794" t="s">
        <v>138</v>
      </c>
      <c r="W794">
        <v>104</v>
      </c>
      <c r="Y794">
        <v>2006</v>
      </c>
      <c r="Z794">
        <f>2025-2006</f>
        <v>19</v>
      </c>
      <c r="AA794">
        <v>4.2715033840598815E-88</v>
      </c>
      <c r="AB794">
        <v>7.8588979968842419E-8</v>
      </c>
      <c r="AC794">
        <v>0.25</v>
      </c>
      <c r="AD794" s="3">
        <v>0.1949289932318353</v>
      </c>
      <c r="AE794">
        <v>1</v>
      </c>
      <c r="AF794" t="str">
        <f t="shared" si="213"/>
        <v>US</v>
      </c>
      <c r="AG794">
        <v>2</v>
      </c>
      <c r="AH794">
        <v>1</v>
      </c>
      <c r="AI794">
        <v>2</v>
      </c>
      <c r="AJ794">
        <v>1</v>
      </c>
      <c r="AK794" t="s">
        <v>112</v>
      </c>
      <c r="AL794">
        <v>32</v>
      </c>
      <c r="AN794" t="s">
        <v>527</v>
      </c>
      <c r="AO794">
        <v>3.3029999999999999</v>
      </c>
    </row>
    <row r="795" spans="1:41" ht="15.6">
      <c r="A795">
        <v>16</v>
      </c>
      <c r="B795" t="s">
        <v>366</v>
      </c>
      <c r="C795" t="s">
        <v>367</v>
      </c>
      <c r="D795" s="3">
        <v>87</v>
      </c>
      <c r="F795">
        <v>2019</v>
      </c>
      <c r="G795">
        <f t="shared" si="215"/>
        <v>6</v>
      </c>
      <c r="H795">
        <f t="shared" si="208"/>
        <v>6.8532229339697659E-2</v>
      </c>
      <c r="I795">
        <f t="shared" si="209"/>
        <v>9.2368421052631614E-2</v>
      </c>
      <c r="J795">
        <f t="shared" si="210"/>
        <v>78</v>
      </c>
      <c r="K795">
        <v>1</v>
      </c>
      <c r="L795">
        <v>1</v>
      </c>
      <c r="M795" s="12">
        <f t="shared" si="211"/>
        <v>6.6876377880362312E-2</v>
      </c>
      <c r="N795">
        <f t="shared" si="214"/>
        <v>2.9281213431219765E-2</v>
      </c>
      <c r="O795">
        <f t="shared" si="212"/>
        <v>0.25860467490044009</v>
      </c>
      <c r="P795" t="s">
        <v>825</v>
      </c>
      <c r="Q795" t="s">
        <v>826</v>
      </c>
      <c r="R795">
        <v>6.8550000000000004</v>
      </c>
      <c r="S795">
        <v>6.8550000000000004</v>
      </c>
      <c r="U795">
        <v>104</v>
      </c>
      <c r="V795" t="s">
        <v>138</v>
      </c>
      <c r="W795">
        <v>104</v>
      </c>
      <c r="Y795">
        <v>2006</v>
      </c>
      <c r="Z795">
        <f>2025-2006</f>
        <v>19</v>
      </c>
      <c r="AA795">
        <v>1.4790971575701611E-161</v>
      </c>
      <c r="AB795">
        <v>4.9359347645789571E-6</v>
      </c>
      <c r="AC795">
        <v>-0.6</v>
      </c>
      <c r="AD795" s="3">
        <v>-0.16623015638224695</v>
      </c>
      <c r="AE795">
        <v>1</v>
      </c>
      <c r="AF795" t="str">
        <f t="shared" si="213"/>
        <v>US</v>
      </c>
      <c r="AG795">
        <v>2</v>
      </c>
      <c r="AH795">
        <v>1</v>
      </c>
      <c r="AI795">
        <v>2</v>
      </c>
      <c r="AJ795">
        <v>1</v>
      </c>
      <c r="AK795" t="s">
        <v>112</v>
      </c>
      <c r="AL795">
        <v>32</v>
      </c>
      <c r="AN795" t="s">
        <v>527</v>
      </c>
      <c r="AO795">
        <v>3.3029999999999999</v>
      </c>
    </row>
    <row r="796" spans="1:41" ht="15.6">
      <c r="A796">
        <v>16</v>
      </c>
      <c r="B796" t="s">
        <v>366</v>
      </c>
      <c r="C796" t="s">
        <v>367</v>
      </c>
      <c r="D796" s="3">
        <v>87</v>
      </c>
      <c r="F796">
        <v>2019</v>
      </c>
      <c r="G796">
        <f t="shared" si="215"/>
        <v>6</v>
      </c>
      <c r="H796">
        <f t="shared" si="208"/>
        <v>6.8532229339697659E-2</v>
      </c>
      <c r="I796">
        <f t="shared" si="209"/>
        <v>9.2368421052631614E-2</v>
      </c>
      <c r="J796">
        <f t="shared" si="210"/>
        <v>78</v>
      </c>
      <c r="K796">
        <v>1</v>
      </c>
      <c r="L796">
        <v>1</v>
      </c>
      <c r="M796" s="12">
        <f t="shared" si="211"/>
        <v>6.6876377880362312E-2</v>
      </c>
      <c r="N796">
        <f t="shared" si="214"/>
        <v>2.9281213431219765E-2</v>
      </c>
      <c r="O796">
        <f t="shared" si="212"/>
        <v>0.25860467490044009</v>
      </c>
      <c r="P796" t="s">
        <v>825</v>
      </c>
      <c r="Q796" t="s">
        <v>826</v>
      </c>
      <c r="R796">
        <v>6.8550000000000004</v>
      </c>
      <c r="S796">
        <v>6.8550000000000004</v>
      </c>
      <c r="U796">
        <v>104</v>
      </c>
      <c r="V796" t="s">
        <v>138</v>
      </c>
      <c r="W796">
        <v>104</v>
      </c>
      <c r="Y796">
        <v>2006</v>
      </c>
      <c r="Z796">
        <f>2025-2006</f>
        <v>19</v>
      </c>
      <c r="AA796">
        <v>1.5137419452621861E-4</v>
      </c>
      <c r="AB796">
        <v>1.0827109606042214E-19</v>
      </c>
      <c r="AC796">
        <v>-0.53</v>
      </c>
      <c r="AD796" s="3">
        <v>0.32357709189527617</v>
      </c>
      <c r="AE796">
        <v>1</v>
      </c>
      <c r="AF796" t="str">
        <f t="shared" si="213"/>
        <v>US</v>
      </c>
      <c r="AG796">
        <v>2</v>
      </c>
      <c r="AH796">
        <v>1</v>
      </c>
      <c r="AI796">
        <v>2</v>
      </c>
      <c r="AJ796">
        <v>1</v>
      </c>
      <c r="AK796" t="s">
        <v>112</v>
      </c>
      <c r="AL796">
        <v>32</v>
      </c>
      <c r="AN796" t="s">
        <v>527</v>
      </c>
      <c r="AO796">
        <v>3.3029999999999999</v>
      </c>
    </row>
    <row r="797" spans="1:41" ht="15.6">
      <c r="A797">
        <v>16</v>
      </c>
      <c r="B797" t="s">
        <v>366</v>
      </c>
      <c r="C797" t="s">
        <v>367</v>
      </c>
      <c r="D797" s="3">
        <v>87</v>
      </c>
      <c r="F797">
        <v>2019</v>
      </c>
      <c r="G797">
        <f t="shared" si="215"/>
        <v>6</v>
      </c>
      <c r="H797">
        <f t="shared" si="208"/>
        <v>6.8532229339697659E-2</v>
      </c>
      <c r="I797">
        <f t="shared" si="209"/>
        <v>9.2368421052631614E-2</v>
      </c>
      <c r="J797">
        <f t="shared" si="210"/>
        <v>78</v>
      </c>
      <c r="K797">
        <v>1</v>
      </c>
      <c r="L797">
        <v>1</v>
      </c>
      <c r="M797" s="12">
        <f t="shared" si="211"/>
        <v>6.6876377880362312E-2</v>
      </c>
      <c r="N797">
        <f t="shared" si="214"/>
        <v>2.9281213431219765E-2</v>
      </c>
      <c r="O797">
        <f t="shared" si="212"/>
        <v>0.25860467490044009</v>
      </c>
      <c r="P797" t="s">
        <v>825</v>
      </c>
      <c r="Q797" t="s">
        <v>826</v>
      </c>
      <c r="R797">
        <v>6.8550000000000004</v>
      </c>
      <c r="S797">
        <v>6.8550000000000004</v>
      </c>
      <c r="U797">
        <v>104</v>
      </c>
      <c r="V797" t="s">
        <v>138</v>
      </c>
      <c r="W797">
        <v>104</v>
      </c>
      <c r="Y797">
        <v>2006</v>
      </c>
      <c r="Z797">
        <f>2025-2006</f>
        <v>19</v>
      </c>
      <c r="AA797">
        <v>3.2025725832757558E-7</v>
      </c>
      <c r="AB797">
        <v>5.254735878482665E-13</v>
      </c>
      <c r="AC797">
        <v>-0.41</v>
      </c>
      <c r="AD797" s="3">
        <v>-0.2598245815511393</v>
      </c>
      <c r="AE797">
        <v>1</v>
      </c>
      <c r="AF797" t="str">
        <f t="shared" si="213"/>
        <v>US</v>
      </c>
      <c r="AG797">
        <v>2</v>
      </c>
      <c r="AH797">
        <v>1</v>
      </c>
      <c r="AI797">
        <v>2</v>
      </c>
      <c r="AJ797">
        <v>1</v>
      </c>
      <c r="AK797" t="s">
        <v>112</v>
      </c>
      <c r="AL797">
        <v>32</v>
      </c>
      <c r="AN797" t="s">
        <v>527</v>
      </c>
      <c r="AO797">
        <v>3.3029999999999999</v>
      </c>
    </row>
    <row r="798" spans="1:41" ht="15.6">
      <c r="A798">
        <v>16</v>
      </c>
      <c r="B798" t="s">
        <v>366</v>
      </c>
      <c r="C798" t="s">
        <v>367</v>
      </c>
      <c r="D798" s="3">
        <v>87</v>
      </c>
      <c r="F798">
        <v>2019</v>
      </c>
      <c r="G798">
        <f t="shared" si="215"/>
        <v>6</v>
      </c>
      <c r="H798">
        <f t="shared" si="208"/>
        <v>6.8532229339697659E-2</v>
      </c>
      <c r="I798">
        <f t="shared" si="209"/>
        <v>9.2368421052631614E-2</v>
      </c>
      <c r="J798">
        <f t="shared" si="210"/>
        <v>78</v>
      </c>
      <c r="K798">
        <v>1</v>
      </c>
      <c r="L798">
        <v>1</v>
      </c>
      <c r="M798" s="12">
        <f t="shared" si="211"/>
        <v>6.6876377880362312E-2</v>
      </c>
      <c r="N798">
        <f t="shared" si="214"/>
        <v>2.9281213431219765E-2</v>
      </c>
      <c r="O798">
        <f t="shared" si="212"/>
        <v>0.25860467490044009</v>
      </c>
      <c r="P798" t="s">
        <v>825</v>
      </c>
      <c r="Q798" t="s">
        <v>826</v>
      </c>
      <c r="R798">
        <v>6.8550000000000004</v>
      </c>
      <c r="S798">
        <v>6.8550000000000004</v>
      </c>
      <c r="U798">
        <v>104</v>
      </c>
      <c r="V798" t="s">
        <v>138</v>
      </c>
      <c r="W798">
        <v>104</v>
      </c>
      <c r="Y798">
        <v>2006</v>
      </c>
      <c r="Z798">
        <f>2025-2006</f>
        <v>19</v>
      </c>
      <c r="AA798">
        <v>2.1924377579485613E-6</v>
      </c>
      <c r="AB798">
        <v>4.6026599810073945E-3</v>
      </c>
      <c r="AC798">
        <v>-0.37</v>
      </c>
      <c r="AD798" s="3">
        <v>-9.6934275620374891E-2</v>
      </c>
      <c r="AE798">
        <v>1</v>
      </c>
      <c r="AF798" t="str">
        <f t="shared" si="213"/>
        <v>US</v>
      </c>
      <c r="AG798">
        <v>2</v>
      </c>
      <c r="AH798">
        <v>1</v>
      </c>
      <c r="AI798">
        <v>2</v>
      </c>
      <c r="AJ798">
        <v>1</v>
      </c>
      <c r="AK798" t="s">
        <v>112</v>
      </c>
      <c r="AL798">
        <v>32</v>
      </c>
      <c r="AN798" t="s">
        <v>527</v>
      </c>
      <c r="AO798">
        <v>3.3029999999999999</v>
      </c>
    </row>
    <row r="799" spans="1:41" ht="15.6">
      <c r="A799">
        <v>16</v>
      </c>
      <c r="B799" t="s">
        <v>366</v>
      </c>
      <c r="C799" t="s">
        <v>367</v>
      </c>
      <c r="D799" s="3">
        <v>87</v>
      </c>
      <c r="F799">
        <v>2019</v>
      </c>
      <c r="G799">
        <f t="shared" si="215"/>
        <v>6</v>
      </c>
      <c r="H799">
        <f t="shared" si="208"/>
        <v>6.8532229339697659E-2</v>
      </c>
      <c r="I799">
        <f t="shared" si="209"/>
        <v>9.2368421052631614E-2</v>
      </c>
      <c r="J799">
        <f t="shared" si="210"/>
        <v>78</v>
      </c>
      <c r="K799">
        <v>1</v>
      </c>
      <c r="L799">
        <v>1</v>
      </c>
      <c r="M799" s="12">
        <f t="shared" si="211"/>
        <v>6.6876377880362312E-2</v>
      </c>
      <c r="N799">
        <f t="shared" si="214"/>
        <v>2.9281213431219765E-2</v>
      </c>
      <c r="O799">
        <f t="shared" si="212"/>
        <v>0.25860467490044009</v>
      </c>
      <c r="P799" t="s">
        <v>825</v>
      </c>
      <c r="Q799" t="s">
        <v>826</v>
      </c>
      <c r="R799">
        <v>6.8550000000000004</v>
      </c>
      <c r="S799">
        <v>6.8550000000000004</v>
      </c>
      <c r="U799">
        <v>104</v>
      </c>
      <c r="V799" t="s">
        <v>138</v>
      </c>
      <c r="W799">
        <v>104</v>
      </c>
      <c r="Y799">
        <v>2006</v>
      </c>
      <c r="Z799">
        <f>2025-2006</f>
        <v>19</v>
      </c>
      <c r="AA799">
        <v>1.0883165303301932E-7</v>
      </c>
      <c r="AB799">
        <v>2.5705992126170939E-7</v>
      </c>
      <c r="AC799">
        <v>0.52</v>
      </c>
      <c r="AD799" s="3">
        <v>0.16683197985631867</v>
      </c>
      <c r="AE799">
        <v>1</v>
      </c>
      <c r="AF799" t="str">
        <f t="shared" si="213"/>
        <v>US</v>
      </c>
      <c r="AG799">
        <v>2</v>
      </c>
      <c r="AH799">
        <v>1</v>
      </c>
      <c r="AI799">
        <v>2</v>
      </c>
      <c r="AJ799">
        <v>1</v>
      </c>
      <c r="AK799" t="s">
        <v>112</v>
      </c>
      <c r="AL799">
        <v>32</v>
      </c>
      <c r="AN799" t="s">
        <v>527</v>
      </c>
      <c r="AO799">
        <v>3.3029999999999999</v>
      </c>
    </row>
    <row r="800" spans="1:41" ht="15.6">
      <c r="A800">
        <v>16</v>
      </c>
      <c r="B800" t="s">
        <v>366</v>
      </c>
      <c r="C800" t="s">
        <v>367</v>
      </c>
      <c r="D800" s="3">
        <v>87</v>
      </c>
      <c r="F800">
        <v>2019</v>
      </c>
      <c r="G800">
        <f t="shared" si="215"/>
        <v>6</v>
      </c>
      <c r="H800">
        <f t="shared" si="208"/>
        <v>6.8532229339697659E-2</v>
      </c>
      <c r="I800">
        <f t="shared" si="209"/>
        <v>9.2368421052631614E-2</v>
      </c>
      <c r="J800">
        <f t="shared" si="210"/>
        <v>78</v>
      </c>
      <c r="K800">
        <v>1</v>
      </c>
      <c r="L800">
        <v>1</v>
      </c>
      <c r="M800" s="12">
        <f t="shared" si="211"/>
        <v>6.6876377880362312E-2</v>
      </c>
      <c r="N800">
        <f t="shared" si="214"/>
        <v>2.9281213431219765E-2</v>
      </c>
      <c r="O800">
        <f t="shared" si="212"/>
        <v>0.25860467490044009</v>
      </c>
      <c r="P800" t="s">
        <v>825</v>
      </c>
      <c r="Q800" t="s">
        <v>826</v>
      </c>
      <c r="R800">
        <v>6.8550000000000004</v>
      </c>
      <c r="S800">
        <v>6.8550000000000004</v>
      </c>
      <c r="U800">
        <v>104</v>
      </c>
      <c r="V800" t="s">
        <v>138</v>
      </c>
      <c r="W800">
        <v>104</v>
      </c>
      <c r="Y800">
        <v>2006</v>
      </c>
      <c r="Z800">
        <f>2025-2006</f>
        <v>19</v>
      </c>
      <c r="AA800">
        <v>4.0521696065068209E-3</v>
      </c>
      <c r="AB800">
        <v>2.1957814952082638E-38</v>
      </c>
      <c r="AC800">
        <v>0.25</v>
      </c>
      <c r="AD800" s="3">
        <v>0.44925439926756261</v>
      </c>
      <c r="AE800">
        <v>1</v>
      </c>
      <c r="AF800" t="str">
        <f t="shared" si="213"/>
        <v>US</v>
      </c>
      <c r="AG800">
        <v>2</v>
      </c>
      <c r="AH800">
        <v>1</v>
      </c>
      <c r="AI800">
        <v>2</v>
      </c>
      <c r="AJ800">
        <v>1</v>
      </c>
      <c r="AK800" t="s">
        <v>112</v>
      </c>
      <c r="AL800">
        <v>32</v>
      </c>
      <c r="AN800" t="s">
        <v>527</v>
      </c>
      <c r="AO800">
        <v>3.3029999999999999</v>
      </c>
    </row>
    <row r="801" spans="1:41" ht="15.6">
      <c r="A801">
        <v>16</v>
      </c>
      <c r="B801" t="s">
        <v>366</v>
      </c>
      <c r="C801" t="s">
        <v>367</v>
      </c>
      <c r="D801" s="3">
        <v>87</v>
      </c>
      <c r="F801">
        <v>2019</v>
      </c>
      <c r="G801">
        <f t="shared" si="215"/>
        <v>6</v>
      </c>
      <c r="H801">
        <f t="shared" si="208"/>
        <v>6.8532229339697659E-2</v>
      </c>
      <c r="I801">
        <f t="shared" si="209"/>
        <v>9.2368421052631614E-2</v>
      </c>
      <c r="J801">
        <f t="shared" si="210"/>
        <v>78</v>
      </c>
      <c r="K801">
        <v>1</v>
      </c>
      <c r="L801">
        <v>1</v>
      </c>
      <c r="M801" s="12">
        <f t="shared" si="211"/>
        <v>6.6876377880362312E-2</v>
      </c>
      <c r="N801">
        <f t="shared" ref="N801:N814" si="216">$O$737/SQRT($J$737)</f>
        <v>2.9281213431219765E-2</v>
      </c>
      <c r="O801">
        <f t="shared" si="212"/>
        <v>0.25860467490044009</v>
      </c>
      <c r="P801" t="s">
        <v>825</v>
      </c>
      <c r="Q801" t="s">
        <v>826</v>
      </c>
      <c r="R801">
        <v>6.8550000000000004</v>
      </c>
      <c r="S801">
        <v>6.8550000000000004</v>
      </c>
      <c r="U801">
        <v>104</v>
      </c>
      <c r="V801" t="s">
        <v>138</v>
      </c>
      <c r="W801">
        <v>104</v>
      </c>
      <c r="Y801">
        <v>2006</v>
      </c>
      <c r="Z801">
        <f>2025-2006</f>
        <v>19</v>
      </c>
      <c r="AA801">
        <v>3.8506205600150517E-4</v>
      </c>
      <c r="AB801">
        <v>7.0774233371120193E-14</v>
      </c>
      <c r="AC801">
        <v>-0.52</v>
      </c>
      <c r="AD801" s="3">
        <v>0.26928926312743179</v>
      </c>
      <c r="AE801">
        <v>1</v>
      </c>
      <c r="AF801" t="str">
        <f t="shared" si="213"/>
        <v>US</v>
      </c>
      <c r="AG801">
        <v>2</v>
      </c>
      <c r="AH801">
        <v>1</v>
      </c>
      <c r="AI801">
        <v>2</v>
      </c>
      <c r="AJ801">
        <v>1</v>
      </c>
      <c r="AK801" t="s">
        <v>112</v>
      </c>
      <c r="AL801">
        <v>32</v>
      </c>
      <c r="AN801" t="s">
        <v>527</v>
      </c>
      <c r="AO801">
        <v>3.3029999999999999</v>
      </c>
    </row>
    <row r="802" spans="1:41" ht="15.6">
      <c r="A802">
        <v>16</v>
      </c>
      <c r="B802" t="s">
        <v>366</v>
      </c>
      <c r="C802" t="s">
        <v>367</v>
      </c>
      <c r="D802" s="3">
        <v>87</v>
      </c>
      <c r="F802">
        <v>2019</v>
      </c>
      <c r="G802">
        <f t="shared" si="215"/>
        <v>6</v>
      </c>
      <c r="H802">
        <f t="shared" ref="H802:H814" si="217">AVERAGE($AD$737:$AD$814)</f>
        <v>6.8532229339697659E-2</v>
      </c>
      <c r="I802">
        <f t="shared" ref="I802:I814" si="218">AVERAGE($AC$737:$AC$814)</f>
        <v>9.2368421052631614E-2</v>
      </c>
      <c r="J802">
        <f t="shared" ref="J802:J814" si="219">COUNTA($P$737:$P$814)</f>
        <v>78</v>
      </c>
      <c r="K802">
        <v>1</v>
      </c>
      <c r="L802">
        <v>1</v>
      </c>
      <c r="M802" s="12">
        <f t="shared" ref="M802:M814" si="220">_xlfn.VAR.P($AD$737:$AD$814)</f>
        <v>6.6876377880362312E-2</v>
      </c>
      <c r="N802">
        <f t="shared" si="216"/>
        <v>2.9281213431219765E-2</v>
      </c>
      <c r="O802">
        <f t="shared" ref="O802:O814" si="221">_xlfn.STDEV.P($AD$737:$AD$814)</f>
        <v>0.25860467490044009</v>
      </c>
      <c r="P802" t="s">
        <v>825</v>
      </c>
      <c r="Q802" t="s">
        <v>826</v>
      </c>
      <c r="R802">
        <v>6.8550000000000004</v>
      </c>
      <c r="S802">
        <v>6.8550000000000004</v>
      </c>
      <c r="U802">
        <v>104</v>
      </c>
      <c r="V802" t="s">
        <v>138</v>
      </c>
      <c r="W802">
        <v>104</v>
      </c>
      <c r="Y802">
        <v>2006</v>
      </c>
      <c r="Z802">
        <f>2025-2006</f>
        <v>19</v>
      </c>
      <c r="AA802">
        <v>7.0989933071641814E-11</v>
      </c>
      <c r="AB802">
        <v>4.9286281027785188E-25</v>
      </c>
      <c r="AC802">
        <v>-0.37</v>
      </c>
      <c r="AD802" s="3">
        <v>-0.32763426148205099</v>
      </c>
      <c r="AE802">
        <v>1</v>
      </c>
      <c r="AF802" t="str">
        <f t="shared" ref="AF802:AF842" si="222">IF(AE802=1,"US","Non-US")</f>
        <v>US</v>
      </c>
      <c r="AG802">
        <v>2</v>
      </c>
      <c r="AH802">
        <v>1</v>
      </c>
      <c r="AI802">
        <v>2</v>
      </c>
      <c r="AJ802">
        <v>1</v>
      </c>
      <c r="AK802" t="s">
        <v>112</v>
      </c>
      <c r="AL802">
        <v>32</v>
      </c>
      <c r="AN802" t="s">
        <v>527</v>
      </c>
      <c r="AO802">
        <v>3.3029999999999999</v>
      </c>
    </row>
    <row r="803" spans="1:41" ht="15.6">
      <c r="A803">
        <v>16</v>
      </c>
      <c r="B803" t="s">
        <v>366</v>
      </c>
      <c r="C803" t="s">
        <v>367</v>
      </c>
      <c r="D803" s="3">
        <v>87</v>
      </c>
      <c r="F803">
        <v>2019</v>
      </c>
      <c r="G803">
        <f t="shared" si="215"/>
        <v>6</v>
      </c>
      <c r="H803">
        <f t="shared" si="217"/>
        <v>6.8532229339697659E-2</v>
      </c>
      <c r="I803">
        <f t="shared" si="218"/>
        <v>9.2368421052631614E-2</v>
      </c>
      <c r="J803">
        <f t="shared" si="219"/>
        <v>78</v>
      </c>
      <c r="K803">
        <v>1</v>
      </c>
      <c r="L803">
        <v>1</v>
      </c>
      <c r="M803" s="12">
        <f t="shared" si="220"/>
        <v>6.6876377880362312E-2</v>
      </c>
      <c r="N803">
        <f t="shared" si="216"/>
        <v>2.9281213431219765E-2</v>
      </c>
      <c r="O803">
        <f t="shared" si="221"/>
        <v>0.25860467490044009</v>
      </c>
      <c r="P803" t="s">
        <v>824</v>
      </c>
      <c r="Q803" t="s">
        <v>826</v>
      </c>
      <c r="R803">
        <v>6.8550000000000004</v>
      </c>
      <c r="S803">
        <v>6.8550000000000004</v>
      </c>
      <c r="U803">
        <v>104</v>
      </c>
      <c r="V803" t="s">
        <v>138</v>
      </c>
      <c r="W803">
        <v>104</v>
      </c>
      <c r="Y803">
        <v>2006</v>
      </c>
      <c r="Z803">
        <f>2025-2006</f>
        <v>19</v>
      </c>
      <c r="AA803">
        <v>7.3947790271874635E-5</v>
      </c>
      <c r="AB803">
        <v>1.9205396979942766E-14</v>
      </c>
      <c r="AC803">
        <v>-0.38</v>
      </c>
      <c r="AD803" s="3">
        <v>0.19566153044814194</v>
      </c>
      <c r="AE803">
        <v>1</v>
      </c>
      <c r="AF803" t="str">
        <f t="shared" si="222"/>
        <v>US</v>
      </c>
      <c r="AG803">
        <v>2</v>
      </c>
      <c r="AH803">
        <v>1</v>
      </c>
      <c r="AI803">
        <v>2</v>
      </c>
      <c r="AJ803">
        <v>1</v>
      </c>
      <c r="AK803" t="s">
        <v>112</v>
      </c>
      <c r="AL803">
        <v>32</v>
      </c>
      <c r="AN803" t="s">
        <v>527</v>
      </c>
      <c r="AO803">
        <v>3.3029999999999999</v>
      </c>
    </row>
    <row r="804" spans="1:41" ht="15.6">
      <c r="A804">
        <v>16</v>
      </c>
      <c r="B804" t="s">
        <v>366</v>
      </c>
      <c r="C804" t="s">
        <v>367</v>
      </c>
      <c r="D804" s="3">
        <v>87</v>
      </c>
      <c r="F804">
        <v>2019</v>
      </c>
      <c r="G804">
        <f t="shared" si="215"/>
        <v>6</v>
      </c>
      <c r="H804">
        <f t="shared" si="217"/>
        <v>6.8532229339697659E-2</v>
      </c>
      <c r="I804">
        <f t="shared" si="218"/>
        <v>9.2368421052631614E-2</v>
      </c>
      <c r="J804">
        <f t="shared" si="219"/>
        <v>78</v>
      </c>
      <c r="K804">
        <v>1</v>
      </c>
      <c r="L804">
        <v>1</v>
      </c>
      <c r="M804" s="12">
        <f t="shared" si="220"/>
        <v>6.6876377880362312E-2</v>
      </c>
      <c r="N804">
        <f t="shared" si="216"/>
        <v>2.9281213431219765E-2</v>
      </c>
      <c r="O804">
        <f t="shared" si="221"/>
        <v>0.25860467490044009</v>
      </c>
      <c r="P804" t="s">
        <v>824</v>
      </c>
      <c r="Q804" t="s">
        <v>826</v>
      </c>
      <c r="R804">
        <v>6.8550000000000004</v>
      </c>
      <c r="S804">
        <v>6.8550000000000004</v>
      </c>
      <c r="U804">
        <v>104</v>
      </c>
      <c r="V804" t="s">
        <v>138</v>
      </c>
      <c r="W804">
        <v>104</v>
      </c>
      <c r="Y804">
        <v>2006</v>
      </c>
      <c r="Z804">
        <f>2025-2006</f>
        <v>19</v>
      </c>
      <c r="AA804">
        <v>5.129079933041274E-11</v>
      </c>
      <c r="AB804">
        <v>2.315316903717779E-11</v>
      </c>
      <c r="AC804">
        <v>0.45</v>
      </c>
      <c r="AD804" s="3">
        <v>0.17123418805946297</v>
      </c>
      <c r="AE804">
        <v>1</v>
      </c>
      <c r="AF804" t="str">
        <f t="shared" si="222"/>
        <v>US</v>
      </c>
      <c r="AG804">
        <v>2</v>
      </c>
      <c r="AH804">
        <v>1</v>
      </c>
      <c r="AI804">
        <v>2</v>
      </c>
      <c r="AJ804">
        <v>1</v>
      </c>
      <c r="AK804" t="s">
        <v>112</v>
      </c>
      <c r="AL804">
        <v>32</v>
      </c>
      <c r="AN804" t="s">
        <v>527</v>
      </c>
      <c r="AO804">
        <v>3.3029999999999999</v>
      </c>
    </row>
    <row r="805" spans="1:41" ht="15.6">
      <c r="A805">
        <v>16</v>
      </c>
      <c r="B805" t="s">
        <v>366</v>
      </c>
      <c r="C805" t="s">
        <v>367</v>
      </c>
      <c r="D805" s="3">
        <v>87</v>
      </c>
      <c r="F805">
        <v>2019</v>
      </c>
      <c r="G805">
        <f t="shared" si="215"/>
        <v>6</v>
      </c>
      <c r="H805">
        <f t="shared" si="217"/>
        <v>6.8532229339697659E-2</v>
      </c>
      <c r="I805">
        <f t="shared" si="218"/>
        <v>9.2368421052631614E-2</v>
      </c>
      <c r="J805">
        <f t="shared" si="219"/>
        <v>78</v>
      </c>
      <c r="K805">
        <v>1</v>
      </c>
      <c r="L805">
        <v>1</v>
      </c>
      <c r="M805" s="12">
        <f t="shared" si="220"/>
        <v>6.6876377880362312E-2</v>
      </c>
      <c r="N805">
        <f t="shared" si="216"/>
        <v>2.9281213431219765E-2</v>
      </c>
      <c r="O805">
        <f t="shared" si="221"/>
        <v>0.25860467490044009</v>
      </c>
      <c r="P805" t="s">
        <v>824</v>
      </c>
      <c r="Q805" t="s">
        <v>826</v>
      </c>
      <c r="R805">
        <v>6.8550000000000004</v>
      </c>
      <c r="S805">
        <v>6.8550000000000004</v>
      </c>
      <c r="U805">
        <v>104</v>
      </c>
      <c r="V805" t="s">
        <v>138</v>
      </c>
      <c r="W805">
        <v>104</v>
      </c>
      <c r="Y805">
        <v>2006</v>
      </c>
      <c r="Z805">
        <f>2025-2006</f>
        <v>19</v>
      </c>
      <c r="AA805">
        <v>7.4088352822393533E-7</v>
      </c>
      <c r="AB805">
        <v>5.9478997936454016E-29</v>
      </c>
      <c r="AC805">
        <v>0.37</v>
      </c>
      <c r="AD805" s="3">
        <v>0.28229285352479738</v>
      </c>
      <c r="AE805">
        <v>1</v>
      </c>
      <c r="AF805" t="str">
        <f t="shared" si="222"/>
        <v>US</v>
      </c>
      <c r="AG805">
        <v>2</v>
      </c>
      <c r="AH805">
        <v>1</v>
      </c>
      <c r="AI805">
        <v>2</v>
      </c>
      <c r="AJ805">
        <v>1</v>
      </c>
      <c r="AK805" t="s">
        <v>112</v>
      </c>
      <c r="AL805">
        <v>32</v>
      </c>
      <c r="AN805" t="s">
        <v>527</v>
      </c>
      <c r="AO805">
        <v>3.3029999999999999</v>
      </c>
    </row>
    <row r="806" spans="1:41" ht="15.6">
      <c r="A806">
        <v>16</v>
      </c>
      <c r="B806" t="s">
        <v>366</v>
      </c>
      <c r="C806" t="s">
        <v>367</v>
      </c>
      <c r="D806" s="3">
        <v>87</v>
      </c>
      <c r="F806">
        <v>2019</v>
      </c>
      <c r="G806">
        <f t="shared" si="215"/>
        <v>6</v>
      </c>
      <c r="H806">
        <f t="shared" si="217"/>
        <v>6.8532229339697659E-2</v>
      </c>
      <c r="I806">
        <f t="shared" si="218"/>
        <v>9.2368421052631614E-2</v>
      </c>
      <c r="J806">
        <f t="shared" si="219"/>
        <v>78</v>
      </c>
      <c r="K806">
        <v>1</v>
      </c>
      <c r="L806">
        <v>1</v>
      </c>
      <c r="M806" s="12">
        <f t="shared" si="220"/>
        <v>6.6876377880362312E-2</v>
      </c>
      <c r="N806">
        <f t="shared" si="216"/>
        <v>2.9281213431219765E-2</v>
      </c>
      <c r="O806">
        <f t="shared" si="221"/>
        <v>0.25860467490044009</v>
      </c>
      <c r="P806" t="s">
        <v>824</v>
      </c>
      <c r="Q806" t="s">
        <v>826</v>
      </c>
      <c r="R806">
        <v>6.8550000000000004</v>
      </c>
      <c r="S806">
        <v>6.8550000000000004</v>
      </c>
      <c r="U806">
        <v>104</v>
      </c>
      <c r="V806" t="s">
        <v>138</v>
      </c>
      <c r="W806">
        <v>104</v>
      </c>
      <c r="Y806">
        <v>2006</v>
      </c>
      <c r="Z806">
        <f>2025-2006</f>
        <v>19</v>
      </c>
      <c r="AA806">
        <v>7.4088352822393533E-7</v>
      </c>
      <c r="AB806">
        <v>1.4315886523022831E-10</v>
      </c>
      <c r="AC806">
        <v>0.38</v>
      </c>
      <c r="AD806" s="3">
        <v>-0.16436050245900666</v>
      </c>
      <c r="AE806">
        <v>1</v>
      </c>
      <c r="AF806" t="str">
        <f t="shared" si="222"/>
        <v>US</v>
      </c>
      <c r="AG806">
        <v>2</v>
      </c>
      <c r="AH806">
        <v>1</v>
      </c>
      <c r="AI806">
        <v>2</v>
      </c>
      <c r="AJ806">
        <v>1</v>
      </c>
      <c r="AK806" t="s">
        <v>112</v>
      </c>
      <c r="AL806">
        <v>32</v>
      </c>
      <c r="AN806" t="s">
        <v>527</v>
      </c>
      <c r="AO806">
        <v>3.3029999999999999</v>
      </c>
    </row>
    <row r="807" spans="1:41" ht="15.6">
      <c r="A807">
        <v>16</v>
      </c>
      <c r="B807" t="s">
        <v>366</v>
      </c>
      <c r="C807" t="s">
        <v>367</v>
      </c>
      <c r="D807" s="3">
        <v>87</v>
      </c>
      <c r="F807">
        <v>2019</v>
      </c>
      <c r="G807">
        <f t="shared" si="215"/>
        <v>6</v>
      </c>
      <c r="H807">
        <f t="shared" si="217"/>
        <v>6.8532229339697659E-2</v>
      </c>
      <c r="I807">
        <f t="shared" si="218"/>
        <v>9.2368421052631614E-2</v>
      </c>
      <c r="J807">
        <f t="shared" si="219"/>
        <v>78</v>
      </c>
      <c r="K807">
        <v>1</v>
      </c>
      <c r="L807">
        <v>1</v>
      </c>
      <c r="M807" s="12">
        <f t="shared" si="220"/>
        <v>6.6876377880362312E-2</v>
      </c>
      <c r="N807">
        <f t="shared" si="216"/>
        <v>2.9281213431219765E-2</v>
      </c>
      <c r="O807">
        <f t="shared" si="221"/>
        <v>0.25860467490044009</v>
      </c>
      <c r="P807" t="s">
        <v>824</v>
      </c>
      <c r="Q807" t="s">
        <v>826</v>
      </c>
      <c r="R807">
        <v>6.8550000000000004</v>
      </c>
      <c r="S807">
        <v>6.8550000000000004</v>
      </c>
      <c r="U807">
        <v>104</v>
      </c>
      <c r="V807" t="s">
        <v>138</v>
      </c>
      <c r="W807">
        <v>104</v>
      </c>
      <c r="Y807">
        <v>2006</v>
      </c>
      <c r="Z807">
        <f>2025-2006</f>
        <v>19</v>
      </c>
      <c r="AA807">
        <v>2.6723572174428983E-2</v>
      </c>
      <c r="AB807">
        <v>9.5282598663341071E-10</v>
      </c>
      <c r="AC807">
        <v>0.3</v>
      </c>
      <c r="AD807" s="3">
        <v>0.18212812031135739</v>
      </c>
      <c r="AE807">
        <v>1</v>
      </c>
      <c r="AF807" t="str">
        <f t="shared" si="222"/>
        <v>US</v>
      </c>
      <c r="AG807">
        <v>2</v>
      </c>
      <c r="AH807">
        <v>1</v>
      </c>
      <c r="AI807">
        <v>2</v>
      </c>
      <c r="AJ807">
        <v>1</v>
      </c>
      <c r="AK807" t="s">
        <v>112</v>
      </c>
      <c r="AL807">
        <v>32</v>
      </c>
      <c r="AN807" t="s">
        <v>527</v>
      </c>
      <c r="AO807">
        <v>3.3029999999999999</v>
      </c>
    </row>
    <row r="808" spans="1:41" ht="15.6">
      <c r="A808">
        <v>16</v>
      </c>
      <c r="B808" t="s">
        <v>366</v>
      </c>
      <c r="C808" t="s">
        <v>367</v>
      </c>
      <c r="D808" s="3">
        <v>87</v>
      </c>
      <c r="F808">
        <v>2019</v>
      </c>
      <c r="G808">
        <f t="shared" si="215"/>
        <v>6</v>
      </c>
      <c r="H808">
        <f t="shared" si="217"/>
        <v>6.8532229339697659E-2</v>
      </c>
      <c r="I808">
        <f t="shared" si="218"/>
        <v>9.2368421052631614E-2</v>
      </c>
      <c r="J808">
        <f t="shared" si="219"/>
        <v>78</v>
      </c>
      <c r="K808">
        <v>1</v>
      </c>
      <c r="L808">
        <v>1</v>
      </c>
      <c r="M808" s="12">
        <f t="shared" si="220"/>
        <v>6.6876377880362312E-2</v>
      </c>
      <c r="N808">
        <f t="shared" si="216"/>
        <v>2.9281213431219765E-2</v>
      </c>
      <c r="O808">
        <f t="shared" si="221"/>
        <v>0.25860467490044009</v>
      </c>
      <c r="P808" t="s">
        <v>824</v>
      </c>
      <c r="Q808" t="s">
        <v>826</v>
      </c>
      <c r="R808">
        <v>6.8550000000000004</v>
      </c>
      <c r="S808">
        <v>6.8550000000000004</v>
      </c>
      <c r="U808">
        <v>104</v>
      </c>
      <c r="V808" t="s">
        <v>138</v>
      </c>
      <c r="W808">
        <v>104</v>
      </c>
      <c r="Y808">
        <v>2006</v>
      </c>
      <c r="Z808">
        <f>2025-2006</f>
        <v>19</v>
      </c>
      <c r="AA808">
        <v>3.3378019980746707E-3</v>
      </c>
      <c r="AB808">
        <v>1.386962298208991E-3</v>
      </c>
      <c r="AC808">
        <v>0.25</v>
      </c>
      <c r="AD808" s="3">
        <v>9.2584725193578465E-2</v>
      </c>
      <c r="AE808">
        <v>1</v>
      </c>
      <c r="AF808" t="str">
        <f t="shared" si="222"/>
        <v>US</v>
      </c>
      <c r="AG808">
        <v>2</v>
      </c>
      <c r="AH808">
        <v>1</v>
      </c>
      <c r="AI808">
        <v>2</v>
      </c>
      <c r="AJ808">
        <v>1</v>
      </c>
      <c r="AK808" t="s">
        <v>112</v>
      </c>
      <c r="AL808">
        <v>32</v>
      </c>
      <c r="AN808" t="s">
        <v>527</v>
      </c>
      <c r="AO808">
        <v>3.3029999999999999</v>
      </c>
    </row>
    <row r="809" spans="1:41" ht="15.6">
      <c r="A809">
        <v>16</v>
      </c>
      <c r="B809" t="s">
        <v>366</v>
      </c>
      <c r="C809" t="s">
        <v>367</v>
      </c>
      <c r="D809" s="3">
        <v>87</v>
      </c>
      <c r="F809">
        <v>2019</v>
      </c>
      <c r="G809">
        <f t="shared" si="215"/>
        <v>6</v>
      </c>
      <c r="H809">
        <f t="shared" si="217"/>
        <v>6.8532229339697659E-2</v>
      </c>
      <c r="I809">
        <f t="shared" si="218"/>
        <v>9.2368421052631614E-2</v>
      </c>
      <c r="J809">
        <f t="shared" si="219"/>
        <v>78</v>
      </c>
      <c r="K809">
        <v>1</v>
      </c>
      <c r="L809">
        <v>1</v>
      </c>
      <c r="M809" s="12">
        <f t="shared" si="220"/>
        <v>6.6876377880362312E-2</v>
      </c>
      <c r="N809">
        <f t="shared" si="216"/>
        <v>2.9281213431219765E-2</v>
      </c>
      <c r="O809">
        <f t="shared" si="221"/>
        <v>0.25860467490044009</v>
      </c>
      <c r="P809" t="s">
        <v>825</v>
      </c>
      <c r="Q809" t="s">
        <v>826</v>
      </c>
      <c r="R809">
        <v>6.8550000000000004</v>
      </c>
      <c r="S809">
        <v>6.8550000000000004</v>
      </c>
      <c r="U809">
        <v>104</v>
      </c>
      <c r="V809" t="s">
        <v>138</v>
      </c>
      <c r="W809">
        <v>104</v>
      </c>
      <c r="Y809">
        <v>2006</v>
      </c>
      <c r="Z809">
        <f>2025-2006</f>
        <v>19</v>
      </c>
      <c r="AA809">
        <v>5.3450591725198012E-7</v>
      </c>
      <c r="AB809">
        <v>0.20552190020697714</v>
      </c>
      <c r="AC809">
        <v>0.3</v>
      </c>
      <c r="AD809" s="3">
        <v>-3.6078047097688561E-2</v>
      </c>
      <c r="AE809">
        <v>1</v>
      </c>
      <c r="AF809" t="str">
        <f t="shared" si="222"/>
        <v>US</v>
      </c>
      <c r="AG809">
        <v>2</v>
      </c>
      <c r="AH809">
        <v>1</v>
      </c>
      <c r="AI809">
        <v>2</v>
      </c>
      <c r="AJ809">
        <v>1</v>
      </c>
      <c r="AK809" t="s">
        <v>112</v>
      </c>
      <c r="AL809">
        <v>32</v>
      </c>
      <c r="AN809" t="s">
        <v>527</v>
      </c>
      <c r="AO809">
        <v>3.3029999999999999</v>
      </c>
    </row>
    <row r="810" spans="1:41" ht="15.6">
      <c r="A810">
        <v>16</v>
      </c>
      <c r="B810" t="s">
        <v>366</v>
      </c>
      <c r="C810" t="s">
        <v>367</v>
      </c>
      <c r="D810" s="3">
        <v>87</v>
      </c>
      <c r="F810">
        <v>2019</v>
      </c>
      <c r="G810">
        <f t="shared" si="215"/>
        <v>6</v>
      </c>
      <c r="H810">
        <f t="shared" si="217"/>
        <v>6.8532229339697659E-2</v>
      </c>
      <c r="I810">
        <f t="shared" si="218"/>
        <v>9.2368421052631614E-2</v>
      </c>
      <c r="J810">
        <f t="shared" si="219"/>
        <v>78</v>
      </c>
      <c r="K810">
        <v>1</v>
      </c>
      <c r="L810">
        <v>1</v>
      </c>
      <c r="M810" s="12">
        <f t="shared" si="220"/>
        <v>6.6876377880362312E-2</v>
      </c>
      <c r="N810">
        <f t="shared" si="216"/>
        <v>2.9281213431219765E-2</v>
      </c>
      <c r="O810">
        <f t="shared" si="221"/>
        <v>0.25860467490044009</v>
      </c>
      <c r="P810" t="s">
        <v>824</v>
      </c>
      <c r="Q810" t="s">
        <v>826</v>
      </c>
      <c r="R810">
        <v>6.8550000000000004</v>
      </c>
      <c r="S810">
        <v>6.8550000000000004</v>
      </c>
      <c r="U810">
        <v>104</v>
      </c>
      <c r="V810" t="s">
        <v>138</v>
      </c>
      <c r="W810">
        <v>104</v>
      </c>
      <c r="Y810">
        <v>2006</v>
      </c>
      <c r="Z810">
        <f>2025-2006</f>
        <v>19</v>
      </c>
      <c r="AA810">
        <v>4.2259896422135541E-8</v>
      </c>
      <c r="AB810">
        <v>1.3207020738606662E-2</v>
      </c>
      <c r="AC810">
        <v>0.16</v>
      </c>
      <c r="AD810" s="3">
        <v>-6.388792636065975E-2</v>
      </c>
      <c r="AE810">
        <v>1</v>
      </c>
      <c r="AF810" t="str">
        <f t="shared" si="222"/>
        <v>US</v>
      </c>
      <c r="AG810">
        <v>2</v>
      </c>
      <c r="AH810">
        <v>1</v>
      </c>
      <c r="AI810">
        <v>2</v>
      </c>
      <c r="AJ810">
        <v>1</v>
      </c>
      <c r="AK810" t="s">
        <v>112</v>
      </c>
      <c r="AL810">
        <v>32</v>
      </c>
      <c r="AN810" t="s">
        <v>527</v>
      </c>
      <c r="AO810">
        <v>3.3029999999999999</v>
      </c>
    </row>
    <row r="811" spans="1:41" ht="15.6">
      <c r="A811">
        <v>16</v>
      </c>
      <c r="B811" t="s">
        <v>366</v>
      </c>
      <c r="C811" t="s">
        <v>367</v>
      </c>
      <c r="D811" s="3">
        <v>87</v>
      </c>
      <c r="F811">
        <v>2019</v>
      </c>
      <c r="G811">
        <f t="shared" si="215"/>
        <v>6</v>
      </c>
      <c r="H811">
        <f t="shared" si="217"/>
        <v>6.8532229339697659E-2</v>
      </c>
      <c r="I811">
        <f t="shared" si="218"/>
        <v>9.2368421052631614E-2</v>
      </c>
      <c r="J811">
        <f t="shared" si="219"/>
        <v>78</v>
      </c>
      <c r="K811">
        <v>1</v>
      </c>
      <c r="L811">
        <v>1</v>
      </c>
      <c r="M811" s="12">
        <f t="shared" si="220"/>
        <v>6.6876377880362312E-2</v>
      </c>
      <c r="N811">
        <f t="shared" si="216"/>
        <v>2.9281213431219765E-2</v>
      </c>
      <c r="O811">
        <f t="shared" si="221"/>
        <v>0.25860467490044009</v>
      </c>
      <c r="P811" t="s">
        <v>824</v>
      </c>
      <c r="Q811" t="s">
        <v>826</v>
      </c>
      <c r="R811">
        <v>6.8550000000000004</v>
      </c>
      <c r="S811">
        <v>6.8550000000000004</v>
      </c>
      <c r="U811">
        <v>104</v>
      </c>
      <c r="V811" t="s">
        <v>138</v>
      </c>
      <c r="W811">
        <v>104</v>
      </c>
      <c r="Y811">
        <v>2006</v>
      </c>
      <c r="Z811">
        <f>2025-2006</f>
        <v>19</v>
      </c>
      <c r="AA811">
        <v>9.0176240748327644E-5</v>
      </c>
      <c r="AB811">
        <v>0.40456808351475282</v>
      </c>
      <c r="AC811">
        <v>0.11</v>
      </c>
      <c r="AD811" s="3">
        <v>2.1507394603484553E-2</v>
      </c>
      <c r="AE811">
        <v>1</v>
      </c>
      <c r="AF811" t="str">
        <f t="shared" si="222"/>
        <v>US</v>
      </c>
      <c r="AG811">
        <v>2</v>
      </c>
      <c r="AH811">
        <v>1</v>
      </c>
      <c r="AI811">
        <v>2</v>
      </c>
      <c r="AJ811">
        <v>1</v>
      </c>
      <c r="AK811" t="s">
        <v>112</v>
      </c>
      <c r="AL811">
        <v>32</v>
      </c>
      <c r="AN811" t="s">
        <v>527</v>
      </c>
      <c r="AO811">
        <v>3.3029999999999999</v>
      </c>
    </row>
    <row r="812" spans="1:41" ht="15.6">
      <c r="A812">
        <v>16</v>
      </c>
      <c r="B812" t="s">
        <v>366</v>
      </c>
      <c r="C812" t="s">
        <v>367</v>
      </c>
      <c r="D812" s="3">
        <v>87</v>
      </c>
      <c r="F812">
        <v>2019</v>
      </c>
      <c r="G812">
        <f t="shared" si="215"/>
        <v>6</v>
      </c>
      <c r="H812">
        <f t="shared" si="217"/>
        <v>6.8532229339697659E-2</v>
      </c>
      <c r="I812">
        <f t="shared" si="218"/>
        <v>9.2368421052631614E-2</v>
      </c>
      <c r="J812">
        <f t="shared" si="219"/>
        <v>78</v>
      </c>
      <c r="K812">
        <v>1</v>
      </c>
      <c r="L812">
        <v>1</v>
      </c>
      <c r="M812" s="12">
        <f t="shared" si="220"/>
        <v>6.6876377880362312E-2</v>
      </c>
      <c r="N812">
        <f t="shared" si="216"/>
        <v>2.9281213431219765E-2</v>
      </c>
      <c r="O812">
        <f t="shared" si="221"/>
        <v>0.25860467490044009</v>
      </c>
      <c r="P812" t="s">
        <v>824</v>
      </c>
      <c r="Q812" t="s">
        <v>826</v>
      </c>
      <c r="R812">
        <v>6.8550000000000004</v>
      </c>
      <c r="S812">
        <v>6.8550000000000004</v>
      </c>
      <c r="U812">
        <v>104</v>
      </c>
      <c r="V812" t="s">
        <v>138</v>
      </c>
      <c r="W812">
        <v>104</v>
      </c>
      <c r="Y812">
        <v>2006</v>
      </c>
      <c r="Z812">
        <f>2025-2006</f>
        <v>19</v>
      </c>
      <c r="AA812">
        <v>3.9660537532096377E-14</v>
      </c>
      <c r="AB812">
        <v>3.9230281560949526E-34</v>
      </c>
      <c r="AC812">
        <v>0.16</v>
      </c>
      <c r="AD812" s="3">
        <v>0.30674668209570821</v>
      </c>
      <c r="AE812">
        <v>1</v>
      </c>
      <c r="AF812" t="str">
        <f t="shared" si="222"/>
        <v>US</v>
      </c>
      <c r="AG812">
        <v>2</v>
      </c>
      <c r="AH812">
        <v>1</v>
      </c>
      <c r="AI812">
        <v>2</v>
      </c>
      <c r="AJ812">
        <v>1</v>
      </c>
      <c r="AK812" t="s">
        <v>112</v>
      </c>
      <c r="AL812">
        <v>32</v>
      </c>
      <c r="AN812" t="s">
        <v>527</v>
      </c>
      <c r="AO812">
        <v>3.3029999999999999</v>
      </c>
    </row>
    <row r="813" spans="1:41" ht="15.6">
      <c r="A813">
        <v>16</v>
      </c>
      <c r="B813" t="s">
        <v>366</v>
      </c>
      <c r="C813" t="s">
        <v>367</v>
      </c>
      <c r="D813" s="3">
        <v>87</v>
      </c>
      <c r="F813">
        <v>2019</v>
      </c>
      <c r="G813">
        <f t="shared" si="215"/>
        <v>6</v>
      </c>
      <c r="H813">
        <f t="shared" si="217"/>
        <v>6.8532229339697659E-2</v>
      </c>
      <c r="I813">
        <f t="shared" si="218"/>
        <v>9.2368421052631614E-2</v>
      </c>
      <c r="J813">
        <f t="shared" si="219"/>
        <v>78</v>
      </c>
      <c r="K813">
        <v>1</v>
      </c>
      <c r="L813">
        <v>1</v>
      </c>
      <c r="M813" s="12">
        <f t="shared" si="220"/>
        <v>6.6876377880362312E-2</v>
      </c>
      <c r="N813">
        <f t="shared" si="216"/>
        <v>2.9281213431219765E-2</v>
      </c>
      <c r="O813">
        <f t="shared" si="221"/>
        <v>0.25860467490044009</v>
      </c>
      <c r="P813" t="s">
        <v>824</v>
      </c>
      <c r="Q813" t="s">
        <v>826</v>
      </c>
      <c r="R813">
        <v>6.8550000000000004</v>
      </c>
      <c r="S813">
        <v>6.8550000000000004</v>
      </c>
      <c r="U813">
        <v>104</v>
      </c>
      <c r="V813" t="s">
        <v>138</v>
      </c>
      <c r="W813">
        <v>104</v>
      </c>
      <c r="Y813">
        <v>2006</v>
      </c>
      <c r="Z813">
        <f>2025-2006</f>
        <v>19</v>
      </c>
      <c r="AA813">
        <v>2.0042020125857976E-21</v>
      </c>
      <c r="AB813">
        <v>1.0092444617151057E-6</v>
      </c>
      <c r="AC813">
        <v>0.19</v>
      </c>
      <c r="AD813" s="3">
        <v>-0.1256909711698399</v>
      </c>
      <c r="AE813">
        <v>1</v>
      </c>
      <c r="AF813" t="str">
        <f t="shared" si="222"/>
        <v>US</v>
      </c>
      <c r="AG813">
        <v>2</v>
      </c>
      <c r="AH813">
        <v>1</v>
      </c>
      <c r="AI813">
        <v>2</v>
      </c>
      <c r="AJ813">
        <v>1</v>
      </c>
      <c r="AK813" t="s">
        <v>112</v>
      </c>
      <c r="AL813">
        <v>32</v>
      </c>
      <c r="AN813" t="s">
        <v>527</v>
      </c>
      <c r="AO813">
        <v>3.3029999999999999</v>
      </c>
    </row>
    <row r="814" spans="1:41" ht="15.6">
      <c r="A814">
        <v>16</v>
      </c>
      <c r="B814" t="s">
        <v>366</v>
      </c>
      <c r="C814" t="s">
        <v>367</v>
      </c>
      <c r="D814" s="3">
        <v>87</v>
      </c>
      <c r="F814">
        <v>2019</v>
      </c>
      <c r="G814">
        <f t="shared" si="215"/>
        <v>6</v>
      </c>
      <c r="H814">
        <f t="shared" si="217"/>
        <v>6.8532229339697659E-2</v>
      </c>
      <c r="I814">
        <f t="shared" si="218"/>
        <v>9.2368421052631614E-2</v>
      </c>
      <c r="J814">
        <f t="shared" si="219"/>
        <v>78</v>
      </c>
      <c r="K814">
        <v>1</v>
      </c>
      <c r="L814">
        <v>1</v>
      </c>
      <c r="M814" s="12">
        <f t="shared" si="220"/>
        <v>6.6876377880362312E-2</v>
      </c>
      <c r="N814">
        <f t="shared" si="216"/>
        <v>2.9281213431219765E-2</v>
      </c>
      <c r="O814">
        <f t="shared" si="221"/>
        <v>0.25860467490044009</v>
      </c>
      <c r="P814" t="s">
        <v>824</v>
      </c>
      <c r="Q814" t="s">
        <v>826</v>
      </c>
      <c r="R814">
        <v>6.8550000000000004</v>
      </c>
      <c r="S814">
        <v>6.8550000000000004</v>
      </c>
      <c r="U814">
        <v>104</v>
      </c>
      <c r="V814" t="s">
        <v>138</v>
      </c>
      <c r="W814">
        <v>104</v>
      </c>
      <c r="Y814">
        <v>2006</v>
      </c>
      <c r="Z814">
        <f>2025-2006</f>
        <v>19</v>
      </c>
      <c r="AA814">
        <v>6.9714979070501743E-26</v>
      </c>
      <c r="AB814">
        <v>2.0984794444764413E-34</v>
      </c>
      <c r="AC814">
        <v>-0.24</v>
      </c>
      <c r="AD814" s="3">
        <v>0.3079662279601133</v>
      </c>
      <c r="AE814">
        <v>1</v>
      </c>
      <c r="AF814" t="str">
        <f t="shared" si="222"/>
        <v>US</v>
      </c>
      <c r="AG814">
        <v>2</v>
      </c>
      <c r="AH814">
        <v>1</v>
      </c>
      <c r="AI814">
        <v>2</v>
      </c>
      <c r="AJ814">
        <v>1</v>
      </c>
      <c r="AK814" t="s">
        <v>112</v>
      </c>
      <c r="AL814">
        <v>32</v>
      </c>
      <c r="AN814" t="s">
        <v>527</v>
      </c>
      <c r="AO814">
        <v>3.3029999999999999</v>
      </c>
    </row>
    <row r="815" spans="1:41" ht="15.6">
      <c r="A815">
        <v>17</v>
      </c>
      <c r="B815" t="s">
        <v>829</v>
      </c>
      <c r="C815" t="s">
        <v>560</v>
      </c>
      <c r="D815" s="3">
        <f>100*(15/28)</f>
        <v>53.571428571428569</v>
      </c>
      <c r="F815">
        <v>2018</v>
      </c>
      <c r="G815">
        <f t="shared" si="215"/>
        <v>7</v>
      </c>
      <c r="H815">
        <f>AVERAGE($AD$815:$AD$842)</f>
        <v>0.38232142857142853</v>
      </c>
      <c r="I815">
        <f>AVERAGE($AC$815:$AC$842)</f>
        <v>0.67232142857142863</v>
      </c>
      <c r="J815">
        <f>COUNTA($A$815:$A$842)</f>
        <v>28</v>
      </c>
      <c r="K815">
        <v>16</v>
      </c>
      <c r="L815">
        <v>190</v>
      </c>
      <c r="M815" s="12">
        <f>_xlfn.VAR.P($AD$815:$AD$842)</f>
        <v>0.30398300382653054</v>
      </c>
      <c r="N815">
        <f t="shared" ref="N815:N842" si="223">$O$815/SQRT($J$815)</f>
        <v>0.10419470164527329</v>
      </c>
      <c r="O815">
        <f>_xlfn.STDEV.P($AD$815:$AD$842)</f>
        <v>0.55134653696793134</v>
      </c>
      <c r="P815" t="s">
        <v>830</v>
      </c>
      <c r="Q815" t="s">
        <v>856</v>
      </c>
      <c r="R815">
        <v>1.7230000000000001</v>
      </c>
      <c r="S815">
        <f>AVERAGE($R$815:$R$842)</f>
        <v>3.7036500000000006</v>
      </c>
      <c r="U815">
        <v>16</v>
      </c>
      <c r="V815" t="s">
        <v>755</v>
      </c>
      <c r="W815">
        <f>AVERAGE($U$815:$U$842)</f>
        <v>35.392857142857146</v>
      </c>
      <c r="Y815">
        <v>2014</v>
      </c>
      <c r="Z815">
        <f>2025-AVERAGE($Y$815:$Y$842)</f>
        <v>22.89285714285711</v>
      </c>
      <c r="AA815">
        <v>0.08</v>
      </c>
      <c r="AB815">
        <v>1E-10</v>
      </c>
      <c r="AC815">
        <v>0.12</v>
      </c>
      <c r="AD815" s="3">
        <v>0.28999999999999998</v>
      </c>
      <c r="AE815">
        <v>1</v>
      </c>
      <c r="AF815" t="str">
        <f t="shared" si="222"/>
        <v>US</v>
      </c>
      <c r="AG815">
        <v>3</v>
      </c>
      <c r="AH815">
        <v>1</v>
      </c>
      <c r="AI815">
        <f>AVERAGE($AG$815:$AG$842)</f>
        <v>2.925925925925926</v>
      </c>
      <c r="AJ815">
        <v>1</v>
      </c>
      <c r="AK815" t="s">
        <v>112</v>
      </c>
      <c r="AL815">
        <v>117</v>
      </c>
      <c r="AN815" t="s">
        <v>864</v>
      </c>
      <c r="AO815">
        <v>0</v>
      </c>
    </row>
    <row r="816" spans="1:41" ht="15.6">
      <c r="A816">
        <v>17</v>
      </c>
      <c r="B816" t="s">
        <v>829</v>
      </c>
      <c r="C816" t="s">
        <v>560</v>
      </c>
      <c r="D816" s="3">
        <f t="shared" ref="D816:D842" si="224">100*(15/28)</f>
        <v>53.571428571428569</v>
      </c>
      <c r="F816">
        <v>2018</v>
      </c>
      <c r="G816">
        <f t="shared" si="215"/>
        <v>7</v>
      </c>
      <c r="H816">
        <f t="shared" ref="H816:H842" si="225">AVERAGE($AD$815:$AD$842)</f>
        <v>0.38232142857142853</v>
      </c>
      <c r="I816">
        <f t="shared" ref="I816:I842" si="226">AVERAGE($AC$815:$AC$842)</f>
        <v>0.67232142857142863</v>
      </c>
      <c r="J816">
        <f t="shared" ref="J816:J842" si="227">COUNTA($A$815:$A$842)</f>
        <v>28</v>
      </c>
      <c r="K816">
        <v>16</v>
      </c>
      <c r="L816">
        <v>190</v>
      </c>
      <c r="M816" s="12">
        <f t="shared" ref="M816:M842" si="228">_xlfn.VAR.P($AD$815:$AD$842)</f>
        <v>0.30398300382653054</v>
      </c>
      <c r="N816">
        <f t="shared" si="223"/>
        <v>0.10419470164527329</v>
      </c>
      <c r="O816">
        <f t="shared" ref="O816:O842" si="229">_xlfn.STDEV.P($AD$815:$AD$842)</f>
        <v>0.55134653696793134</v>
      </c>
      <c r="P816" t="s">
        <v>831</v>
      </c>
      <c r="Q816" t="s">
        <v>743</v>
      </c>
      <c r="R816">
        <v>3.9969999999999999</v>
      </c>
      <c r="S816">
        <f t="shared" ref="S816:S842" si="230">AVERAGE($R$815:$R$842)</f>
        <v>3.7036500000000006</v>
      </c>
      <c r="U816">
        <v>30</v>
      </c>
      <c r="V816" t="s">
        <v>138</v>
      </c>
      <c r="W816">
        <f t="shared" ref="W816:W842" si="231">AVERAGE($U$815:$U$842)</f>
        <v>35.392857142857146</v>
      </c>
      <c r="Y816">
        <v>2014</v>
      </c>
      <c r="Z816">
        <f>2025-AVERAGE($Y$815:$Y$842)</f>
        <v>22.89285714285711</v>
      </c>
      <c r="AA816">
        <v>0.92400000000000004</v>
      </c>
      <c r="AB816">
        <v>0.34699999999999998</v>
      </c>
      <c r="AC816">
        <v>0.49</v>
      </c>
      <c r="AD816" s="3">
        <v>-0.02</v>
      </c>
      <c r="AE816">
        <v>1</v>
      </c>
      <c r="AF816" t="str">
        <f t="shared" si="222"/>
        <v>US</v>
      </c>
      <c r="AG816">
        <v>4</v>
      </c>
      <c r="AH816">
        <v>1</v>
      </c>
      <c r="AI816">
        <f t="shared" ref="AI816:AI842" si="232">AVERAGE($AG$815:$AG$842)</f>
        <v>2.925925925925926</v>
      </c>
      <c r="AJ816">
        <v>1</v>
      </c>
      <c r="AK816" t="s">
        <v>112</v>
      </c>
      <c r="AL816">
        <v>117</v>
      </c>
      <c r="AN816" t="s">
        <v>864</v>
      </c>
      <c r="AO816">
        <v>0</v>
      </c>
    </row>
    <row r="817" spans="1:41" ht="15.6">
      <c r="A817">
        <v>17</v>
      </c>
      <c r="B817" t="s">
        <v>829</v>
      </c>
      <c r="C817" t="s">
        <v>560</v>
      </c>
      <c r="D817" s="3">
        <f t="shared" si="224"/>
        <v>53.571428571428569</v>
      </c>
      <c r="F817">
        <v>2018</v>
      </c>
      <c r="G817">
        <f t="shared" si="215"/>
        <v>7</v>
      </c>
      <c r="H817">
        <f t="shared" si="225"/>
        <v>0.38232142857142853</v>
      </c>
      <c r="I817">
        <f t="shared" si="226"/>
        <v>0.67232142857142863</v>
      </c>
      <c r="J817">
        <f t="shared" si="227"/>
        <v>28</v>
      </c>
      <c r="K817">
        <v>16</v>
      </c>
      <c r="L817">
        <v>190</v>
      </c>
      <c r="M817" s="12">
        <f t="shared" si="228"/>
        <v>0.30398300382653054</v>
      </c>
      <c r="N817">
        <f t="shared" si="223"/>
        <v>0.10419470164527329</v>
      </c>
      <c r="O817">
        <f t="shared" si="229"/>
        <v>0.55134653696793134</v>
      </c>
      <c r="P817" t="s">
        <v>832</v>
      </c>
      <c r="Q817" t="s">
        <v>743</v>
      </c>
      <c r="R817">
        <v>5.0949999999999998</v>
      </c>
      <c r="S817">
        <f t="shared" si="230"/>
        <v>3.7036500000000006</v>
      </c>
      <c r="U817">
        <v>38</v>
      </c>
      <c r="V817" t="s">
        <v>138</v>
      </c>
      <c r="W817">
        <f t="shared" si="231"/>
        <v>35.392857142857146</v>
      </c>
      <c r="Y817">
        <v>2007</v>
      </c>
      <c r="Z817">
        <f>2025-AVERAGE($Y$815:$Y$842)</f>
        <v>22.89285714285711</v>
      </c>
      <c r="AA817">
        <v>0.91700000000000004</v>
      </c>
      <c r="AB817">
        <v>0.17100000000000001</v>
      </c>
      <c r="AC817">
        <v>0.63</v>
      </c>
      <c r="AD817" s="3">
        <v>-0.03</v>
      </c>
      <c r="AE817">
        <v>1</v>
      </c>
      <c r="AF817" t="str">
        <f t="shared" si="222"/>
        <v>US</v>
      </c>
      <c r="AG817">
        <v>3</v>
      </c>
      <c r="AH817">
        <v>1</v>
      </c>
      <c r="AI817">
        <f t="shared" si="232"/>
        <v>2.925925925925926</v>
      </c>
      <c r="AJ817">
        <v>1</v>
      </c>
      <c r="AK817" t="s">
        <v>112</v>
      </c>
      <c r="AL817">
        <v>117</v>
      </c>
      <c r="AN817" t="s">
        <v>864</v>
      </c>
      <c r="AO817">
        <v>0</v>
      </c>
    </row>
    <row r="818" spans="1:41" ht="15.6">
      <c r="A818">
        <v>17</v>
      </c>
      <c r="B818" t="s">
        <v>829</v>
      </c>
      <c r="C818" t="s">
        <v>560</v>
      </c>
      <c r="D818" s="3">
        <f t="shared" si="224"/>
        <v>53.571428571428569</v>
      </c>
      <c r="F818">
        <v>2018</v>
      </c>
      <c r="G818">
        <f t="shared" si="215"/>
        <v>7</v>
      </c>
      <c r="H818">
        <f t="shared" si="225"/>
        <v>0.38232142857142853</v>
      </c>
      <c r="I818">
        <f t="shared" si="226"/>
        <v>0.67232142857142863</v>
      </c>
      <c r="J818">
        <f t="shared" si="227"/>
        <v>28</v>
      </c>
      <c r="K818">
        <v>16</v>
      </c>
      <c r="L818">
        <v>190</v>
      </c>
      <c r="M818" s="12">
        <f t="shared" si="228"/>
        <v>0.30398300382653054</v>
      </c>
      <c r="N818">
        <f t="shared" si="223"/>
        <v>0.10419470164527329</v>
      </c>
      <c r="O818">
        <f t="shared" si="229"/>
        <v>0.55134653696793134</v>
      </c>
      <c r="P818" t="s">
        <v>833</v>
      </c>
      <c r="Q818" t="s">
        <v>857</v>
      </c>
      <c r="R818">
        <v>5.157</v>
      </c>
      <c r="S818">
        <f t="shared" si="230"/>
        <v>3.7036500000000006</v>
      </c>
      <c r="U818">
        <v>80</v>
      </c>
      <c r="V818" t="s">
        <v>138</v>
      </c>
      <c r="W818">
        <f t="shared" si="231"/>
        <v>35.392857142857146</v>
      </c>
      <c r="Y818">
        <v>2009</v>
      </c>
      <c r="Z818">
        <f>2025-AVERAGE($Y$815:$Y$842)</f>
        <v>22.89285714285711</v>
      </c>
      <c r="AA818">
        <v>4.1199999999999998E-7</v>
      </c>
      <c r="AB818">
        <v>1E-10</v>
      </c>
      <c r="AC818">
        <v>0.52</v>
      </c>
      <c r="AD818" s="3">
        <v>0.28999999999999998</v>
      </c>
      <c r="AE818">
        <v>1</v>
      </c>
      <c r="AF818" t="str">
        <f t="shared" si="222"/>
        <v>US</v>
      </c>
      <c r="AG818">
        <v>3</v>
      </c>
      <c r="AH818">
        <v>1</v>
      </c>
      <c r="AI818">
        <f t="shared" si="232"/>
        <v>2.925925925925926</v>
      </c>
      <c r="AJ818">
        <v>1</v>
      </c>
      <c r="AK818" t="s">
        <v>112</v>
      </c>
      <c r="AL818">
        <v>117</v>
      </c>
      <c r="AN818" t="s">
        <v>864</v>
      </c>
      <c r="AO818">
        <v>0</v>
      </c>
    </row>
    <row r="819" spans="1:41" ht="15.6">
      <c r="A819">
        <v>17</v>
      </c>
      <c r="B819" t="s">
        <v>829</v>
      </c>
      <c r="C819" t="s">
        <v>560</v>
      </c>
      <c r="D819" s="3">
        <f t="shared" si="224"/>
        <v>53.571428571428569</v>
      </c>
      <c r="F819">
        <v>2018</v>
      </c>
      <c r="G819">
        <f t="shared" si="215"/>
        <v>7</v>
      </c>
      <c r="H819">
        <f t="shared" si="225"/>
        <v>0.38232142857142853</v>
      </c>
      <c r="I819">
        <f t="shared" si="226"/>
        <v>0.67232142857142863</v>
      </c>
      <c r="J819">
        <f t="shared" si="227"/>
        <v>28</v>
      </c>
      <c r="K819">
        <v>16</v>
      </c>
      <c r="L819">
        <v>190</v>
      </c>
      <c r="M819" s="12">
        <f t="shared" si="228"/>
        <v>0.30398300382653054</v>
      </c>
      <c r="N819">
        <f t="shared" si="223"/>
        <v>0.10419470164527329</v>
      </c>
      <c r="O819">
        <f t="shared" si="229"/>
        <v>0.55134653696793134</v>
      </c>
      <c r="P819" t="s">
        <v>834</v>
      </c>
      <c r="Q819" t="s">
        <v>527</v>
      </c>
      <c r="R819">
        <v>2.1840000000000002</v>
      </c>
      <c r="S819">
        <f t="shared" si="230"/>
        <v>3.7036500000000006</v>
      </c>
      <c r="U819">
        <v>24</v>
      </c>
      <c r="V819" t="s">
        <v>138</v>
      </c>
      <c r="W819">
        <f t="shared" si="231"/>
        <v>35.392857142857146</v>
      </c>
      <c r="Y819">
        <v>2007</v>
      </c>
      <c r="Z819">
        <f>2025-AVERAGE($Y$815:$Y$842)</f>
        <v>22.89285714285711</v>
      </c>
      <c r="AA819">
        <v>0.83099999999999996</v>
      </c>
      <c r="AB819">
        <v>2E-3</v>
      </c>
      <c r="AC819">
        <v>0.74</v>
      </c>
      <c r="AD819" s="3">
        <v>-0.08</v>
      </c>
      <c r="AE819">
        <v>1</v>
      </c>
      <c r="AF819" t="str">
        <f t="shared" si="222"/>
        <v>US</v>
      </c>
      <c r="AG819">
        <v>2</v>
      </c>
      <c r="AH819">
        <v>1</v>
      </c>
      <c r="AI819">
        <f t="shared" si="232"/>
        <v>2.925925925925926</v>
      </c>
      <c r="AJ819">
        <v>1</v>
      </c>
      <c r="AK819" t="s">
        <v>112</v>
      </c>
      <c r="AL819">
        <v>117</v>
      </c>
      <c r="AN819" t="s">
        <v>864</v>
      </c>
      <c r="AO819">
        <v>0</v>
      </c>
    </row>
    <row r="820" spans="1:41" ht="15.6">
      <c r="A820">
        <v>17</v>
      </c>
      <c r="B820" t="s">
        <v>829</v>
      </c>
      <c r="C820" t="s">
        <v>560</v>
      </c>
      <c r="D820" s="3">
        <f t="shared" si="224"/>
        <v>53.571428571428569</v>
      </c>
      <c r="F820">
        <v>2018</v>
      </c>
      <c r="G820">
        <f t="shared" si="215"/>
        <v>7</v>
      </c>
      <c r="H820">
        <f t="shared" si="225"/>
        <v>0.38232142857142853</v>
      </c>
      <c r="I820">
        <f t="shared" si="226"/>
        <v>0.67232142857142863</v>
      </c>
      <c r="J820">
        <f t="shared" si="227"/>
        <v>28</v>
      </c>
      <c r="K820">
        <v>16</v>
      </c>
      <c r="L820">
        <v>190</v>
      </c>
      <c r="M820" s="12">
        <f t="shared" si="228"/>
        <v>0.30398300382653054</v>
      </c>
      <c r="N820">
        <f t="shared" si="223"/>
        <v>0.10419470164527329</v>
      </c>
      <c r="O820">
        <f t="shared" si="229"/>
        <v>0.55134653696793134</v>
      </c>
      <c r="P820" t="s">
        <v>835</v>
      </c>
      <c r="Q820" t="s">
        <v>527</v>
      </c>
      <c r="R820">
        <v>4.3979999999999997</v>
      </c>
      <c r="S820">
        <f t="shared" si="230"/>
        <v>3.7036500000000006</v>
      </c>
      <c r="U820">
        <v>27</v>
      </c>
      <c r="V820" t="s">
        <v>138</v>
      </c>
      <c r="W820">
        <f t="shared" si="231"/>
        <v>35.392857142857146</v>
      </c>
      <c r="Y820">
        <v>2012</v>
      </c>
      <c r="Z820">
        <f>2025-AVERAGE($Y$815:$Y$842)</f>
        <v>22.89285714285711</v>
      </c>
      <c r="AA820">
        <v>0.59399999999999997</v>
      </c>
      <c r="AB820">
        <v>1E-10</v>
      </c>
      <c r="AC820">
        <v>0.87</v>
      </c>
      <c r="AD820" s="3">
        <v>0.12</v>
      </c>
      <c r="AE820">
        <v>1</v>
      </c>
      <c r="AF820" t="str">
        <f t="shared" si="222"/>
        <v>US</v>
      </c>
      <c r="AG820">
        <v>4</v>
      </c>
      <c r="AH820">
        <v>1</v>
      </c>
      <c r="AI820">
        <f t="shared" si="232"/>
        <v>2.925925925925926</v>
      </c>
      <c r="AJ820">
        <v>1</v>
      </c>
      <c r="AK820" t="s">
        <v>112</v>
      </c>
      <c r="AL820">
        <v>117</v>
      </c>
      <c r="AN820" t="s">
        <v>864</v>
      </c>
      <c r="AO820">
        <v>0</v>
      </c>
    </row>
    <row r="821" spans="1:41" ht="15.6">
      <c r="A821">
        <v>17</v>
      </c>
      <c r="B821" t="s">
        <v>829</v>
      </c>
      <c r="C821" t="s">
        <v>560</v>
      </c>
      <c r="D821" s="3">
        <f t="shared" si="224"/>
        <v>53.571428571428569</v>
      </c>
      <c r="F821">
        <v>2018</v>
      </c>
      <c r="G821">
        <f t="shared" si="215"/>
        <v>7</v>
      </c>
      <c r="H821">
        <f t="shared" si="225"/>
        <v>0.38232142857142853</v>
      </c>
      <c r="I821">
        <f t="shared" si="226"/>
        <v>0.67232142857142863</v>
      </c>
      <c r="J821">
        <f t="shared" si="227"/>
        <v>28</v>
      </c>
      <c r="K821">
        <v>16</v>
      </c>
      <c r="L821">
        <v>190</v>
      </c>
      <c r="M821" s="12">
        <f t="shared" si="228"/>
        <v>0.30398300382653054</v>
      </c>
      <c r="N821">
        <f t="shared" si="223"/>
        <v>0.10419470164527329</v>
      </c>
      <c r="O821">
        <f t="shared" si="229"/>
        <v>0.55134653696793134</v>
      </c>
      <c r="P821" t="s">
        <v>836</v>
      </c>
      <c r="Q821" t="s">
        <v>529</v>
      </c>
      <c r="R821">
        <v>4.1890000000000001</v>
      </c>
      <c r="S821">
        <f t="shared" si="230"/>
        <v>3.7036500000000006</v>
      </c>
      <c r="U821">
        <v>42</v>
      </c>
      <c r="V821" t="s">
        <v>138</v>
      </c>
      <c r="W821">
        <f t="shared" si="231"/>
        <v>35.392857142857146</v>
      </c>
      <c r="Y821">
        <v>2002</v>
      </c>
      <c r="Z821">
        <f>2025-AVERAGE($Y$815:$Y$842)</f>
        <v>22.89285714285711</v>
      </c>
      <c r="AA821">
        <v>4.6500000000000003E-9</v>
      </c>
      <c r="AB821">
        <v>1E-10</v>
      </c>
      <c r="AC821">
        <v>1.605</v>
      </c>
      <c r="AD821" s="3">
        <v>1.825</v>
      </c>
      <c r="AE821">
        <v>1</v>
      </c>
      <c r="AF821" t="str">
        <f t="shared" si="222"/>
        <v>US</v>
      </c>
      <c r="AG821">
        <v>2</v>
      </c>
      <c r="AH821">
        <v>1</v>
      </c>
      <c r="AI821">
        <f t="shared" si="232"/>
        <v>2.925925925925926</v>
      </c>
      <c r="AJ821">
        <v>1</v>
      </c>
      <c r="AK821" t="s">
        <v>112</v>
      </c>
      <c r="AL821">
        <v>117</v>
      </c>
      <c r="AN821" t="s">
        <v>864</v>
      </c>
      <c r="AO821">
        <v>0</v>
      </c>
    </row>
    <row r="822" spans="1:41" ht="15.6">
      <c r="A822">
        <v>17</v>
      </c>
      <c r="B822" t="s">
        <v>829</v>
      </c>
      <c r="C822" t="s">
        <v>560</v>
      </c>
      <c r="D822" s="3">
        <f t="shared" si="224"/>
        <v>53.571428571428569</v>
      </c>
      <c r="F822">
        <v>2018</v>
      </c>
      <c r="G822">
        <f t="shared" si="215"/>
        <v>7</v>
      </c>
      <c r="H822">
        <f t="shared" si="225"/>
        <v>0.38232142857142853</v>
      </c>
      <c r="I822">
        <f t="shared" si="226"/>
        <v>0.67232142857142863</v>
      </c>
      <c r="J822">
        <f t="shared" si="227"/>
        <v>28</v>
      </c>
      <c r="K822">
        <v>16</v>
      </c>
      <c r="L822">
        <v>190</v>
      </c>
      <c r="M822" s="12">
        <f t="shared" si="228"/>
        <v>0.30398300382653054</v>
      </c>
      <c r="N822">
        <f t="shared" si="223"/>
        <v>0.10419470164527329</v>
      </c>
      <c r="O822">
        <f t="shared" si="229"/>
        <v>0.55134653696793134</v>
      </c>
      <c r="P822" t="s">
        <v>837</v>
      </c>
      <c r="Q822" t="s">
        <v>499</v>
      </c>
      <c r="R822">
        <v>2.6349999999999998</v>
      </c>
      <c r="S822">
        <f t="shared" si="230"/>
        <v>3.7036500000000006</v>
      </c>
      <c r="U822">
        <v>31</v>
      </c>
      <c r="V822" t="s">
        <v>138</v>
      </c>
      <c r="W822">
        <f t="shared" si="231"/>
        <v>35.392857142857146</v>
      </c>
      <c r="Y822">
        <v>2009</v>
      </c>
      <c r="Z822">
        <f>2025-AVERAGE($Y$815:$Y$842)</f>
        <v>22.89285714285711</v>
      </c>
      <c r="AA822">
        <v>0.871</v>
      </c>
      <c r="AB822">
        <v>2.4E-2</v>
      </c>
      <c r="AC822">
        <v>0.7</v>
      </c>
      <c r="AD822" s="3">
        <v>0.05</v>
      </c>
      <c r="AE822">
        <v>1</v>
      </c>
      <c r="AF822" t="str">
        <f t="shared" si="222"/>
        <v>US</v>
      </c>
      <c r="AG822">
        <v>4</v>
      </c>
      <c r="AH822">
        <v>1</v>
      </c>
      <c r="AI822">
        <f t="shared" si="232"/>
        <v>2.925925925925926</v>
      </c>
      <c r="AJ822">
        <v>1</v>
      </c>
      <c r="AK822" t="s">
        <v>112</v>
      </c>
      <c r="AL822">
        <v>117</v>
      </c>
      <c r="AN822" t="s">
        <v>864</v>
      </c>
      <c r="AO822">
        <v>0</v>
      </c>
    </row>
    <row r="823" spans="1:41" ht="15.6">
      <c r="A823">
        <v>17</v>
      </c>
      <c r="B823" t="s">
        <v>829</v>
      </c>
      <c r="C823" t="s">
        <v>560</v>
      </c>
      <c r="D823" s="3">
        <f t="shared" si="224"/>
        <v>53.571428571428569</v>
      </c>
      <c r="F823">
        <v>2018</v>
      </c>
      <c r="G823">
        <f t="shared" si="215"/>
        <v>7</v>
      </c>
      <c r="H823">
        <f t="shared" si="225"/>
        <v>0.38232142857142853</v>
      </c>
      <c r="I823">
        <f t="shared" si="226"/>
        <v>0.67232142857142863</v>
      </c>
      <c r="J823">
        <f t="shared" si="227"/>
        <v>28</v>
      </c>
      <c r="K823">
        <v>16</v>
      </c>
      <c r="L823">
        <v>190</v>
      </c>
      <c r="M823" s="12">
        <f t="shared" si="228"/>
        <v>0.30398300382653054</v>
      </c>
      <c r="N823">
        <f t="shared" si="223"/>
        <v>0.10419470164527329</v>
      </c>
      <c r="O823">
        <f t="shared" si="229"/>
        <v>0.55134653696793134</v>
      </c>
      <c r="P823" t="s">
        <v>838</v>
      </c>
      <c r="Q823" t="s">
        <v>535</v>
      </c>
      <c r="R823">
        <v>1.248</v>
      </c>
      <c r="S823">
        <f t="shared" si="230"/>
        <v>3.7036500000000006</v>
      </c>
      <c r="U823">
        <v>23</v>
      </c>
      <c r="V823" t="s">
        <v>755</v>
      </c>
      <c r="W823">
        <f t="shared" si="231"/>
        <v>35.392857142857146</v>
      </c>
      <c r="Y823">
        <v>2008</v>
      </c>
      <c r="Z823">
        <f>2025-AVERAGE($Y$815:$Y$842)</f>
        <v>22.89285714285711</v>
      </c>
      <c r="AA823">
        <v>0.77300000000000002</v>
      </c>
      <c r="AB823">
        <v>9.1999999999999998E-2</v>
      </c>
      <c r="AC823">
        <v>0.3</v>
      </c>
      <c r="AD823" s="3">
        <v>0.04</v>
      </c>
      <c r="AE823">
        <v>1</v>
      </c>
      <c r="AF823" t="str">
        <f t="shared" si="222"/>
        <v>US</v>
      </c>
      <c r="AG823">
        <v>2</v>
      </c>
      <c r="AH823">
        <v>1</v>
      </c>
      <c r="AI823">
        <f t="shared" si="232"/>
        <v>2.925925925925926</v>
      </c>
      <c r="AJ823">
        <v>1</v>
      </c>
      <c r="AK823" t="s">
        <v>112</v>
      </c>
      <c r="AL823">
        <v>117</v>
      </c>
      <c r="AN823" t="s">
        <v>864</v>
      </c>
      <c r="AO823">
        <v>0</v>
      </c>
    </row>
    <row r="824" spans="1:41" ht="15.6">
      <c r="A824">
        <v>17</v>
      </c>
      <c r="B824" t="s">
        <v>829</v>
      </c>
      <c r="C824" t="s">
        <v>560</v>
      </c>
      <c r="D824" s="3">
        <f t="shared" si="224"/>
        <v>53.571428571428569</v>
      </c>
      <c r="F824">
        <v>2018</v>
      </c>
      <c r="G824">
        <f t="shared" si="215"/>
        <v>7</v>
      </c>
      <c r="H824">
        <f t="shared" si="225"/>
        <v>0.38232142857142853</v>
      </c>
      <c r="I824">
        <f t="shared" si="226"/>
        <v>0.67232142857142863</v>
      </c>
      <c r="J824">
        <f t="shared" si="227"/>
        <v>28</v>
      </c>
      <c r="K824">
        <v>16</v>
      </c>
      <c r="L824">
        <v>190</v>
      </c>
      <c r="M824" s="12">
        <f t="shared" si="228"/>
        <v>0.30398300382653054</v>
      </c>
      <c r="N824">
        <f t="shared" si="223"/>
        <v>0.10419470164527329</v>
      </c>
      <c r="O824">
        <f t="shared" si="229"/>
        <v>0.55134653696793134</v>
      </c>
      <c r="P824" t="s">
        <v>839</v>
      </c>
      <c r="Q824" t="s">
        <v>529</v>
      </c>
      <c r="R824" t="s">
        <v>261</v>
      </c>
      <c r="S824">
        <f t="shared" si="230"/>
        <v>3.7036500000000006</v>
      </c>
      <c r="U824">
        <v>72</v>
      </c>
      <c r="V824" t="s">
        <v>138</v>
      </c>
      <c r="W824">
        <f t="shared" si="231"/>
        <v>35.392857142857146</v>
      </c>
      <c r="Y824">
        <v>1997</v>
      </c>
      <c r="Z824">
        <f>2025-AVERAGE($Y$815:$Y$842)</f>
        <v>22.89285714285711</v>
      </c>
      <c r="AA824">
        <v>0.69699999999999995</v>
      </c>
      <c r="AB824">
        <v>0.183</v>
      </c>
      <c r="AC824">
        <v>0.19</v>
      </c>
      <c r="AD824" s="3">
        <v>-0.03</v>
      </c>
      <c r="AE824">
        <v>1</v>
      </c>
      <c r="AF824" t="str">
        <f t="shared" si="222"/>
        <v>US</v>
      </c>
      <c r="AG824">
        <v>4</v>
      </c>
      <c r="AH824">
        <v>1</v>
      </c>
      <c r="AI824">
        <f t="shared" si="232"/>
        <v>2.925925925925926</v>
      </c>
      <c r="AJ824">
        <v>1</v>
      </c>
      <c r="AK824" t="s">
        <v>112</v>
      </c>
      <c r="AL824">
        <v>117</v>
      </c>
      <c r="AN824" t="s">
        <v>864</v>
      </c>
      <c r="AO824">
        <v>0</v>
      </c>
    </row>
    <row r="825" spans="1:41" ht="15.6">
      <c r="A825">
        <v>17</v>
      </c>
      <c r="B825" t="s">
        <v>829</v>
      </c>
      <c r="C825" t="s">
        <v>560</v>
      </c>
      <c r="D825" s="3">
        <f t="shared" si="224"/>
        <v>53.571428571428569</v>
      </c>
      <c r="F825">
        <v>2018</v>
      </c>
      <c r="G825">
        <f t="shared" si="215"/>
        <v>7</v>
      </c>
      <c r="H825">
        <f t="shared" si="225"/>
        <v>0.38232142857142853</v>
      </c>
      <c r="I825">
        <f t="shared" si="226"/>
        <v>0.67232142857142863</v>
      </c>
      <c r="J825">
        <f t="shared" si="227"/>
        <v>28</v>
      </c>
      <c r="K825">
        <v>16</v>
      </c>
      <c r="L825">
        <v>190</v>
      </c>
      <c r="M825" s="12">
        <f t="shared" si="228"/>
        <v>0.30398300382653054</v>
      </c>
      <c r="N825">
        <f t="shared" si="223"/>
        <v>0.10419470164527329</v>
      </c>
      <c r="O825">
        <f t="shared" si="229"/>
        <v>0.55134653696793134</v>
      </c>
      <c r="P825" t="s">
        <v>840</v>
      </c>
      <c r="Q825" t="s">
        <v>470</v>
      </c>
      <c r="R825">
        <v>0.91600000000000004</v>
      </c>
      <c r="S825">
        <f t="shared" si="230"/>
        <v>3.7036500000000006</v>
      </c>
      <c r="U825">
        <v>43</v>
      </c>
      <c r="V825" t="s">
        <v>755</v>
      </c>
      <c r="W825">
        <f t="shared" si="231"/>
        <v>35.392857142857146</v>
      </c>
      <c r="Y825">
        <v>2007</v>
      </c>
      <c r="Z825">
        <f>2025-AVERAGE($Y$815:$Y$842)</f>
        <v>22.89285714285711</v>
      </c>
      <c r="AA825">
        <v>1E-10</v>
      </c>
      <c r="AB825">
        <v>1E-10</v>
      </c>
      <c r="AC825">
        <v>0.34</v>
      </c>
      <c r="AD825" s="3">
        <v>0.25</v>
      </c>
      <c r="AE825">
        <v>1</v>
      </c>
      <c r="AF825" t="str">
        <f t="shared" si="222"/>
        <v>US</v>
      </c>
      <c r="AG825">
        <v>5</v>
      </c>
      <c r="AH825">
        <v>1</v>
      </c>
      <c r="AI825">
        <f t="shared" si="232"/>
        <v>2.925925925925926</v>
      </c>
      <c r="AJ825">
        <v>1</v>
      </c>
      <c r="AK825" t="s">
        <v>112</v>
      </c>
      <c r="AL825">
        <v>117</v>
      </c>
      <c r="AN825" t="s">
        <v>864</v>
      </c>
      <c r="AO825">
        <v>0</v>
      </c>
    </row>
    <row r="826" spans="1:41" ht="15.6">
      <c r="A826">
        <v>17</v>
      </c>
      <c r="B826" t="s">
        <v>829</v>
      </c>
      <c r="C826" t="s">
        <v>560</v>
      </c>
      <c r="D826" s="3">
        <f t="shared" si="224"/>
        <v>53.571428571428569</v>
      </c>
      <c r="F826">
        <v>2018</v>
      </c>
      <c r="G826">
        <f t="shared" si="215"/>
        <v>7</v>
      </c>
      <c r="H826">
        <f t="shared" si="225"/>
        <v>0.38232142857142853</v>
      </c>
      <c r="I826">
        <f t="shared" si="226"/>
        <v>0.67232142857142863</v>
      </c>
      <c r="J826">
        <f t="shared" si="227"/>
        <v>28</v>
      </c>
      <c r="K826">
        <v>16</v>
      </c>
      <c r="L826">
        <v>190</v>
      </c>
      <c r="M826" s="12">
        <f t="shared" si="228"/>
        <v>0.30398300382653054</v>
      </c>
      <c r="N826">
        <f t="shared" si="223"/>
        <v>0.10419470164527329</v>
      </c>
      <c r="O826">
        <f t="shared" si="229"/>
        <v>0.55134653696793134</v>
      </c>
      <c r="P826" t="s">
        <v>841</v>
      </c>
      <c r="Q826" t="s">
        <v>527</v>
      </c>
      <c r="R826">
        <v>4.3979999999999997</v>
      </c>
      <c r="S826">
        <f t="shared" si="230"/>
        <v>3.7036500000000006</v>
      </c>
      <c r="U826">
        <v>37</v>
      </c>
      <c r="V826" t="s">
        <v>138</v>
      </c>
      <c r="W826">
        <f t="shared" si="231"/>
        <v>35.392857142857146</v>
      </c>
      <c r="Y826">
        <v>2012</v>
      </c>
      <c r="Z826">
        <f>2025-AVERAGE($Y$815:$Y$842)</f>
        <v>22.89285714285711</v>
      </c>
      <c r="AA826">
        <v>0.82</v>
      </c>
      <c r="AB826">
        <v>7.9000000000000001E-2</v>
      </c>
      <c r="AC826">
        <v>0.56999999999999995</v>
      </c>
      <c r="AD826" s="3">
        <v>-0.04</v>
      </c>
      <c r="AE826">
        <v>1</v>
      </c>
      <c r="AF826" t="str">
        <f t="shared" si="222"/>
        <v>US</v>
      </c>
      <c r="AG826">
        <v>4</v>
      </c>
      <c r="AH826">
        <v>1</v>
      </c>
      <c r="AI826">
        <f t="shared" si="232"/>
        <v>2.925925925925926</v>
      </c>
      <c r="AJ826">
        <v>1</v>
      </c>
      <c r="AK826" t="s">
        <v>112</v>
      </c>
      <c r="AL826">
        <v>117</v>
      </c>
      <c r="AN826" t="s">
        <v>864</v>
      </c>
      <c r="AO826">
        <v>0</v>
      </c>
    </row>
    <row r="827" spans="1:41" ht="15.6">
      <c r="A827">
        <v>17</v>
      </c>
      <c r="B827" t="s">
        <v>829</v>
      </c>
      <c r="C827" t="s">
        <v>560</v>
      </c>
      <c r="D827" s="3">
        <f t="shared" si="224"/>
        <v>53.571428571428569</v>
      </c>
      <c r="F827">
        <v>2018</v>
      </c>
      <c r="G827">
        <f t="shared" si="215"/>
        <v>7</v>
      </c>
      <c r="H827">
        <f t="shared" si="225"/>
        <v>0.38232142857142853</v>
      </c>
      <c r="I827">
        <f t="shared" si="226"/>
        <v>0.67232142857142863</v>
      </c>
      <c r="J827">
        <f t="shared" si="227"/>
        <v>28</v>
      </c>
      <c r="K827">
        <v>16</v>
      </c>
      <c r="L827">
        <v>190</v>
      </c>
      <c r="M827" s="12">
        <f t="shared" si="228"/>
        <v>0.30398300382653054</v>
      </c>
      <c r="N827">
        <f t="shared" si="223"/>
        <v>0.10419470164527329</v>
      </c>
      <c r="O827">
        <f t="shared" si="229"/>
        <v>0.55134653696793134</v>
      </c>
      <c r="P827" t="s">
        <v>842</v>
      </c>
      <c r="Q827" t="s">
        <v>521</v>
      </c>
      <c r="R827" t="s">
        <v>261</v>
      </c>
      <c r="S827">
        <f t="shared" si="230"/>
        <v>3.7036500000000006</v>
      </c>
      <c r="U827">
        <v>33</v>
      </c>
      <c r="V827" t="s">
        <v>138</v>
      </c>
      <c r="W827">
        <f t="shared" si="231"/>
        <v>35.392857142857146</v>
      </c>
      <c r="Y827">
        <v>1977</v>
      </c>
      <c r="Z827">
        <f>2025-AVERAGE($Y$815:$Y$842)</f>
        <v>22.89285714285711</v>
      </c>
      <c r="AA827">
        <v>6.9800000000000001E-6</v>
      </c>
      <c r="AB827">
        <v>1E-10</v>
      </c>
      <c r="AC827">
        <v>0.8</v>
      </c>
      <c r="AD827" s="3">
        <v>0.95</v>
      </c>
      <c r="AE827">
        <v>1</v>
      </c>
      <c r="AF827" t="str">
        <f t="shared" si="222"/>
        <v>US</v>
      </c>
      <c r="AG827">
        <v>3</v>
      </c>
      <c r="AH827">
        <v>1</v>
      </c>
      <c r="AI827">
        <f t="shared" si="232"/>
        <v>2.925925925925926</v>
      </c>
      <c r="AJ827">
        <v>1</v>
      </c>
      <c r="AK827" t="s">
        <v>112</v>
      </c>
      <c r="AL827">
        <v>117</v>
      </c>
      <c r="AN827" t="s">
        <v>864</v>
      </c>
      <c r="AO827">
        <v>0</v>
      </c>
    </row>
    <row r="828" spans="1:41" ht="15.6">
      <c r="A828">
        <v>17</v>
      </c>
      <c r="B828" t="s">
        <v>829</v>
      </c>
      <c r="C828" t="s">
        <v>560</v>
      </c>
      <c r="D828" s="3">
        <f t="shared" si="224"/>
        <v>53.571428571428569</v>
      </c>
      <c r="F828">
        <v>2018</v>
      </c>
      <c r="G828">
        <f t="shared" si="215"/>
        <v>7</v>
      </c>
      <c r="H828">
        <f t="shared" si="225"/>
        <v>0.38232142857142853</v>
      </c>
      <c r="I828">
        <f t="shared" si="226"/>
        <v>0.67232142857142863</v>
      </c>
      <c r="J828">
        <f t="shared" si="227"/>
        <v>28</v>
      </c>
      <c r="K828">
        <v>16</v>
      </c>
      <c r="L828">
        <v>190</v>
      </c>
      <c r="M828" s="12">
        <f t="shared" si="228"/>
        <v>0.30398300382653054</v>
      </c>
      <c r="N828">
        <f t="shared" si="223"/>
        <v>0.10419470164527329</v>
      </c>
      <c r="O828">
        <f t="shared" si="229"/>
        <v>0.55134653696793134</v>
      </c>
      <c r="P828" t="s">
        <v>842</v>
      </c>
      <c r="Q828" t="s">
        <v>521</v>
      </c>
      <c r="R828" t="s">
        <v>261</v>
      </c>
      <c r="S828">
        <f t="shared" si="230"/>
        <v>3.7036500000000006</v>
      </c>
      <c r="U828">
        <v>33</v>
      </c>
      <c r="V828" t="s">
        <v>138</v>
      </c>
      <c r="W828">
        <f t="shared" si="231"/>
        <v>35.392857142857146</v>
      </c>
      <c r="Y828">
        <v>1977</v>
      </c>
      <c r="Z828">
        <f>2025-AVERAGE($Y$815:$Y$842)</f>
        <v>22.89285714285711</v>
      </c>
      <c r="AA828">
        <v>6.9800000000000001E-6</v>
      </c>
      <c r="AB828">
        <v>1E-10</v>
      </c>
      <c r="AC828">
        <v>0.8</v>
      </c>
      <c r="AD828" s="3">
        <v>0.95</v>
      </c>
      <c r="AE828">
        <v>1</v>
      </c>
      <c r="AF828" t="str">
        <f t="shared" si="222"/>
        <v>US</v>
      </c>
      <c r="AG828">
        <v>3</v>
      </c>
      <c r="AH828">
        <v>1</v>
      </c>
      <c r="AI828">
        <f t="shared" si="232"/>
        <v>2.925925925925926</v>
      </c>
      <c r="AJ828">
        <v>1</v>
      </c>
      <c r="AK828" t="s">
        <v>112</v>
      </c>
      <c r="AL828">
        <v>117</v>
      </c>
      <c r="AN828" t="s">
        <v>864</v>
      </c>
      <c r="AO828">
        <v>0</v>
      </c>
    </row>
    <row r="829" spans="1:41" ht="15.6">
      <c r="A829">
        <v>17</v>
      </c>
      <c r="B829" t="s">
        <v>829</v>
      </c>
      <c r="C829" t="s">
        <v>560</v>
      </c>
      <c r="D829" s="3">
        <f t="shared" si="224"/>
        <v>53.571428571428569</v>
      </c>
      <c r="F829">
        <v>2018</v>
      </c>
      <c r="G829">
        <f t="shared" si="215"/>
        <v>7</v>
      </c>
      <c r="H829">
        <f t="shared" si="225"/>
        <v>0.38232142857142853</v>
      </c>
      <c r="I829">
        <f t="shared" si="226"/>
        <v>0.67232142857142863</v>
      </c>
      <c r="J829">
        <f t="shared" si="227"/>
        <v>28</v>
      </c>
      <c r="K829">
        <v>16</v>
      </c>
      <c r="L829">
        <v>190</v>
      </c>
      <c r="M829" s="12">
        <f t="shared" si="228"/>
        <v>0.30398300382653054</v>
      </c>
      <c r="N829">
        <f t="shared" si="223"/>
        <v>0.10419470164527329</v>
      </c>
      <c r="O829">
        <f t="shared" si="229"/>
        <v>0.55134653696793134</v>
      </c>
      <c r="P829" t="s">
        <v>843</v>
      </c>
      <c r="Q829" t="s">
        <v>858</v>
      </c>
      <c r="R829">
        <v>2.09</v>
      </c>
      <c r="S829">
        <f t="shared" si="230"/>
        <v>3.7036500000000006</v>
      </c>
      <c r="U829">
        <v>40</v>
      </c>
      <c r="V829" t="s">
        <v>138</v>
      </c>
      <c r="W829">
        <f t="shared" si="231"/>
        <v>35.392857142857146</v>
      </c>
      <c r="Y829">
        <v>2007</v>
      </c>
      <c r="Z829">
        <f>2025-AVERAGE($Y$815:$Y$842)</f>
        <v>22.89285714285711</v>
      </c>
      <c r="AA829">
        <v>0.9</v>
      </c>
      <c r="AB829">
        <v>0.16200000000000001</v>
      </c>
      <c r="AC829">
        <v>0.55000000000000004</v>
      </c>
      <c r="AD829" s="3">
        <v>0.03</v>
      </c>
      <c r="AE829">
        <v>1</v>
      </c>
      <c r="AF829" t="str">
        <f t="shared" si="222"/>
        <v>US</v>
      </c>
      <c r="AG829">
        <v>2</v>
      </c>
      <c r="AH829">
        <v>1</v>
      </c>
      <c r="AI829">
        <f t="shared" si="232"/>
        <v>2.925925925925926</v>
      </c>
      <c r="AJ829">
        <v>1</v>
      </c>
      <c r="AK829" t="s">
        <v>112</v>
      </c>
      <c r="AL829">
        <v>117</v>
      </c>
      <c r="AN829" t="s">
        <v>864</v>
      </c>
      <c r="AO829">
        <v>0</v>
      </c>
    </row>
    <row r="830" spans="1:41" ht="15.6">
      <c r="A830">
        <v>17</v>
      </c>
      <c r="B830" t="s">
        <v>829</v>
      </c>
      <c r="C830" t="s">
        <v>560</v>
      </c>
      <c r="D830" s="3">
        <f t="shared" si="224"/>
        <v>53.571428571428569</v>
      </c>
      <c r="F830">
        <v>2018</v>
      </c>
      <c r="G830">
        <f t="shared" si="215"/>
        <v>7</v>
      </c>
      <c r="H830">
        <f t="shared" si="225"/>
        <v>0.38232142857142853</v>
      </c>
      <c r="I830">
        <f t="shared" si="226"/>
        <v>0.67232142857142863</v>
      </c>
      <c r="J830">
        <f t="shared" si="227"/>
        <v>28</v>
      </c>
      <c r="K830">
        <v>16</v>
      </c>
      <c r="L830">
        <v>190</v>
      </c>
      <c r="M830" s="12">
        <f t="shared" si="228"/>
        <v>0.30398300382653054</v>
      </c>
      <c r="N830">
        <f t="shared" si="223"/>
        <v>0.10419470164527329</v>
      </c>
      <c r="O830">
        <f t="shared" si="229"/>
        <v>0.55134653696793134</v>
      </c>
      <c r="P830" t="s">
        <v>844</v>
      </c>
      <c r="Q830" t="s">
        <v>859</v>
      </c>
      <c r="R830" t="s">
        <v>261</v>
      </c>
      <c r="S830">
        <f t="shared" si="230"/>
        <v>3.7036500000000006</v>
      </c>
      <c r="U830">
        <v>27</v>
      </c>
      <c r="V830" t="s">
        <v>138</v>
      </c>
      <c r="W830">
        <f t="shared" si="231"/>
        <v>35.392857142857146</v>
      </c>
      <c r="Y830">
        <v>1981</v>
      </c>
      <c r="Z830">
        <f>2025-AVERAGE($Y$815:$Y$842)</f>
        <v>22.89285714285711</v>
      </c>
      <c r="AA830">
        <v>3.1E-2</v>
      </c>
      <c r="AB830">
        <v>1E-10</v>
      </c>
      <c r="AC830">
        <v>1.08</v>
      </c>
      <c r="AD830" s="3">
        <v>0.4</v>
      </c>
      <c r="AE830">
        <v>1</v>
      </c>
      <c r="AF830" t="str">
        <f t="shared" si="222"/>
        <v>US</v>
      </c>
      <c r="AG830">
        <v>2</v>
      </c>
      <c r="AH830">
        <v>1</v>
      </c>
      <c r="AI830">
        <f t="shared" si="232"/>
        <v>2.925925925925926</v>
      </c>
      <c r="AJ830">
        <v>1</v>
      </c>
      <c r="AK830" t="s">
        <v>112</v>
      </c>
      <c r="AL830">
        <v>117</v>
      </c>
      <c r="AN830" t="s">
        <v>864</v>
      </c>
      <c r="AO830">
        <v>0</v>
      </c>
    </row>
    <row r="831" spans="1:41" ht="15.6">
      <c r="A831">
        <v>17</v>
      </c>
      <c r="B831" t="s">
        <v>829</v>
      </c>
      <c r="C831" t="s">
        <v>560</v>
      </c>
      <c r="D831" s="3">
        <f t="shared" si="224"/>
        <v>53.571428571428569</v>
      </c>
      <c r="F831">
        <v>2018</v>
      </c>
      <c r="G831">
        <f t="shared" si="215"/>
        <v>7</v>
      </c>
      <c r="H831">
        <f t="shared" si="225"/>
        <v>0.38232142857142853</v>
      </c>
      <c r="I831">
        <f t="shared" si="226"/>
        <v>0.67232142857142863</v>
      </c>
      <c r="J831">
        <f t="shared" si="227"/>
        <v>28</v>
      </c>
      <c r="K831">
        <v>16</v>
      </c>
      <c r="L831">
        <v>190</v>
      </c>
      <c r="M831" s="12">
        <f t="shared" si="228"/>
        <v>0.30398300382653054</v>
      </c>
      <c r="N831">
        <f t="shared" si="223"/>
        <v>0.10419470164527329</v>
      </c>
      <c r="O831">
        <f t="shared" si="229"/>
        <v>0.55134653696793134</v>
      </c>
      <c r="P831" t="s">
        <v>840</v>
      </c>
      <c r="Q831" t="s">
        <v>470</v>
      </c>
      <c r="R831">
        <v>0.91600000000000004</v>
      </c>
      <c r="S831">
        <f t="shared" si="230"/>
        <v>3.7036500000000006</v>
      </c>
      <c r="U831">
        <v>43</v>
      </c>
      <c r="V831" t="s">
        <v>755</v>
      </c>
      <c r="W831">
        <f t="shared" si="231"/>
        <v>35.392857142857146</v>
      </c>
      <c r="Y831">
        <v>2007</v>
      </c>
      <c r="Z831">
        <f>2025-AVERAGE($Y$815:$Y$842)</f>
        <v>22.89285714285711</v>
      </c>
      <c r="AA831">
        <v>4.8499999999999998E-8</v>
      </c>
      <c r="AB831">
        <v>1E-10</v>
      </c>
      <c r="AC831">
        <v>2.5</v>
      </c>
      <c r="AD831" s="3">
        <v>1.35</v>
      </c>
      <c r="AE831">
        <v>1</v>
      </c>
      <c r="AF831" t="str">
        <f t="shared" si="222"/>
        <v>US</v>
      </c>
      <c r="AG831">
        <v>5</v>
      </c>
      <c r="AH831">
        <v>1</v>
      </c>
      <c r="AI831">
        <f t="shared" si="232"/>
        <v>2.925925925925926</v>
      </c>
      <c r="AJ831">
        <v>1</v>
      </c>
      <c r="AK831" t="s">
        <v>112</v>
      </c>
      <c r="AL831">
        <v>117</v>
      </c>
      <c r="AN831" t="s">
        <v>864</v>
      </c>
      <c r="AO831">
        <v>0</v>
      </c>
    </row>
    <row r="832" spans="1:41" ht="15.6">
      <c r="A832">
        <v>17</v>
      </c>
      <c r="B832" t="s">
        <v>829</v>
      </c>
      <c r="C832" t="s">
        <v>560</v>
      </c>
      <c r="D832" s="3">
        <f t="shared" si="224"/>
        <v>53.571428571428569</v>
      </c>
      <c r="F832">
        <v>2018</v>
      </c>
      <c r="G832">
        <f t="shared" si="215"/>
        <v>7</v>
      </c>
      <c r="H832">
        <f t="shared" si="225"/>
        <v>0.38232142857142853</v>
      </c>
      <c r="I832">
        <f t="shared" si="226"/>
        <v>0.67232142857142863</v>
      </c>
      <c r="J832">
        <f t="shared" si="227"/>
        <v>28</v>
      </c>
      <c r="K832">
        <v>16</v>
      </c>
      <c r="L832">
        <v>190</v>
      </c>
      <c r="M832" s="12">
        <f t="shared" si="228"/>
        <v>0.30398300382653054</v>
      </c>
      <c r="N832">
        <f t="shared" si="223"/>
        <v>0.10419470164527329</v>
      </c>
      <c r="O832">
        <f t="shared" si="229"/>
        <v>0.55134653696793134</v>
      </c>
      <c r="P832" t="s">
        <v>845</v>
      </c>
      <c r="Q832" t="s">
        <v>529</v>
      </c>
      <c r="R832">
        <v>6.0960000000000001</v>
      </c>
      <c r="S832">
        <f t="shared" si="230"/>
        <v>3.7036500000000006</v>
      </c>
      <c r="U832">
        <v>60</v>
      </c>
      <c r="V832" t="s">
        <v>138</v>
      </c>
      <c r="W832">
        <f t="shared" si="231"/>
        <v>35.392857142857146</v>
      </c>
      <c r="Y832">
        <v>2008</v>
      </c>
      <c r="Z832">
        <f>2025-AVERAGE($Y$815:$Y$842)</f>
        <v>22.89285714285711</v>
      </c>
      <c r="AA832">
        <v>0.32500000000000001</v>
      </c>
      <c r="AB832">
        <v>1E-10</v>
      </c>
      <c r="AC832">
        <v>0.39</v>
      </c>
      <c r="AD832" s="3">
        <v>0.18</v>
      </c>
      <c r="AE832">
        <v>1</v>
      </c>
      <c r="AF832" t="str">
        <f t="shared" si="222"/>
        <v>US</v>
      </c>
      <c r="AG832">
        <v>2</v>
      </c>
      <c r="AH832">
        <v>1</v>
      </c>
      <c r="AI832">
        <f t="shared" si="232"/>
        <v>2.925925925925926</v>
      </c>
      <c r="AJ832">
        <v>1</v>
      </c>
      <c r="AK832" t="s">
        <v>112</v>
      </c>
      <c r="AL832">
        <v>117</v>
      </c>
      <c r="AN832" t="s">
        <v>864</v>
      </c>
      <c r="AO832">
        <v>0</v>
      </c>
    </row>
    <row r="833" spans="1:41" ht="15.6">
      <c r="A833">
        <v>17</v>
      </c>
      <c r="B833" t="s">
        <v>829</v>
      </c>
      <c r="C833" t="s">
        <v>560</v>
      </c>
      <c r="D833" s="3">
        <f t="shared" si="224"/>
        <v>53.571428571428569</v>
      </c>
      <c r="F833">
        <v>2018</v>
      </c>
      <c r="G833">
        <f t="shared" si="215"/>
        <v>7</v>
      </c>
      <c r="H833">
        <f t="shared" si="225"/>
        <v>0.38232142857142853</v>
      </c>
      <c r="I833">
        <f t="shared" si="226"/>
        <v>0.67232142857142863</v>
      </c>
      <c r="J833">
        <f t="shared" si="227"/>
        <v>28</v>
      </c>
      <c r="K833">
        <v>16</v>
      </c>
      <c r="L833">
        <v>190</v>
      </c>
      <c r="M833" s="12">
        <f t="shared" si="228"/>
        <v>0.30398300382653054</v>
      </c>
      <c r="N833">
        <f t="shared" si="223"/>
        <v>0.10419470164527329</v>
      </c>
      <c r="O833">
        <f t="shared" si="229"/>
        <v>0.55134653696793134</v>
      </c>
      <c r="P833" t="s">
        <v>846</v>
      </c>
      <c r="Q833" t="s">
        <v>527</v>
      </c>
      <c r="R833">
        <v>4.1210000000000004</v>
      </c>
      <c r="S833">
        <f t="shared" si="230"/>
        <v>3.7036500000000006</v>
      </c>
      <c r="U833">
        <v>27</v>
      </c>
      <c r="V833" t="s">
        <v>138</v>
      </c>
      <c r="W833">
        <f t="shared" si="231"/>
        <v>35.392857142857146</v>
      </c>
      <c r="Y833">
        <v>2010</v>
      </c>
      <c r="Z833">
        <f>2025-AVERAGE($Y$815:$Y$842)</f>
        <v>22.89285714285711</v>
      </c>
      <c r="AA833" t="s">
        <v>261</v>
      </c>
      <c r="AB833">
        <v>8.0399999999999993E-6</v>
      </c>
      <c r="AC833">
        <v>-0.28499999999999998</v>
      </c>
      <c r="AD833" s="3">
        <v>0.16500000000000001</v>
      </c>
      <c r="AE833">
        <v>1</v>
      </c>
      <c r="AF833" t="str">
        <f t="shared" si="222"/>
        <v>US</v>
      </c>
      <c r="AG833">
        <v>5</v>
      </c>
      <c r="AH833">
        <v>1</v>
      </c>
      <c r="AI833">
        <f t="shared" si="232"/>
        <v>2.925925925925926</v>
      </c>
      <c r="AJ833">
        <v>1</v>
      </c>
      <c r="AK833" t="s">
        <v>112</v>
      </c>
      <c r="AL833">
        <v>117</v>
      </c>
      <c r="AN833" t="s">
        <v>864</v>
      </c>
      <c r="AO833">
        <v>0</v>
      </c>
    </row>
    <row r="834" spans="1:41" ht="15.6">
      <c r="A834">
        <v>17</v>
      </c>
      <c r="B834" t="s">
        <v>829</v>
      </c>
      <c r="C834" t="s">
        <v>560</v>
      </c>
      <c r="D834" s="3">
        <f t="shared" si="224"/>
        <v>53.571428571428569</v>
      </c>
      <c r="F834">
        <v>2018</v>
      </c>
      <c r="G834">
        <f t="shared" si="215"/>
        <v>7</v>
      </c>
      <c r="H834">
        <f t="shared" si="225"/>
        <v>0.38232142857142853</v>
      </c>
      <c r="I834">
        <f t="shared" si="226"/>
        <v>0.67232142857142863</v>
      </c>
      <c r="J834">
        <f t="shared" si="227"/>
        <v>28</v>
      </c>
      <c r="K834">
        <v>16</v>
      </c>
      <c r="L834">
        <v>190</v>
      </c>
      <c r="M834" s="12">
        <f t="shared" si="228"/>
        <v>0.30398300382653054</v>
      </c>
      <c r="N834">
        <f t="shared" si="223"/>
        <v>0.10419470164527329</v>
      </c>
      <c r="O834">
        <f t="shared" si="229"/>
        <v>0.55134653696793134</v>
      </c>
      <c r="P834" t="s">
        <v>847</v>
      </c>
      <c r="Q834" t="s">
        <v>473</v>
      </c>
      <c r="R834">
        <v>1.3560000000000001</v>
      </c>
      <c r="S834">
        <f t="shared" si="230"/>
        <v>3.7036500000000006</v>
      </c>
      <c r="U834">
        <v>58</v>
      </c>
      <c r="V834" t="s">
        <v>138</v>
      </c>
      <c r="W834">
        <f t="shared" si="231"/>
        <v>35.392857142857146</v>
      </c>
      <c r="Y834">
        <v>2002</v>
      </c>
      <c r="Z834">
        <f>2025-AVERAGE($Y$815:$Y$842)</f>
        <v>22.89285714285711</v>
      </c>
      <c r="AA834">
        <v>1E-10</v>
      </c>
      <c r="AB834">
        <v>1E-10</v>
      </c>
      <c r="AC834">
        <v>0.33500000000000002</v>
      </c>
      <c r="AD834" s="3">
        <v>0.755</v>
      </c>
      <c r="AE834">
        <v>1</v>
      </c>
      <c r="AF834" t="str">
        <f t="shared" si="222"/>
        <v>US</v>
      </c>
      <c r="AG834">
        <v>4</v>
      </c>
      <c r="AH834">
        <v>1</v>
      </c>
      <c r="AI834">
        <f t="shared" si="232"/>
        <v>2.925925925925926</v>
      </c>
      <c r="AJ834">
        <v>1</v>
      </c>
      <c r="AK834" t="s">
        <v>112</v>
      </c>
      <c r="AL834">
        <v>117</v>
      </c>
      <c r="AN834" t="s">
        <v>864</v>
      </c>
      <c r="AO834">
        <v>0</v>
      </c>
    </row>
    <row r="835" spans="1:41" ht="15.6">
      <c r="A835">
        <v>17</v>
      </c>
      <c r="B835" t="s">
        <v>829</v>
      </c>
      <c r="C835" t="s">
        <v>560</v>
      </c>
      <c r="D835" s="3">
        <f t="shared" si="224"/>
        <v>53.571428571428569</v>
      </c>
      <c r="F835">
        <v>2018</v>
      </c>
      <c r="G835">
        <f t="shared" si="215"/>
        <v>7</v>
      </c>
      <c r="H835">
        <f t="shared" si="225"/>
        <v>0.38232142857142853</v>
      </c>
      <c r="I835">
        <f t="shared" si="226"/>
        <v>0.67232142857142863</v>
      </c>
      <c r="J835">
        <f t="shared" si="227"/>
        <v>28</v>
      </c>
      <c r="K835">
        <v>16</v>
      </c>
      <c r="L835">
        <v>190</v>
      </c>
      <c r="M835" s="12">
        <f t="shared" si="228"/>
        <v>0.30398300382653054</v>
      </c>
      <c r="N835">
        <f t="shared" si="223"/>
        <v>0.10419470164527329</v>
      </c>
      <c r="O835">
        <f t="shared" si="229"/>
        <v>0.55134653696793134</v>
      </c>
      <c r="P835" t="s">
        <v>848</v>
      </c>
      <c r="Q835" t="s">
        <v>535</v>
      </c>
      <c r="R835" t="s">
        <v>261</v>
      </c>
      <c r="S835">
        <f t="shared" si="230"/>
        <v>3.7036500000000006</v>
      </c>
      <c r="U835">
        <v>26</v>
      </c>
      <c r="V835" t="s">
        <v>755</v>
      </c>
      <c r="W835">
        <f t="shared" si="231"/>
        <v>35.392857142857146</v>
      </c>
      <c r="Y835">
        <v>1998</v>
      </c>
      <c r="Z835">
        <f>2025-AVERAGE($Y$815:$Y$842)</f>
        <v>22.89285714285711</v>
      </c>
      <c r="AA835">
        <v>6.1799999999999995E-4</v>
      </c>
      <c r="AB835">
        <v>1E-10</v>
      </c>
      <c r="AC835">
        <v>0.69</v>
      </c>
      <c r="AD835" s="3">
        <v>0.78</v>
      </c>
      <c r="AE835">
        <v>1</v>
      </c>
      <c r="AF835" t="str">
        <f t="shared" si="222"/>
        <v>US</v>
      </c>
      <c r="AG835">
        <v>1</v>
      </c>
      <c r="AH835">
        <v>1</v>
      </c>
      <c r="AI835">
        <f t="shared" si="232"/>
        <v>2.925925925925926</v>
      </c>
      <c r="AJ835">
        <v>1</v>
      </c>
      <c r="AK835" t="s">
        <v>112</v>
      </c>
      <c r="AL835">
        <v>117</v>
      </c>
      <c r="AN835" t="s">
        <v>864</v>
      </c>
      <c r="AO835">
        <v>0</v>
      </c>
    </row>
    <row r="836" spans="1:41" ht="15.6">
      <c r="A836">
        <v>17</v>
      </c>
      <c r="B836" t="s">
        <v>829</v>
      </c>
      <c r="C836" t="s">
        <v>560</v>
      </c>
      <c r="D836" s="3">
        <f t="shared" si="224"/>
        <v>53.571428571428569</v>
      </c>
      <c r="F836">
        <v>2018</v>
      </c>
      <c r="G836">
        <f t="shared" si="215"/>
        <v>7</v>
      </c>
      <c r="H836">
        <f t="shared" si="225"/>
        <v>0.38232142857142853</v>
      </c>
      <c r="I836">
        <f t="shared" si="226"/>
        <v>0.67232142857142863</v>
      </c>
      <c r="J836">
        <f t="shared" si="227"/>
        <v>28</v>
      </c>
      <c r="K836">
        <v>16</v>
      </c>
      <c r="L836">
        <v>190</v>
      </c>
      <c r="M836" s="12">
        <f t="shared" si="228"/>
        <v>0.30398300382653054</v>
      </c>
      <c r="N836">
        <f t="shared" si="223"/>
        <v>0.10419470164527329</v>
      </c>
      <c r="O836">
        <f t="shared" si="229"/>
        <v>0.55134653696793134</v>
      </c>
      <c r="P836" t="s">
        <v>849</v>
      </c>
      <c r="Q836" t="s">
        <v>529</v>
      </c>
      <c r="R836">
        <v>5.157</v>
      </c>
      <c r="S836">
        <f t="shared" si="230"/>
        <v>3.7036500000000006</v>
      </c>
      <c r="U836">
        <v>57</v>
      </c>
      <c r="V836" t="s">
        <v>138</v>
      </c>
      <c r="W836">
        <f t="shared" si="231"/>
        <v>35.392857142857146</v>
      </c>
      <c r="Y836">
        <v>2009</v>
      </c>
      <c r="Z836">
        <f>2025-AVERAGE($Y$815:$Y$842)</f>
        <v>22.89285714285711</v>
      </c>
      <c r="AA836">
        <v>1.8599999999999999E-4</v>
      </c>
      <c r="AB836">
        <v>1E-10</v>
      </c>
      <c r="AC836">
        <v>0.8</v>
      </c>
      <c r="AD836" s="3">
        <v>0.95</v>
      </c>
      <c r="AE836">
        <v>1</v>
      </c>
      <c r="AF836" t="str">
        <f t="shared" si="222"/>
        <v>US</v>
      </c>
      <c r="AG836">
        <v>2</v>
      </c>
      <c r="AH836">
        <v>1</v>
      </c>
      <c r="AI836">
        <f t="shared" si="232"/>
        <v>2.925925925925926</v>
      </c>
      <c r="AJ836">
        <v>1</v>
      </c>
      <c r="AK836" t="s">
        <v>112</v>
      </c>
      <c r="AL836">
        <v>117</v>
      </c>
      <c r="AN836" t="s">
        <v>864</v>
      </c>
      <c r="AO836">
        <v>0</v>
      </c>
    </row>
    <row r="837" spans="1:41" ht="15.6">
      <c r="A837">
        <v>17</v>
      </c>
      <c r="B837" t="s">
        <v>829</v>
      </c>
      <c r="C837" t="s">
        <v>560</v>
      </c>
      <c r="D837" s="3">
        <f t="shared" si="224"/>
        <v>53.571428571428569</v>
      </c>
      <c r="F837">
        <v>2018</v>
      </c>
      <c r="G837">
        <f t="shared" si="215"/>
        <v>7</v>
      </c>
      <c r="H837">
        <f t="shared" si="225"/>
        <v>0.38232142857142853</v>
      </c>
      <c r="I837">
        <f t="shared" si="226"/>
        <v>0.67232142857142863</v>
      </c>
      <c r="J837">
        <f t="shared" si="227"/>
        <v>28</v>
      </c>
      <c r="K837">
        <v>16</v>
      </c>
      <c r="L837">
        <v>190</v>
      </c>
      <c r="M837" s="12">
        <f t="shared" si="228"/>
        <v>0.30398300382653054</v>
      </c>
      <c r="N837">
        <f t="shared" si="223"/>
        <v>0.10419470164527329</v>
      </c>
      <c r="O837">
        <f t="shared" si="229"/>
        <v>0.55134653696793134</v>
      </c>
      <c r="P837" t="s">
        <v>850</v>
      </c>
      <c r="Q837" t="s">
        <v>111</v>
      </c>
      <c r="R837">
        <v>10.542</v>
      </c>
      <c r="S837">
        <f t="shared" si="230"/>
        <v>3.7036500000000006</v>
      </c>
      <c r="U837">
        <v>13</v>
      </c>
      <c r="V837" t="s">
        <v>138</v>
      </c>
      <c r="W837">
        <f t="shared" si="231"/>
        <v>35.392857142857146</v>
      </c>
      <c r="Y837">
        <v>2006</v>
      </c>
      <c r="Z837">
        <f>2025-AVERAGE($Y$815:$Y$842)</f>
        <v>22.89285714285711</v>
      </c>
      <c r="AA837">
        <v>0.99399999999999999</v>
      </c>
      <c r="AB837">
        <v>0.91</v>
      </c>
      <c r="AC837">
        <v>1.02</v>
      </c>
      <c r="AD837" s="3">
        <v>0</v>
      </c>
      <c r="AE837">
        <v>1</v>
      </c>
      <c r="AF837" t="str">
        <f t="shared" si="222"/>
        <v>US</v>
      </c>
      <c r="AG837">
        <v>2</v>
      </c>
      <c r="AH837">
        <v>1</v>
      </c>
      <c r="AI837">
        <f t="shared" si="232"/>
        <v>2.925925925925926</v>
      </c>
      <c r="AJ837">
        <v>1</v>
      </c>
      <c r="AK837" t="s">
        <v>112</v>
      </c>
      <c r="AL837">
        <v>117</v>
      </c>
      <c r="AN837" t="s">
        <v>864</v>
      </c>
      <c r="AO837">
        <v>0</v>
      </c>
    </row>
    <row r="838" spans="1:41" ht="15.6">
      <c r="A838">
        <v>17</v>
      </c>
      <c r="B838" t="s">
        <v>829</v>
      </c>
      <c r="C838" t="s">
        <v>560</v>
      </c>
      <c r="D838" s="3">
        <f t="shared" si="224"/>
        <v>53.571428571428569</v>
      </c>
      <c r="F838">
        <v>2018</v>
      </c>
      <c r="G838">
        <f t="shared" si="215"/>
        <v>7</v>
      </c>
      <c r="H838">
        <f t="shared" si="225"/>
        <v>0.38232142857142853</v>
      </c>
      <c r="I838">
        <f t="shared" si="226"/>
        <v>0.67232142857142863</v>
      </c>
      <c r="J838">
        <f t="shared" si="227"/>
        <v>28</v>
      </c>
      <c r="K838">
        <v>16</v>
      </c>
      <c r="L838">
        <v>190</v>
      </c>
      <c r="M838" s="12">
        <f t="shared" si="228"/>
        <v>0.30398300382653054</v>
      </c>
      <c r="N838">
        <f t="shared" si="223"/>
        <v>0.10419470164527329</v>
      </c>
      <c r="O838">
        <f t="shared" si="229"/>
        <v>0.55134653696793134</v>
      </c>
      <c r="P838" t="s">
        <v>851</v>
      </c>
      <c r="Q838" t="s">
        <v>524</v>
      </c>
      <c r="R838" t="s">
        <v>261</v>
      </c>
      <c r="S838">
        <f t="shared" si="230"/>
        <v>3.7036500000000006</v>
      </c>
      <c r="U838">
        <v>22</v>
      </c>
      <c r="V838" t="s">
        <v>755</v>
      </c>
      <c r="W838">
        <f t="shared" si="231"/>
        <v>35.392857142857146</v>
      </c>
      <c r="Y838">
        <v>1991</v>
      </c>
      <c r="Z838">
        <f>2025-AVERAGE($Y$815:$Y$842)</f>
        <v>22.89285714285711</v>
      </c>
      <c r="AA838">
        <v>0.73399999999999999</v>
      </c>
      <c r="AB838">
        <v>2E-3</v>
      </c>
      <c r="AC838">
        <v>0.48</v>
      </c>
      <c r="AD838" s="3">
        <v>-7.0000000000000007E-2</v>
      </c>
      <c r="AE838">
        <v>1</v>
      </c>
      <c r="AF838" t="str">
        <f t="shared" si="222"/>
        <v>US</v>
      </c>
      <c r="AH838">
        <v>1</v>
      </c>
      <c r="AI838">
        <f t="shared" si="232"/>
        <v>2.925925925925926</v>
      </c>
      <c r="AJ838">
        <v>1</v>
      </c>
      <c r="AK838" t="s">
        <v>112</v>
      </c>
      <c r="AL838">
        <v>117</v>
      </c>
      <c r="AN838" t="s">
        <v>864</v>
      </c>
      <c r="AO838">
        <v>0</v>
      </c>
    </row>
    <row r="839" spans="1:41" ht="15.6">
      <c r="A839">
        <v>17</v>
      </c>
      <c r="B839" t="s">
        <v>829</v>
      </c>
      <c r="C839" t="s">
        <v>560</v>
      </c>
      <c r="D839" s="3">
        <f t="shared" si="224"/>
        <v>53.571428571428569</v>
      </c>
      <c r="F839">
        <v>2018</v>
      </c>
      <c r="G839">
        <f t="shared" si="215"/>
        <v>7</v>
      </c>
      <c r="H839">
        <f t="shared" si="225"/>
        <v>0.38232142857142853</v>
      </c>
      <c r="I839">
        <f t="shared" si="226"/>
        <v>0.67232142857142863</v>
      </c>
      <c r="J839">
        <f t="shared" si="227"/>
        <v>28</v>
      </c>
      <c r="K839">
        <v>16</v>
      </c>
      <c r="L839">
        <v>190</v>
      </c>
      <c r="M839" s="12">
        <f t="shared" si="228"/>
        <v>0.30398300382653054</v>
      </c>
      <c r="N839">
        <f t="shared" si="223"/>
        <v>0.10419470164527329</v>
      </c>
      <c r="O839">
        <f t="shared" si="229"/>
        <v>0.55134653696793134</v>
      </c>
      <c r="P839" t="s">
        <v>852</v>
      </c>
      <c r="Q839" t="s">
        <v>860</v>
      </c>
      <c r="R839" t="s">
        <v>261</v>
      </c>
      <c r="S839">
        <f t="shared" si="230"/>
        <v>3.7036500000000006</v>
      </c>
      <c r="U839">
        <v>41</v>
      </c>
      <c r="V839" t="s">
        <v>138</v>
      </c>
      <c r="W839">
        <f t="shared" si="231"/>
        <v>35.392857142857146</v>
      </c>
      <c r="Y839">
        <v>1993</v>
      </c>
      <c r="Z839">
        <f>2025-AVERAGE($Y$815:$Y$842)</f>
        <v>22.89285714285711</v>
      </c>
      <c r="AA839">
        <v>0.186</v>
      </c>
      <c r="AB839">
        <v>5.4699999999999997E-10</v>
      </c>
      <c r="AC839">
        <v>0.35</v>
      </c>
      <c r="AD839" s="3">
        <v>-0.13</v>
      </c>
      <c r="AE839">
        <v>1</v>
      </c>
      <c r="AF839" t="str">
        <f t="shared" si="222"/>
        <v>US</v>
      </c>
      <c r="AG839">
        <v>1</v>
      </c>
      <c r="AH839">
        <v>1</v>
      </c>
      <c r="AI839">
        <f t="shared" si="232"/>
        <v>2.925925925925926</v>
      </c>
      <c r="AJ839">
        <v>1</v>
      </c>
      <c r="AK839" t="s">
        <v>112</v>
      </c>
      <c r="AL839">
        <v>117</v>
      </c>
      <c r="AN839" t="s">
        <v>864</v>
      </c>
      <c r="AO839">
        <v>0</v>
      </c>
    </row>
    <row r="840" spans="1:41" ht="15.6">
      <c r="A840">
        <v>17</v>
      </c>
      <c r="B840" t="s">
        <v>829</v>
      </c>
      <c r="C840" t="s">
        <v>560</v>
      </c>
      <c r="D840" s="3">
        <f t="shared" si="224"/>
        <v>53.571428571428569</v>
      </c>
      <c r="F840">
        <v>2018</v>
      </c>
      <c r="G840">
        <f t="shared" si="215"/>
        <v>7</v>
      </c>
      <c r="H840">
        <f t="shared" si="225"/>
        <v>0.38232142857142853</v>
      </c>
      <c r="I840">
        <f t="shared" si="226"/>
        <v>0.67232142857142863</v>
      </c>
      <c r="J840">
        <f t="shared" si="227"/>
        <v>28</v>
      </c>
      <c r="K840">
        <v>16</v>
      </c>
      <c r="L840">
        <v>190</v>
      </c>
      <c r="M840" s="12">
        <f t="shared" si="228"/>
        <v>0.30398300382653054</v>
      </c>
      <c r="N840">
        <f t="shared" si="223"/>
        <v>0.10419470164527329</v>
      </c>
      <c r="O840">
        <f t="shared" si="229"/>
        <v>0.55134653696793134</v>
      </c>
      <c r="P840" t="s">
        <v>853</v>
      </c>
      <c r="Q840" t="s">
        <v>861</v>
      </c>
      <c r="R840">
        <v>6.9560000000000004</v>
      </c>
      <c r="S840">
        <f t="shared" si="230"/>
        <v>3.7036500000000006</v>
      </c>
      <c r="U840">
        <v>31</v>
      </c>
      <c r="V840" t="s">
        <v>755</v>
      </c>
      <c r="W840">
        <f t="shared" si="231"/>
        <v>35.392857142857146</v>
      </c>
      <c r="Y840">
        <v>2014</v>
      </c>
      <c r="Z840">
        <f>2025-AVERAGE($Y$815:$Y$842)</f>
        <v>22.89285714285711</v>
      </c>
      <c r="AA840">
        <v>0.81599999999999995</v>
      </c>
      <c r="AB840">
        <v>0.27400000000000002</v>
      </c>
      <c r="AC840">
        <v>0.31</v>
      </c>
      <c r="AD840" s="3">
        <v>-0.03</v>
      </c>
      <c r="AE840">
        <v>1</v>
      </c>
      <c r="AF840" t="str">
        <f t="shared" si="222"/>
        <v>US</v>
      </c>
      <c r="AG840">
        <v>4</v>
      </c>
      <c r="AH840">
        <v>1</v>
      </c>
      <c r="AI840">
        <f t="shared" si="232"/>
        <v>2.925925925925926</v>
      </c>
      <c r="AJ840">
        <v>1</v>
      </c>
      <c r="AK840" t="s">
        <v>112</v>
      </c>
      <c r="AL840">
        <v>117</v>
      </c>
      <c r="AN840" t="s">
        <v>864</v>
      </c>
      <c r="AO840">
        <v>0</v>
      </c>
    </row>
    <row r="841" spans="1:41" ht="15.6">
      <c r="A841">
        <v>17</v>
      </c>
      <c r="B841" t="s">
        <v>829</v>
      </c>
      <c r="C841" t="s">
        <v>560</v>
      </c>
      <c r="D841" s="3">
        <f t="shared" si="224"/>
        <v>53.571428571428569</v>
      </c>
      <c r="F841">
        <v>2018</v>
      </c>
      <c r="G841">
        <f t="shared" si="215"/>
        <v>7</v>
      </c>
      <c r="H841">
        <f t="shared" si="225"/>
        <v>0.38232142857142853</v>
      </c>
      <c r="I841">
        <f t="shared" si="226"/>
        <v>0.67232142857142863</v>
      </c>
      <c r="J841">
        <f t="shared" si="227"/>
        <v>28</v>
      </c>
      <c r="K841">
        <v>16</v>
      </c>
      <c r="L841">
        <v>190</v>
      </c>
      <c r="M841" s="12">
        <f t="shared" si="228"/>
        <v>0.30398300382653054</v>
      </c>
      <c r="N841">
        <f t="shared" si="223"/>
        <v>0.10419470164527329</v>
      </c>
      <c r="O841">
        <f t="shared" si="229"/>
        <v>0.55134653696793134</v>
      </c>
      <c r="P841" t="s">
        <v>854</v>
      </c>
      <c r="Q841" t="s">
        <v>862</v>
      </c>
      <c r="R841">
        <v>0.89900000000000002</v>
      </c>
      <c r="S841">
        <f t="shared" si="230"/>
        <v>3.7036500000000006</v>
      </c>
      <c r="U841">
        <v>7</v>
      </c>
      <c r="V841" t="s">
        <v>755</v>
      </c>
      <c r="W841">
        <f t="shared" si="231"/>
        <v>35.392857142857146</v>
      </c>
      <c r="Y841">
        <v>2003</v>
      </c>
      <c r="Z841">
        <f>2025-AVERAGE($Y$815:$Y$842)</f>
        <v>22.89285714285711</v>
      </c>
      <c r="AA841">
        <v>1E-10</v>
      </c>
      <c r="AB841">
        <v>1E-10</v>
      </c>
      <c r="AC841">
        <v>1.45</v>
      </c>
      <c r="AD841" s="3">
        <v>1.75</v>
      </c>
      <c r="AE841">
        <v>1</v>
      </c>
      <c r="AF841" t="str">
        <f t="shared" si="222"/>
        <v>US</v>
      </c>
      <c r="AG841">
        <v>1</v>
      </c>
      <c r="AH841">
        <v>1</v>
      </c>
      <c r="AI841">
        <f t="shared" si="232"/>
        <v>2.925925925925926</v>
      </c>
      <c r="AJ841">
        <v>1</v>
      </c>
      <c r="AK841" t="s">
        <v>112</v>
      </c>
      <c r="AL841">
        <v>117</v>
      </c>
      <c r="AN841" t="s">
        <v>864</v>
      </c>
      <c r="AO841">
        <v>0</v>
      </c>
    </row>
    <row r="842" spans="1:41" ht="15.6">
      <c r="A842">
        <v>17</v>
      </c>
      <c r="B842" t="s">
        <v>829</v>
      </c>
      <c r="C842" t="s">
        <v>560</v>
      </c>
      <c r="D842" s="3">
        <f t="shared" si="224"/>
        <v>53.571428571428569</v>
      </c>
      <c r="F842">
        <v>2018</v>
      </c>
      <c r="G842">
        <f t="shared" si="215"/>
        <v>7</v>
      </c>
      <c r="H842">
        <f t="shared" si="225"/>
        <v>0.38232142857142853</v>
      </c>
      <c r="I842">
        <f t="shared" si="226"/>
        <v>0.67232142857142863</v>
      </c>
      <c r="J842">
        <f t="shared" si="227"/>
        <v>28</v>
      </c>
      <c r="K842">
        <v>16</v>
      </c>
      <c r="L842">
        <v>190</v>
      </c>
      <c r="M842" s="12">
        <f t="shared" si="228"/>
        <v>0.30398300382653054</v>
      </c>
      <c r="N842">
        <f t="shared" si="223"/>
        <v>0.10419470164527329</v>
      </c>
      <c r="O842">
        <f t="shared" si="229"/>
        <v>0.55134653696793134</v>
      </c>
      <c r="P842" t="s">
        <v>855</v>
      </c>
      <c r="Q842" t="s">
        <v>863</v>
      </c>
      <c r="R842" t="s">
        <v>261</v>
      </c>
      <c r="S842">
        <f t="shared" si="230"/>
        <v>3.7036500000000006</v>
      </c>
      <c r="U842">
        <v>10</v>
      </c>
      <c r="V842" t="s">
        <v>138</v>
      </c>
      <c r="W842">
        <f t="shared" si="231"/>
        <v>35.392857142857146</v>
      </c>
      <c r="Y842">
        <v>1978</v>
      </c>
      <c r="Z842">
        <f>2025-AVERAGE($Y$815:$Y$842)</f>
        <v>22.89285714285711</v>
      </c>
      <c r="AA842">
        <v>0.97299999999999998</v>
      </c>
      <c r="AB842">
        <v>0.55000000000000004</v>
      </c>
      <c r="AC842">
        <v>0.48</v>
      </c>
      <c r="AD842" s="3">
        <v>0.01</v>
      </c>
      <c r="AE842">
        <v>1</v>
      </c>
      <c r="AF842" t="str">
        <f t="shared" si="222"/>
        <v>US</v>
      </c>
      <c r="AG842">
        <v>2</v>
      </c>
      <c r="AH842">
        <v>1</v>
      </c>
      <c r="AI842">
        <f t="shared" si="232"/>
        <v>2.925925925925926</v>
      </c>
      <c r="AJ842">
        <v>1</v>
      </c>
      <c r="AK842" t="s">
        <v>112</v>
      </c>
      <c r="AL842">
        <v>117</v>
      </c>
      <c r="AN842" t="s">
        <v>864</v>
      </c>
      <c r="AO842">
        <v>0</v>
      </c>
    </row>
    <row r="843" spans="1:41">
      <c r="A843">
        <v>18</v>
      </c>
      <c r="B843" t="s">
        <v>562</v>
      </c>
      <c r="C843" t="s">
        <v>561</v>
      </c>
      <c r="D843" s="3">
        <f>100*(28/66)</f>
        <v>42.424242424242422</v>
      </c>
      <c r="F843">
        <v>2018</v>
      </c>
      <c r="G843">
        <f t="shared" si="215"/>
        <v>7</v>
      </c>
      <c r="J843">
        <f>COUNTA($A$843:$A$908)</f>
        <v>66</v>
      </c>
      <c r="K843">
        <v>9</v>
      </c>
      <c r="L843">
        <v>7</v>
      </c>
      <c r="P843" t="s">
        <v>865</v>
      </c>
      <c r="Q843" t="s">
        <v>506</v>
      </c>
      <c r="R843" t="s">
        <v>261</v>
      </c>
      <c r="S843">
        <f>AVERAGE($R$843:$R$908)</f>
        <v>5.93163888888889</v>
      </c>
      <c r="U843">
        <v>44</v>
      </c>
      <c r="V843" t="s">
        <v>138</v>
      </c>
      <c r="W843">
        <f>AVERAGE($U$843:$U$908)</f>
        <v>32.734375</v>
      </c>
      <c r="Y843">
        <v>1998</v>
      </c>
      <c r="Z843">
        <f>2025-AVERAGE($Y$843:$Y$908)</f>
        <v>25.954545454545496</v>
      </c>
      <c r="AA843">
        <v>1E-3</v>
      </c>
      <c r="AB843">
        <v>2.35E-2</v>
      </c>
      <c r="AE843">
        <v>0</v>
      </c>
      <c r="AF843" t="str">
        <f t="shared" si="142"/>
        <v>Non-US</v>
      </c>
      <c r="AG843">
        <v>12</v>
      </c>
      <c r="AH843">
        <v>4</v>
      </c>
      <c r="AI843">
        <f>AVERAGE($AG$843:$AG$908)</f>
        <v>11.253846153846155</v>
      </c>
      <c r="AJ843">
        <f>AVERAGE($AH$843:$AH$908)</f>
        <v>12.890625</v>
      </c>
      <c r="AK843" t="s">
        <v>319</v>
      </c>
      <c r="AL843">
        <v>53</v>
      </c>
      <c r="AN843" t="s">
        <v>943</v>
      </c>
      <c r="AO843">
        <v>4.0990000000000002</v>
      </c>
    </row>
    <row r="844" spans="1:41">
      <c r="A844">
        <v>18</v>
      </c>
      <c r="B844" t="s">
        <v>562</v>
      </c>
      <c r="C844" t="s">
        <v>561</v>
      </c>
      <c r="D844" s="3">
        <f t="shared" ref="D844:D907" si="233">100*(28/66)</f>
        <v>42.424242424242422</v>
      </c>
      <c r="F844">
        <v>2018</v>
      </c>
      <c r="G844">
        <f t="shared" si="215"/>
        <v>7</v>
      </c>
      <c r="J844">
        <f t="shared" ref="J844:J907" si="234">COUNTA($A$843:$A$908)</f>
        <v>66</v>
      </c>
      <c r="K844">
        <v>9</v>
      </c>
      <c r="L844">
        <v>7</v>
      </c>
      <c r="P844" t="s">
        <v>866</v>
      </c>
      <c r="Q844" t="s">
        <v>867</v>
      </c>
      <c r="R844" t="s">
        <v>261</v>
      </c>
      <c r="S844">
        <f t="shared" ref="S844:S907" si="235">AVERAGE($R$843:$R$908)</f>
        <v>5.93163888888889</v>
      </c>
      <c r="U844">
        <v>33</v>
      </c>
      <c r="V844" t="s">
        <v>755</v>
      </c>
      <c r="W844">
        <f t="shared" ref="W844:W907" si="236">AVERAGE($U$843:$U$908)</f>
        <v>32.734375</v>
      </c>
      <c r="Y844">
        <v>1989</v>
      </c>
      <c r="Z844">
        <f>2025-AVERAGE($Y$843:$Y$908)</f>
        <v>25.954545454545496</v>
      </c>
      <c r="AE844">
        <v>0</v>
      </c>
      <c r="AF844" t="str">
        <f t="shared" si="142"/>
        <v>Non-US</v>
      </c>
      <c r="AG844">
        <v>10</v>
      </c>
      <c r="AH844">
        <v>5</v>
      </c>
      <c r="AI844">
        <f t="shared" ref="AI844:AI907" si="237">AVERAGE($AG$843:$AG$908)</f>
        <v>11.253846153846155</v>
      </c>
      <c r="AJ844">
        <f t="shared" ref="AJ844:AJ907" si="238">AVERAGE($AH$843:$AH$908)</f>
        <v>12.890625</v>
      </c>
      <c r="AK844" t="s">
        <v>319</v>
      </c>
      <c r="AL844">
        <v>53</v>
      </c>
      <c r="AN844" t="s">
        <v>943</v>
      </c>
      <c r="AO844">
        <v>4.0990000000000002</v>
      </c>
    </row>
    <row r="845" spans="1:41">
      <c r="A845">
        <v>18</v>
      </c>
      <c r="B845" t="s">
        <v>562</v>
      </c>
      <c r="C845" t="s">
        <v>561</v>
      </c>
      <c r="D845" s="3">
        <f t="shared" si="233"/>
        <v>42.424242424242422</v>
      </c>
      <c r="F845">
        <v>2018</v>
      </c>
      <c r="G845">
        <f t="shared" si="215"/>
        <v>7</v>
      </c>
      <c r="J845">
        <f t="shared" si="234"/>
        <v>66</v>
      </c>
      <c r="K845">
        <v>9</v>
      </c>
      <c r="L845">
        <v>7</v>
      </c>
      <c r="P845" t="s">
        <v>869</v>
      </c>
      <c r="Q845" t="s">
        <v>506</v>
      </c>
      <c r="R845">
        <v>8.3670000000000009</v>
      </c>
      <c r="S845">
        <f t="shared" si="235"/>
        <v>5.93163888888889</v>
      </c>
      <c r="U845">
        <v>29</v>
      </c>
      <c r="V845" t="s">
        <v>138</v>
      </c>
      <c r="W845">
        <f t="shared" si="236"/>
        <v>32.734375</v>
      </c>
      <c r="Y845">
        <v>2000</v>
      </c>
      <c r="Z845">
        <f>2025-AVERAGE($Y$843:$Y$908)</f>
        <v>25.954545454545496</v>
      </c>
      <c r="AA845">
        <v>4.0000000000000001E-3</v>
      </c>
      <c r="AB845">
        <v>0.02</v>
      </c>
      <c r="AE845">
        <v>0</v>
      </c>
      <c r="AF845" t="str">
        <f t="shared" si="142"/>
        <v>Non-US</v>
      </c>
      <c r="AG845">
        <v>4</v>
      </c>
      <c r="AH845">
        <v>6</v>
      </c>
      <c r="AI845">
        <f t="shared" si="237"/>
        <v>11.253846153846155</v>
      </c>
      <c r="AJ845">
        <f t="shared" si="238"/>
        <v>12.890625</v>
      </c>
      <c r="AK845" t="s">
        <v>319</v>
      </c>
      <c r="AL845">
        <v>53</v>
      </c>
      <c r="AN845" t="s">
        <v>943</v>
      </c>
      <c r="AO845">
        <v>4.0990000000000002</v>
      </c>
    </row>
    <row r="846" spans="1:41">
      <c r="A846">
        <v>18</v>
      </c>
      <c r="B846" t="s">
        <v>562</v>
      </c>
      <c r="C846" t="s">
        <v>561</v>
      </c>
      <c r="D846" s="3">
        <f t="shared" si="233"/>
        <v>42.424242424242422</v>
      </c>
      <c r="F846">
        <v>2018</v>
      </c>
      <c r="G846">
        <f t="shared" si="215"/>
        <v>7</v>
      </c>
      <c r="J846">
        <f t="shared" si="234"/>
        <v>66</v>
      </c>
      <c r="K846">
        <v>9</v>
      </c>
      <c r="L846">
        <v>7</v>
      </c>
      <c r="P846" t="s">
        <v>870</v>
      </c>
      <c r="Q846" t="s">
        <v>871</v>
      </c>
      <c r="R846" t="s">
        <v>261</v>
      </c>
      <c r="S846">
        <f t="shared" si="235"/>
        <v>5.93163888888889</v>
      </c>
      <c r="U846">
        <v>25</v>
      </c>
      <c r="V846" t="s">
        <v>138</v>
      </c>
      <c r="W846">
        <f t="shared" si="236"/>
        <v>32.734375</v>
      </c>
      <c r="Y846">
        <v>1994</v>
      </c>
      <c r="Z846">
        <f>2025-AVERAGE($Y$843:$Y$908)</f>
        <v>25.954545454545496</v>
      </c>
      <c r="AA846">
        <v>0.05</v>
      </c>
      <c r="AB846" t="s">
        <v>261</v>
      </c>
      <c r="AE846">
        <v>0</v>
      </c>
      <c r="AF846" t="str">
        <f t="shared" si="142"/>
        <v>Non-US</v>
      </c>
      <c r="AG846">
        <v>8</v>
      </c>
      <c r="AH846">
        <v>13</v>
      </c>
      <c r="AI846">
        <f t="shared" si="237"/>
        <v>11.253846153846155</v>
      </c>
      <c r="AJ846">
        <f t="shared" si="238"/>
        <v>12.890625</v>
      </c>
      <c r="AK846" t="s">
        <v>319</v>
      </c>
      <c r="AL846">
        <v>53</v>
      </c>
      <c r="AN846" t="s">
        <v>943</v>
      </c>
      <c r="AO846">
        <v>4.0990000000000002</v>
      </c>
    </row>
    <row r="847" spans="1:41">
      <c r="A847">
        <v>18</v>
      </c>
      <c r="B847" t="s">
        <v>562</v>
      </c>
      <c r="C847" t="s">
        <v>561</v>
      </c>
      <c r="D847" s="3">
        <f t="shared" si="233"/>
        <v>42.424242424242422</v>
      </c>
      <c r="F847">
        <v>2018</v>
      </c>
      <c r="G847">
        <f t="shared" si="215"/>
        <v>7</v>
      </c>
      <c r="J847">
        <f t="shared" si="234"/>
        <v>66</v>
      </c>
      <c r="K847">
        <v>9</v>
      </c>
      <c r="L847">
        <v>7</v>
      </c>
      <c r="P847" t="s">
        <v>872</v>
      </c>
      <c r="Q847" t="s">
        <v>871</v>
      </c>
      <c r="R847" t="s">
        <v>261</v>
      </c>
      <c r="S847">
        <f t="shared" si="235"/>
        <v>5.93163888888889</v>
      </c>
      <c r="U847">
        <v>48</v>
      </c>
      <c r="V847" t="s">
        <v>138</v>
      </c>
      <c r="W847">
        <f t="shared" si="236"/>
        <v>32.734375</v>
      </c>
      <c r="Y847">
        <v>1995</v>
      </c>
      <c r="Z847">
        <f>2025-AVERAGE($Y$843:$Y$908)</f>
        <v>25.954545454545496</v>
      </c>
      <c r="AA847">
        <v>4.9000000000000002E-2</v>
      </c>
      <c r="AB847">
        <v>0.21</v>
      </c>
      <c r="AE847">
        <v>0</v>
      </c>
      <c r="AF847" t="str">
        <f t="shared" si="142"/>
        <v>Non-US</v>
      </c>
      <c r="AG847">
        <v>5</v>
      </c>
      <c r="AH847">
        <v>8</v>
      </c>
      <c r="AI847">
        <f t="shared" si="237"/>
        <v>11.253846153846155</v>
      </c>
      <c r="AJ847">
        <f t="shared" si="238"/>
        <v>12.890625</v>
      </c>
      <c r="AK847" t="s">
        <v>319</v>
      </c>
      <c r="AL847">
        <v>53</v>
      </c>
      <c r="AN847" t="s">
        <v>943</v>
      </c>
      <c r="AO847">
        <v>4.0990000000000002</v>
      </c>
    </row>
    <row r="848" spans="1:41">
      <c r="A848">
        <v>18</v>
      </c>
      <c r="B848" t="s">
        <v>562</v>
      </c>
      <c r="C848" t="s">
        <v>561</v>
      </c>
      <c r="D848" s="3">
        <f t="shared" si="233"/>
        <v>42.424242424242422</v>
      </c>
      <c r="F848">
        <v>2018</v>
      </c>
      <c r="G848">
        <f t="shared" si="215"/>
        <v>7</v>
      </c>
      <c r="J848">
        <f t="shared" si="234"/>
        <v>66</v>
      </c>
      <c r="K848">
        <v>9</v>
      </c>
      <c r="L848">
        <v>7</v>
      </c>
      <c r="P848" t="s">
        <v>873</v>
      </c>
      <c r="Q848" t="s">
        <v>874</v>
      </c>
      <c r="R848">
        <v>2.2589999999999999</v>
      </c>
      <c r="S848">
        <f t="shared" si="235"/>
        <v>5.93163888888889</v>
      </c>
      <c r="U848">
        <v>36</v>
      </c>
      <c r="V848" t="s">
        <v>138</v>
      </c>
      <c r="W848">
        <f t="shared" si="236"/>
        <v>32.734375</v>
      </c>
      <c r="Y848">
        <v>2005</v>
      </c>
      <c r="Z848">
        <f>2025-AVERAGE($Y$843:$Y$908)</f>
        <v>25.954545454545496</v>
      </c>
      <c r="AA848">
        <v>2.7E-2</v>
      </c>
      <c r="AB848">
        <v>1.455E-2</v>
      </c>
      <c r="AE848">
        <v>0</v>
      </c>
      <c r="AF848" t="str">
        <f t="shared" si="142"/>
        <v>Non-US</v>
      </c>
      <c r="AG848">
        <v>8</v>
      </c>
      <c r="AH848">
        <v>7</v>
      </c>
      <c r="AI848">
        <f t="shared" si="237"/>
        <v>11.253846153846155</v>
      </c>
      <c r="AJ848">
        <f t="shared" si="238"/>
        <v>12.890625</v>
      </c>
      <c r="AK848" t="s">
        <v>319</v>
      </c>
      <c r="AL848">
        <v>53</v>
      </c>
      <c r="AN848" t="s">
        <v>943</v>
      </c>
      <c r="AO848">
        <v>4.0990000000000002</v>
      </c>
    </row>
    <row r="849" spans="1:41">
      <c r="A849">
        <v>18</v>
      </c>
      <c r="B849" t="s">
        <v>562</v>
      </c>
      <c r="C849" t="s">
        <v>561</v>
      </c>
      <c r="D849" s="3">
        <f t="shared" si="233"/>
        <v>42.424242424242422</v>
      </c>
      <c r="F849">
        <v>2018</v>
      </c>
      <c r="G849">
        <f t="shared" si="215"/>
        <v>7</v>
      </c>
      <c r="J849">
        <f t="shared" si="234"/>
        <v>66</v>
      </c>
      <c r="K849">
        <v>9</v>
      </c>
      <c r="L849">
        <v>7</v>
      </c>
      <c r="P849" t="s">
        <v>875</v>
      </c>
      <c r="Q849" t="s">
        <v>506</v>
      </c>
      <c r="R849" t="s">
        <v>261</v>
      </c>
      <c r="S849">
        <f t="shared" si="235"/>
        <v>5.93163888888889</v>
      </c>
      <c r="U849">
        <v>18</v>
      </c>
      <c r="V849" t="s">
        <v>138</v>
      </c>
      <c r="W849">
        <f t="shared" si="236"/>
        <v>32.734375</v>
      </c>
      <c r="Y849">
        <v>1991</v>
      </c>
      <c r="Z849">
        <f>2025-AVERAGE($Y$843:$Y$908)</f>
        <v>25.954545454545496</v>
      </c>
      <c r="AA849">
        <v>5.0000000000000001E-3</v>
      </c>
      <c r="AB849">
        <v>5.1999999999999998E-2</v>
      </c>
      <c r="AE849">
        <v>0</v>
      </c>
      <c r="AF849" t="str">
        <f t="shared" si="142"/>
        <v>Non-US</v>
      </c>
      <c r="AG849">
        <v>5</v>
      </c>
      <c r="AH849">
        <v>10</v>
      </c>
      <c r="AI849">
        <f t="shared" si="237"/>
        <v>11.253846153846155</v>
      </c>
      <c r="AJ849">
        <f t="shared" si="238"/>
        <v>12.890625</v>
      </c>
      <c r="AK849" t="s">
        <v>319</v>
      </c>
      <c r="AL849">
        <v>53</v>
      </c>
      <c r="AN849" t="s">
        <v>943</v>
      </c>
      <c r="AO849">
        <v>4.0990000000000002</v>
      </c>
    </row>
    <row r="850" spans="1:41">
      <c r="A850">
        <v>18</v>
      </c>
      <c r="B850" t="s">
        <v>562</v>
      </c>
      <c r="C850" t="s">
        <v>561</v>
      </c>
      <c r="D850" s="3">
        <f t="shared" si="233"/>
        <v>42.424242424242422</v>
      </c>
      <c r="F850">
        <v>2018</v>
      </c>
      <c r="G850">
        <f t="shared" ref="G850:G913" si="239">2025-F850</f>
        <v>7</v>
      </c>
      <c r="J850">
        <f t="shared" si="234"/>
        <v>66</v>
      </c>
      <c r="K850">
        <v>9</v>
      </c>
      <c r="L850">
        <v>7</v>
      </c>
      <c r="P850" t="s">
        <v>876</v>
      </c>
      <c r="Q850" t="s">
        <v>867</v>
      </c>
      <c r="R850" t="s">
        <v>261</v>
      </c>
      <c r="S850">
        <f t="shared" si="235"/>
        <v>5.93163888888889</v>
      </c>
      <c r="U850">
        <v>9</v>
      </c>
      <c r="V850" t="s">
        <v>755</v>
      </c>
      <c r="W850">
        <f t="shared" si="236"/>
        <v>32.734375</v>
      </c>
      <c r="Y850">
        <v>1993</v>
      </c>
      <c r="Z850">
        <f>2025-AVERAGE($Y$843:$Y$908)</f>
        <v>25.954545454545496</v>
      </c>
      <c r="AA850" t="s">
        <v>261</v>
      </c>
      <c r="AB850">
        <v>1E-3</v>
      </c>
      <c r="AE850">
        <v>0</v>
      </c>
      <c r="AF850" t="str">
        <f t="shared" si="142"/>
        <v>Non-US</v>
      </c>
      <c r="AG850">
        <v>11</v>
      </c>
      <c r="AH850">
        <v>12</v>
      </c>
      <c r="AI850">
        <f t="shared" si="237"/>
        <v>11.253846153846155</v>
      </c>
      <c r="AJ850">
        <f t="shared" si="238"/>
        <v>12.890625</v>
      </c>
      <c r="AK850" t="s">
        <v>319</v>
      </c>
      <c r="AL850">
        <v>53</v>
      </c>
      <c r="AN850" t="s">
        <v>943</v>
      </c>
      <c r="AO850">
        <v>4.0990000000000002</v>
      </c>
    </row>
    <row r="851" spans="1:41">
      <c r="A851">
        <v>18</v>
      </c>
      <c r="B851" t="s">
        <v>562</v>
      </c>
      <c r="C851" t="s">
        <v>561</v>
      </c>
      <c r="D851" s="3">
        <f t="shared" si="233"/>
        <v>42.424242424242422</v>
      </c>
      <c r="F851">
        <v>2018</v>
      </c>
      <c r="G851">
        <f t="shared" si="239"/>
        <v>7</v>
      </c>
      <c r="J851">
        <f t="shared" si="234"/>
        <v>66</v>
      </c>
      <c r="K851">
        <v>9</v>
      </c>
      <c r="L851">
        <v>7</v>
      </c>
      <c r="P851" t="s">
        <v>877</v>
      </c>
      <c r="Q851" t="s">
        <v>507</v>
      </c>
      <c r="R851">
        <v>6.5170000000000003</v>
      </c>
      <c r="S851">
        <f t="shared" si="235"/>
        <v>5.93163888888889</v>
      </c>
      <c r="U851">
        <v>38</v>
      </c>
      <c r="V851" t="s">
        <v>138</v>
      </c>
      <c r="W851">
        <f t="shared" si="236"/>
        <v>32.734375</v>
      </c>
      <c r="Y851">
        <v>2005</v>
      </c>
      <c r="Z851">
        <f>2025-AVERAGE($Y$843:$Y$908)</f>
        <v>25.954545454545496</v>
      </c>
      <c r="AA851">
        <v>5.0000000000000001E-3</v>
      </c>
      <c r="AB851">
        <v>0.03</v>
      </c>
      <c r="AE851">
        <v>0</v>
      </c>
      <c r="AF851" t="str">
        <f t="shared" si="142"/>
        <v>Non-US</v>
      </c>
      <c r="AG851">
        <v>11</v>
      </c>
      <c r="AH851">
        <v>22</v>
      </c>
      <c r="AI851">
        <f t="shared" si="237"/>
        <v>11.253846153846155</v>
      </c>
      <c r="AJ851">
        <f t="shared" si="238"/>
        <v>12.890625</v>
      </c>
      <c r="AK851" t="s">
        <v>319</v>
      </c>
      <c r="AL851">
        <v>53</v>
      </c>
      <c r="AN851" t="s">
        <v>943</v>
      </c>
      <c r="AO851">
        <v>4.0990000000000002</v>
      </c>
    </row>
    <row r="852" spans="1:41">
      <c r="A852">
        <v>18</v>
      </c>
      <c r="B852" t="s">
        <v>562</v>
      </c>
      <c r="C852" t="s">
        <v>561</v>
      </c>
      <c r="D852" s="3">
        <f t="shared" si="233"/>
        <v>42.424242424242422</v>
      </c>
      <c r="F852">
        <v>2018</v>
      </c>
      <c r="G852">
        <f t="shared" si="239"/>
        <v>7</v>
      </c>
      <c r="J852">
        <f t="shared" si="234"/>
        <v>66</v>
      </c>
      <c r="K852">
        <v>9</v>
      </c>
      <c r="L852">
        <v>7</v>
      </c>
      <c r="P852" t="s">
        <v>878</v>
      </c>
      <c r="Q852" t="s">
        <v>874</v>
      </c>
      <c r="R852" t="s">
        <v>261</v>
      </c>
      <c r="S852">
        <f t="shared" si="235"/>
        <v>5.93163888888889</v>
      </c>
      <c r="U852">
        <v>19</v>
      </c>
      <c r="V852" t="s">
        <v>138</v>
      </c>
      <c r="W852">
        <f t="shared" si="236"/>
        <v>32.734375</v>
      </c>
      <c r="Y852">
        <v>1996</v>
      </c>
      <c r="Z852">
        <f>2025-AVERAGE($Y$843:$Y$908)</f>
        <v>25.954545454545496</v>
      </c>
      <c r="AA852">
        <v>0.01</v>
      </c>
      <c r="AB852">
        <v>2.0000000000000001E-4</v>
      </c>
      <c r="AE852">
        <v>0</v>
      </c>
      <c r="AF852" t="str">
        <f t="shared" si="142"/>
        <v>Non-US</v>
      </c>
      <c r="AG852">
        <v>7</v>
      </c>
      <c r="AH852">
        <v>17</v>
      </c>
      <c r="AI852">
        <f t="shared" si="237"/>
        <v>11.253846153846155</v>
      </c>
      <c r="AJ852">
        <f t="shared" si="238"/>
        <v>12.890625</v>
      </c>
      <c r="AK852" t="s">
        <v>319</v>
      </c>
      <c r="AL852">
        <v>53</v>
      </c>
      <c r="AN852" t="s">
        <v>943</v>
      </c>
      <c r="AO852">
        <v>4.0990000000000002</v>
      </c>
    </row>
    <row r="853" spans="1:41">
      <c r="A853">
        <v>18</v>
      </c>
      <c r="B853" t="s">
        <v>562</v>
      </c>
      <c r="C853" t="s">
        <v>561</v>
      </c>
      <c r="D853" s="3">
        <f t="shared" si="233"/>
        <v>42.424242424242422</v>
      </c>
      <c r="F853">
        <v>2018</v>
      </c>
      <c r="G853">
        <f t="shared" si="239"/>
        <v>7</v>
      </c>
      <c r="J853">
        <f t="shared" si="234"/>
        <v>66</v>
      </c>
      <c r="K853">
        <v>9</v>
      </c>
      <c r="L853">
        <v>7</v>
      </c>
      <c r="P853" t="s">
        <v>879</v>
      </c>
      <c r="Q853" t="s">
        <v>507</v>
      </c>
      <c r="R853">
        <v>7.024</v>
      </c>
      <c r="S853">
        <f t="shared" si="235"/>
        <v>5.93163888888889</v>
      </c>
      <c r="U853">
        <v>41</v>
      </c>
      <c r="V853" t="s">
        <v>138</v>
      </c>
      <c r="W853">
        <f t="shared" si="236"/>
        <v>32.734375</v>
      </c>
      <c r="Y853">
        <v>2008</v>
      </c>
      <c r="Z853">
        <f>2025-AVERAGE($Y$843:$Y$908)</f>
        <v>25.954545454545496</v>
      </c>
      <c r="AA853">
        <v>0.31</v>
      </c>
      <c r="AB853" t="s">
        <v>261</v>
      </c>
      <c r="AE853">
        <v>0</v>
      </c>
      <c r="AF853" t="str">
        <f t="shared" si="142"/>
        <v>Non-US</v>
      </c>
      <c r="AG853">
        <v>17</v>
      </c>
      <c r="AH853">
        <v>18</v>
      </c>
      <c r="AI853">
        <f t="shared" si="237"/>
        <v>11.253846153846155</v>
      </c>
      <c r="AJ853">
        <f t="shared" si="238"/>
        <v>12.890625</v>
      </c>
      <c r="AK853" t="s">
        <v>319</v>
      </c>
      <c r="AL853">
        <v>53</v>
      </c>
      <c r="AN853" t="s">
        <v>943</v>
      </c>
      <c r="AO853">
        <v>4.0990000000000002</v>
      </c>
    </row>
    <row r="854" spans="1:41">
      <c r="A854">
        <v>18</v>
      </c>
      <c r="B854" t="s">
        <v>562</v>
      </c>
      <c r="C854" t="s">
        <v>561</v>
      </c>
      <c r="D854" s="3">
        <f t="shared" si="233"/>
        <v>42.424242424242422</v>
      </c>
      <c r="F854">
        <v>2018</v>
      </c>
      <c r="G854">
        <f t="shared" si="239"/>
        <v>7</v>
      </c>
      <c r="J854">
        <f t="shared" si="234"/>
        <v>66</v>
      </c>
      <c r="K854">
        <v>9</v>
      </c>
      <c r="L854">
        <v>7</v>
      </c>
      <c r="P854" t="s">
        <v>880</v>
      </c>
      <c r="Q854" t="s">
        <v>874</v>
      </c>
      <c r="R854">
        <v>2.6640000000000001</v>
      </c>
      <c r="S854">
        <f t="shared" si="235"/>
        <v>5.93163888888889</v>
      </c>
      <c r="U854">
        <v>36</v>
      </c>
      <c r="V854" t="s">
        <v>138</v>
      </c>
      <c r="W854">
        <f t="shared" si="236"/>
        <v>32.734375</v>
      </c>
      <c r="Y854">
        <v>2006</v>
      </c>
      <c r="Z854">
        <f>2025-AVERAGE($Y$843:$Y$908)</f>
        <v>25.954545454545496</v>
      </c>
      <c r="AA854">
        <v>0.54</v>
      </c>
      <c r="AB854">
        <v>0.75</v>
      </c>
      <c r="AE854">
        <v>0</v>
      </c>
      <c r="AF854" t="str">
        <f t="shared" si="142"/>
        <v>Non-US</v>
      </c>
      <c r="AG854">
        <v>18</v>
      </c>
      <c r="AH854">
        <v>7</v>
      </c>
      <c r="AI854">
        <f t="shared" si="237"/>
        <v>11.253846153846155</v>
      </c>
      <c r="AJ854">
        <f t="shared" si="238"/>
        <v>12.890625</v>
      </c>
      <c r="AK854" t="s">
        <v>319</v>
      </c>
      <c r="AL854">
        <v>53</v>
      </c>
      <c r="AN854" t="s">
        <v>943</v>
      </c>
      <c r="AO854">
        <v>4.0990000000000002</v>
      </c>
    </row>
    <row r="855" spans="1:41">
      <c r="A855">
        <v>18</v>
      </c>
      <c r="B855" t="s">
        <v>562</v>
      </c>
      <c r="C855" t="s">
        <v>561</v>
      </c>
      <c r="D855" s="3">
        <f t="shared" si="233"/>
        <v>42.424242424242422</v>
      </c>
      <c r="F855">
        <v>2018</v>
      </c>
      <c r="G855">
        <f t="shared" si="239"/>
        <v>7</v>
      </c>
      <c r="J855">
        <f t="shared" si="234"/>
        <v>66</v>
      </c>
      <c r="K855">
        <v>9</v>
      </c>
      <c r="L855">
        <v>7</v>
      </c>
      <c r="P855" t="s">
        <v>881</v>
      </c>
      <c r="Q855" t="s">
        <v>506</v>
      </c>
      <c r="R855">
        <v>11.349</v>
      </c>
      <c r="S855">
        <f t="shared" si="235"/>
        <v>5.93163888888889</v>
      </c>
      <c r="U855">
        <v>36</v>
      </c>
      <c r="V855" t="s">
        <v>138</v>
      </c>
      <c r="W855">
        <f t="shared" si="236"/>
        <v>32.734375</v>
      </c>
      <c r="Y855">
        <v>2004</v>
      </c>
      <c r="Z855">
        <f>2025-AVERAGE($Y$843:$Y$908)</f>
        <v>25.954545454545496</v>
      </c>
      <c r="AA855" t="s">
        <v>261</v>
      </c>
      <c r="AB855" t="s">
        <v>261</v>
      </c>
      <c r="AE855">
        <v>0</v>
      </c>
      <c r="AF855" t="str">
        <f t="shared" si="142"/>
        <v>Non-US</v>
      </c>
      <c r="AG855">
        <v>8</v>
      </c>
      <c r="AH855">
        <v>14</v>
      </c>
      <c r="AI855">
        <f t="shared" si="237"/>
        <v>11.253846153846155</v>
      </c>
      <c r="AJ855">
        <f t="shared" si="238"/>
        <v>12.890625</v>
      </c>
      <c r="AK855" t="s">
        <v>319</v>
      </c>
      <c r="AL855">
        <v>53</v>
      </c>
      <c r="AN855" t="s">
        <v>943</v>
      </c>
      <c r="AO855">
        <v>4.0990000000000002</v>
      </c>
    </row>
    <row r="856" spans="1:41">
      <c r="A856">
        <v>18</v>
      </c>
      <c r="B856" t="s">
        <v>562</v>
      </c>
      <c r="C856" t="s">
        <v>561</v>
      </c>
      <c r="D856" s="3">
        <f t="shared" si="233"/>
        <v>42.424242424242422</v>
      </c>
      <c r="F856">
        <v>2018</v>
      </c>
      <c r="G856">
        <f t="shared" si="239"/>
        <v>7</v>
      </c>
      <c r="J856">
        <f t="shared" si="234"/>
        <v>66</v>
      </c>
      <c r="K856">
        <v>9</v>
      </c>
      <c r="L856">
        <v>7</v>
      </c>
      <c r="P856" t="s">
        <v>884</v>
      </c>
      <c r="Q856" t="s">
        <v>883</v>
      </c>
      <c r="R856">
        <v>0.82499999999999996</v>
      </c>
      <c r="S856">
        <f t="shared" si="235"/>
        <v>5.93163888888889</v>
      </c>
      <c r="U856">
        <v>19</v>
      </c>
      <c r="V856" t="s">
        <v>882</v>
      </c>
      <c r="W856">
        <f t="shared" si="236"/>
        <v>32.734375</v>
      </c>
      <c r="Y856">
        <v>1999</v>
      </c>
      <c r="Z856">
        <f>2025-AVERAGE($Y$843:$Y$908)</f>
        <v>25.954545454545496</v>
      </c>
      <c r="AA856">
        <v>0.2</v>
      </c>
      <c r="AB856" t="s">
        <v>261</v>
      </c>
      <c r="AE856">
        <v>0</v>
      </c>
      <c r="AF856" t="str">
        <f t="shared" si="142"/>
        <v>Non-US</v>
      </c>
      <c r="AG856">
        <v>5</v>
      </c>
      <c r="AH856">
        <v>9</v>
      </c>
      <c r="AI856">
        <f t="shared" si="237"/>
        <v>11.253846153846155</v>
      </c>
      <c r="AJ856">
        <f t="shared" si="238"/>
        <v>12.890625</v>
      </c>
      <c r="AK856" t="s">
        <v>319</v>
      </c>
      <c r="AL856">
        <v>53</v>
      </c>
      <c r="AN856" t="s">
        <v>943</v>
      </c>
      <c r="AO856">
        <v>4.0990000000000002</v>
      </c>
    </row>
    <row r="857" spans="1:41">
      <c r="A857">
        <v>18</v>
      </c>
      <c r="B857" t="s">
        <v>562</v>
      </c>
      <c r="C857" t="s">
        <v>561</v>
      </c>
      <c r="D857" s="3">
        <f t="shared" si="233"/>
        <v>42.424242424242422</v>
      </c>
      <c r="F857">
        <v>2018</v>
      </c>
      <c r="G857">
        <f t="shared" si="239"/>
        <v>7</v>
      </c>
      <c r="J857">
        <f t="shared" si="234"/>
        <v>66</v>
      </c>
      <c r="K857">
        <v>9</v>
      </c>
      <c r="L857">
        <v>7</v>
      </c>
      <c r="P857" t="s">
        <v>885</v>
      </c>
      <c r="Q857" t="s">
        <v>506</v>
      </c>
      <c r="R857">
        <v>11.349</v>
      </c>
      <c r="S857">
        <f t="shared" si="235"/>
        <v>5.93163888888889</v>
      </c>
      <c r="U857">
        <v>25</v>
      </c>
      <c r="V857" t="s">
        <v>138</v>
      </c>
      <c r="W857">
        <f t="shared" si="236"/>
        <v>32.734375</v>
      </c>
      <c r="Y857">
        <v>2004</v>
      </c>
      <c r="Z857">
        <f>2025-AVERAGE($Y$843:$Y$908)</f>
        <v>25.954545454545496</v>
      </c>
      <c r="AA857" t="s">
        <v>261</v>
      </c>
      <c r="AB857">
        <v>0.26</v>
      </c>
      <c r="AE857">
        <v>0</v>
      </c>
      <c r="AF857" t="str">
        <f t="shared" si="142"/>
        <v>Non-US</v>
      </c>
      <c r="AG857">
        <v>12</v>
      </c>
      <c r="AH857">
        <v>9</v>
      </c>
      <c r="AI857">
        <f t="shared" si="237"/>
        <v>11.253846153846155</v>
      </c>
      <c r="AJ857">
        <f t="shared" si="238"/>
        <v>12.890625</v>
      </c>
      <c r="AK857" t="s">
        <v>319</v>
      </c>
      <c r="AL857">
        <v>53</v>
      </c>
      <c r="AN857" t="s">
        <v>943</v>
      </c>
      <c r="AO857">
        <v>4.0990000000000002</v>
      </c>
    </row>
    <row r="858" spans="1:41">
      <c r="A858">
        <v>18</v>
      </c>
      <c r="B858" t="s">
        <v>562</v>
      </c>
      <c r="C858" t="s">
        <v>561</v>
      </c>
      <c r="D858" s="3">
        <f t="shared" si="233"/>
        <v>42.424242424242422</v>
      </c>
      <c r="F858">
        <v>2018</v>
      </c>
      <c r="G858">
        <f t="shared" si="239"/>
        <v>7</v>
      </c>
      <c r="J858">
        <f t="shared" si="234"/>
        <v>66</v>
      </c>
      <c r="K858">
        <v>9</v>
      </c>
      <c r="L858">
        <v>7</v>
      </c>
      <c r="P858" t="s">
        <v>886</v>
      </c>
      <c r="Q858" t="s">
        <v>874</v>
      </c>
      <c r="R858">
        <v>3.1429999999999998</v>
      </c>
      <c r="S858">
        <f t="shared" si="235"/>
        <v>5.93163888888889</v>
      </c>
      <c r="U858">
        <v>42</v>
      </c>
      <c r="V858" t="s">
        <v>138</v>
      </c>
      <c r="W858">
        <f t="shared" si="236"/>
        <v>32.734375</v>
      </c>
      <c r="Y858">
        <v>2011</v>
      </c>
      <c r="Z858">
        <f>2025-AVERAGE($Y$843:$Y$908)</f>
        <v>25.954545454545496</v>
      </c>
      <c r="AA858">
        <v>0.02</v>
      </c>
      <c r="AB858" t="s">
        <v>261</v>
      </c>
      <c r="AE858">
        <v>0</v>
      </c>
      <c r="AF858" t="str">
        <f t="shared" si="142"/>
        <v>Non-US</v>
      </c>
      <c r="AG858">
        <v>6</v>
      </c>
      <c r="AH858">
        <v>12</v>
      </c>
      <c r="AI858">
        <f t="shared" si="237"/>
        <v>11.253846153846155</v>
      </c>
      <c r="AJ858">
        <f t="shared" si="238"/>
        <v>12.890625</v>
      </c>
      <c r="AK858" t="s">
        <v>319</v>
      </c>
      <c r="AL858">
        <v>53</v>
      </c>
      <c r="AN858" t="s">
        <v>943</v>
      </c>
      <c r="AO858">
        <v>4.0990000000000002</v>
      </c>
    </row>
    <row r="859" spans="1:41">
      <c r="A859">
        <v>18</v>
      </c>
      <c r="B859" t="s">
        <v>562</v>
      </c>
      <c r="C859" t="s">
        <v>561</v>
      </c>
      <c r="D859" s="3">
        <f t="shared" si="233"/>
        <v>42.424242424242422</v>
      </c>
      <c r="F859">
        <v>2018</v>
      </c>
      <c r="G859">
        <f t="shared" si="239"/>
        <v>7</v>
      </c>
      <c r="J859">
        <f t="shared" si="234"/>
        <v>66</v>
      </c>
      <c r="K859">
        <v>9</v>
      </c>
      <c r="L859">
        <v>7</v>
      </c>
      <c r="P859" t="s">
        <v>887</v>
      </c>
      <c r="Q859" t="s">
        <v>871</v>
      </c>
      <c r="R859">
        <v>5.7240000000000002</v>
      </c>
      <c r="S859">
        <f t="shared" si="235"/>
        <v>5.93163888888889</v>
      </c>
      <c r="U859">
        <v>29</v>
      </c>
      <c r="V859" t="s">
        <v>138</v>
      </c>
      <c r="W859">
        <f t="shared" si="236"/>
        <v>32.734375</v>
      </c>
      <c r="Y859">
        <v>2011</v>
      </c>
      <c r="Z859">
        <f>2025-AVERAGE($Y$843:$Y$908)</f>
        <v>25.954545454545496</v>
      </c>
      <c r="AA859">
        <v>0.9</v>
      </c>
      <c r="AB859">
        <v>0.21</v>
      </c>
      <c r="AE859">
        <v>0</v>
      </c>
      <c r="AF859" t="str">
        <f t="shared" si="142"/>
        <v>Non-US</v>
      </c>
      <c r="AG859">
        <v>7</v>
      </c>
      <c r="AH859">
        <v>11</v>
      </c>
      <c r="AI859">
        <f t="shared" si="237"/>
        <v>11.253846153846155</v>
      </c>
      <c r="AJ859">
        <f t="shared" si="238"/>
        <v>12.890625</v>
      </c>
      <c r="AK859" t="s">
        <v>319</v>
      </c>
      <c r="AL859">
        <v>53</v>
      </c>
      <c r="AN859" t="s">
        <v>943</v>
      </c>
      <c r="AO859">
        <v>4.0990000000000002</v>
      </c>
    </row>
    <row r="860" spans="1:41">
      <c r="A860">
        <v>18</v>
      </c>
      <c r="B860" t="s">
        <v>562</v>
      </c>
      <c r="C860" t="s">
        <v>561</v>
      </c>
      <c r="D860" s="3">
        <f t="shared" si="233"/>
        <v>42.424242424242422</v>
      </c>
      <c r="F860">
        <v>2018</v>
      </c>
      <c r="G860">
        <f t="shared" si="239"/>
        <v>7</v>
      </c>
      <c r="J860">
        <f t="shared" si="234"/>
        <v>66</v>
      </c>
      <c r="K860">
        <v>9</v>
      </c>
      <c r="L860">
        <v>7</v>
      </c>
      <c r="P860" t="s">
        <v>888</v>
      </c>
      <c r="Q860" t="s">
        <v>883</v>
      </c>
      <c r="R860" t="s">
        <v>261</v>
      </c>
      <c r="S860">
        <f t="shared" si="235"/>
        <v>5.93163888888889</v>
      </c>
      <c r="U860">
        <v>23</v>
      </c>
      <c r="V860" t="s">
        <v>882</v>
      </c>
      <c r="W860">
        <f t="shared" si="236"/>
        <v>32.734375</v>
      </c>
      <c r="Y860">
        <v>1998</v>
      </c>
      <c r="Z860">
        <f>2025-AVERAGE($Y$843:$Y$908)</f>
        <v>25.954545454545496</v>
      </c>
      <c r="AA860" t="s">
        <v>261</v>
      </c>
      <c r="AB860">
        <v>0.94</v>
      </c>
      <c r="AE860">
        <v>0</v>
      </c>
      <c r="AF860" t="str">
        <f t="shared" si="142"/>
        <v>Non-US</v>
      </c>
      <c r="AG860">
        <v>17</v>
      </c>
      <c r="AH860">
        <v>17</v>
      </c>
      <c r="AI860">
        <f t="shared" si="237"/>
        <v>11.253846153846155</v>
      </c>
      <c r="AJ860">
        <f t="shared" si="238"/>
        <v>12.890625</v>
      </c>
      <c r="AK860" t="s">
        <v>319</v>
      </c>
      <c r="AL860">
        <v>53</v>
      </c>
      <c r="AN860" t="s">
        <v>943</v>
      </c>
      <c r="AO860">
        <v>4.0990000000000002</v>
      </c>
    </row>
    <row r="861" spans="1:41">
      <c r="A861">
        <v>18</v>
      </c>
      <c r="B861" t="s">
        <v>562</v>
      </c>
      <c r="C861" t="s">
        <v>561</v>
      </c>
      <c r="D861" s="3">
        <f t="shared" si="233"/>
        <v>42.424242424242422</v>
      </c>
      <c r="F861">
        <v>2018</v>
      </c>
      <c r="G861">
        <f t="shared" si="239"/>
        <v>7</v>
      </c>
      <c r="J861">
        <f t="shared" si="234"/>
        <v>66</v>
      </c>
      <c r="K861">
        <v>9</v>
      </c>
      <c r="L861">
        <v>7</v>
      </c>
      <c r="P861" t="s">
        <v>889</v>
      </c>
      <c r="Q861" t="s">
        <v>507</v>
      </c>
      <c r="R861" t="s">
        <v>261</v>
      </c>
      <c r="S861">
        <f t="shared" si="235"/>
        <v>5.93163888888889</v>
      </c>
      <c r="U861">
        <v>37</v>
      </c>
      <c r="V861" t="s">
        <v>138</v>
      </c>
      <c r="W861">
        <f t="shared" si="236"/>
        <v>32.734375</v>
      </c>
      <c r="Y861">
        <v>1994</v>
      </c>
      <c r="Z861">
        <f>2025-AVERAGE($Y$843:$Y$908)</f>
        <v>25.954545454545496</v>
      </c>
      <c r="AA861">
        <v>0.22</v>
      </c>
      <c r="AB861">
        <v>0.36</v>
      </c>
      <c r="AE861">
        <v>0</v>
      </c>
      <c r="AF861" t="str">
        <f t="shared" si="142"/>
        <v>Non-US</v>
      </c>
      <c r="AG861">
        <v>17</v>
      </c>
      <c r="AH861">
        <v>22</v>
      </c>
      <c r="AI861">
        <f t="shared" si="237"/>
        <v>11.253846153846155</v>
      </c>
      <c r="AJ861">
        <f t="shared" si="238"/>
        <v>12.890625</v>
      </c>
      <c r="AK861" t="s">
        <v>319</v>
      </c>
      <c r="AL861">
        <v>53</v>
      </c>
      <c r="AN861" t="s">
        <v>943</v>
      </c>
      <c r="AO861">
        <v>4.0990000000000002</v>
      </c>
    </row>
    <row r="862" spans="1:41">
      <c r="A862">
        <v>18</v>
      </c>
      <c r="B862" t="s">
        <v>562</v>
      </c>
      <c r="C862" t="s">
        <v>561</v>
      </c>
      <c r="D862" s="3">
        <f t="shared" si="233"/>
        <v>42.424242424242422</v>
      </c>
      <c r="F862">
        <v>2018</v>
      </c>
      <c r="G862">
        <f t="shared" si="239"/>
        <v>7</v>
      </c>
      <c r="J862">
        <f t="shared" si="234"/>
        <v>66</v>
      </c>
      <c r="K862">
        <v>9</v>
      </c>
      <c r="L862">
        <v>7</v>
      </c>
      <c r="P862" t="s">
        <v>890</v>
      </c>
      <c r="Q862" t="s">
        <v>507</v>
      </c>
      <c r="R862" t="s">
        <v>261</v>
      </c>
      <c r="S862">
        <f t="shared" si="235"/>
        <v>5.93163888888889</v>
      </c>
      <c r="U862">
        <v>42</v>
      </c>
      <c r="V862" t="s">
        <v>138</v>
      </c>
      <c r="W862">
        <f t="shared" si="236"/>
        <v>32.734375</v>
      </c>
      <c r="Y862">
        <v>1995</v>
      </c>
      <c r="Z862">
        <f>2025-AVERAGE($Y$843:$Y$908)</f>
        <v>25.954545454545496</v>
      </c>
      <c r="AA862">
        <v>0.33</v>
      </c>
      <c r="AB862">
        <v>0.27</v>
      </c>
      <c r="AE862">
        <v>0</v>
      </c>
      <c r="AF862" t="str">
        <f t="shared" si="142"/>
        <v>Non-US</v>
      </c>
      <c r="AG862">
        <v>138</v>
      </c>
      <c r="AH862">
        <v>19</v>
      </c>
      <c r="AI862">
        <f t="shared" si="237"/>
        <v>11.253846153846155</v>
      </c>
      <c r="AJ862">
        <f t="shared" si="238"/>
        <v>12.890625</v>
      </c>
      <c r="AK862" t="s">
        <v>319</v>
      </c>
      <c r="AL862">
        <v>53</v>
      </c>
      <c r="AN862" t="s">
        <v>943</v>
      </c>
      <c r="AO862">
        <v>4.0990000000000002</v>
      </c>
    </row>
    <row r="863" spans="1:41">
      <c r="A863">
        <v>18</v>
      </c>
      <c r="B863" t="s">
        <v>562</v>
      </c>
      <c r="C863" t="s">
        <v>561</v>
      </c>
      <c r="D863" s="3">
        <f t="shared" si="233"/>
        <v>42.424242424242422</v>
      </c>
      <c r="F863">
        <v>2018</v>
      </c>
      <c r="G863">
        <f t="shared" si="239"/>
        <v>7</v>
      </c>
      <c r="J863">
        <f t="shared" si="234"/>
        <v>66</v>
      </c>
      <c r="K863">
        <v>9</v>
      </c>
      <c r="L863">
        <v>7</v>
      </c>
      <c r="P863" t="s">
        <v>891</v>
      </c>
      <c r="Q863" t="s">
        <v>867</v>
      </c>
      <c r="R863" t="s">
        <v>261</v>
      </c>
      <c r="S863">
        <f t="shared" si="235"/>
        <v>5.93163888888889</v>
      </c>
      <c r="U863">
        <v>15</v>
      </c>
      <c r="V863" t="s">
        <v>755</v>
      </c>
      <c r="W863">
        <f t="shared" si="236"/>
        <v>32.734375</v>
      </c>
      <c r="Y863">
        <v>1985</v>
      </c>
      <c r="Z863">
        <f>2025-AVERAGE($Y$843:$Y$908)</f>
        <v>25.954545454545496</v>
      </c>
      <c r="AA863">
        <v>0.1</v>
      </c>
      <c r="AB863" t="s">
        <v>261</v>
      </c>
      <c r="AE863">
        <v>0</v>
      </c>
      <c r="AF863" t="str">
        <f t="shared" si="142"/>
        <v>Non-US</v>
      </c>
      <c r="AG863">
        <v>6</v>
      </c>
      <c r="AH863">
        <v>5</v>
      </c>
      <c r="AI863">
        <f t="shared" si="237"/>
        <v>11.253846153846155</v>
      </c>
      <c r="AJ863">
        <f t="shared" si="238"/>
        <v>12.890625</v>
      </c>
      <c r="AK863" t="s">
        <v>319</v>
      </c>
      <c r="AL863">
        <v>53</v>
      </c>
      <c r="AN863" t="s">
        <v>943</v>
      </c>
      <c r="AO863">
        <v>4.0990000000000002</v>
      </c>
    </row>
    <row r="864" spans="1:41">
      <c r="A864">
        <v>18</v>
      </c>
      <c r="B864" t="s">
        <v>562</v>
      </c>
      <c r="C864" t="s">
        <v>561</v>
      </c>
      <c r="D864" s="3">
        <f t="shared" si="233"/>
        <v>42.424242424242422</v>
      </c>
      <c r="F864">
        <v>2018</v>
      </c>
      <c r="G864">
        <f t="shared" si="239"/>
        <v>7</v>
      </c>
      <c r="J864">
        <f t="shared" si="234"/>
        <v>66</v>
      </c>
      <c r="K864">
        <v>9</v>
      </c>
      <c r="L864">
        <v>7</v>
      </c>
      <c r="P864" t="s">
        <v>892</v>
      </c>
      <c r="Q864" t="s">
        <v>506</v>
      </c>
      <c r="R864" t="s">
        <v>261</v>
      </c>
      <c r="S864">
        <f t="shared" si="235"/>
        <v>5.93163888888889</v>
      </c>
      <c r="U864">
        <v>55</v>
      </c>
      <c r="V864" t="s">
        <v>138</v>
      </c>
      <c r="W864">
        <f t="shared" si="236"/>
        <v>32.734375</v>
      </c>
      <c r="Y864">
        <v>1992</v>
      </c>
      <c r="Z864">
        <f>2025-AVERAGE($Y$843:$Y$908)</f>
        <v>25.954545454545496</v>
      </c>
      <c r="AA864">
        <v>3.2500000000000001E-2</v>
      </c>
      <c r="AB864" t="s">
        <v>261</v>
      </c>
      <c r="AE864">
        <v>0</v>
      </c>
      <c r="AF864" t="str">
        <f t="shared" si="142"/>
        <v>Non-US</v>
      </c>
      <c r="AG864">
        <v>9</v>
      </c>
      <c r="AH864">
        <v>6</v>
      </c>
      <c r="AI864">
        <f t="shared" si="237"/>
        <v>11.253846153846155</v>
      </c>
      <c r="AJ864">
        <f t="shared" si="238"/>
        <v>12.890625</v>
      </c>
      <c r="AK864" t="s">
        <v>319</v>
      </c>
      <c r="AL864">
        <v>53</v>
      </c>
      <c r="AN864" t="s">
        <v>943</v>
      </c>
      <c r="AO864">
        <v>4.0990000000000002</v>
      </c>
    </row>
    <row r="865" spans="1:41">
      <c r="A865">
        <v>18</v>
      </c>
      <c r="B865" t="s">
        <v>562</v>
      </c>
      <c r="C865" t="s">
        <v>561</v>
      </c>
      <c r="D865" s="3">
        <f t="shared" si="233"/>
        <v>42.424242424242422</v>
      </c>
      <c r="F865">
        <v>2018</v>
      </c>
      <c r="G865">
        <f t="shared" si="239"/>
        <v>7</v>
      </c>
      <c r="J865">
        <f t="shared" si="234"/>
        <v>66</v>
      </c>
      <c r="K865">
        <v>9</v>
      </c>
      <c r="L865">
        <v>7</v>
      </c>
      <c r="P865" t="s">
        <v>893</v>
      </c>
      <c r="Q865" t="s">
        <v>507</v>
      </c>
      <c r="R865">
        <v>6.4210000000000003</v>
      </c>
      <c r="S865">
        <f t="shared" si="235"/>
        <v>5.93163888888889</v>
      </c>
      <c r="U865">
        <v>34</v>
      </c>
      <c r="V865" t="s">
        <v>138</v>
      </c>
      <c r="W865">
        <f t="shared" si="236"/>
        <v>32.734375</v>
      </c>
      <c r="Y865">
        <v>2014</v>
      </c>
      <c r="Z865">
        <f>2025-AVERAGE($Y$843:$Y$908)</f>
        <v>25.954545454545496</v>
      </c>
      <c r="AA865" t="s">
        <v>261</v>
      </c>
      <c r="AB865" t="s">
        <v>261</v>
      </c>
      <c r="AE865">
        <v>0</v>
      </c>
      <c r="AF865" t="str">
        <f t="shared" si="142"/>
        <v>Non-US</v>
      </c>
      <c r="AG865">
        <v>6</v>
      </c>
      <c r="AH865">
        <v>18</v>
      </c>
      <c r="AI865">
        <f t="shared" si="237"/>
        <v>11.253846153846155</v>
      </c>
      <c r="AJ865">
        <f t="shared" si="238"/>
        <v>12.890625</v>
      </c>
      <c r="AK865" t="s">
        <v>319</v>
      </c>
      <c r="AL865">
        <v>53</v>
      </c>
      <c r="AN865" t="s">
        <v>943</v>
      </c>
      <c r="AO865">
        <v>4.0990000000000002</v>
      </c>
    </row>
    <row r="866" spans="1:41">
      <c r="A866">
        <v>18</v>
      </c>
      <c r="B866" t="s">
        <v>562</v>
      </c>
      <c r="C866" t="s">
        <v>561</v>
      </c>
      <c r="D866" s="3">
        <f t="shared" si="233"/>
        <v>42.424242424242422</v>
      </c>
      <c r="F866">
        <v>2018</v>
      </c>
      <c r="G866">
        <f t="shared" si="239"/>
        <v>7</v>
      </c>
      <c r="J866">
        <f t="shared" si="234"/>
        <v>66</v>
      </c>
      <c r="K866">
        <v>9</v>
      </c>
      <c r="L866">
        <v>7</v>
      </c>
      <c r="P866" t="s">
        <v>894</v>
      </c>
      <c r="Q866" t="s">
        <v>883</v>
      </c>
      <c r="R866" t="s">
        <v>261</v>
      </c>
      <c r="S866">
        <f t="shared" si="235"/>
        <v>5.93163888888889</v>
      </c>
      <c r="U866">
        <v>12</v>
      </c>
      <c r="V866" t="s">
        <v>882</v>
      </c>
      <c r="W866">
        <f t="shared" si="236"/>
        <v>32.734375</v>
      </c>
      <c r="Y866">
        <v>1996</v>
      </c>
      <c r="Z866">
        <f>2025-AVERAGE($Y$843:$Y$908)</f>
        <v>25.954545454545496</v>
      </c>
      <c r="AA866" t="s">
        <v>261</v>
      </c>
      <c r="AB866">
        <v>0.42249999999999999</v>
      </c>
      <c r="AE866">
        <v>0</v>
      </c>
      <c r="AF866" t="str">
        <f t="shared" si="142"/>
        <v>Non-US</v>
      </c>
      <c r="AG866">
        <v>6</v>
      </c>
      <c r="AH866">
        <v>5</v>
      </c>
      <c r="AI866">
        <f t="shared" si="237"/>
        <v>11.253846153846155</v>
      </c>
      <c r="AJ866">
        <f t="shared" si="238"/>
        <v>12.890625</v>
      </c>
      <c r="AK866" t="s">
        <v>319</v>
      </c>
      <c r="AL866">
        <v>53</v>
      </c>
      <c r="AN866" t="s">
        <v>943</v>
      </c>
      <c r="AO866">
        <v>4.0990000000000002</v>
      </c>
    </row>
    <row r="867" spans="1:41">
      <c r="A867">
        <v>18</v>
      </c>
      <c r="B867" t="s">
        <v>562</v>
      </c>
      <c r="C867" t="s">
        <v>561</v>
      </c>
      <c r="D867" s="3">
        <f t="shared" si="233"/>
        <v>42.424242424242422</v>
      </c>
      <c r="F867">
        <v>2018</v>
      </c>
      <c r="G867">
        <f t="shared" si="239"/>
        <v>7</v>
      </c>
      <c r="J867">
        <f t="shared" si="234"/>
        <v>66</v>
      </c>
      <c r="K867">
        <v>9</v>
      </c>
      <c r="L867">
        <v>7</v>
      </c>
      <c r="P867" t="s">
        <v>895</v>
      </c>
      <c r="Q867" t="s">
        <v>507</v>
      </c>
      <c r="R867">
        <v>6.5170000000000003</v>
      </c>
      <c r="S867">
        <f t="shared" si="235"/>
        <v>5.93163888888889</v>
      </c>
      <c r="U867">
        <v>42</v>
      </c>
      <c r="V867" t="s">
        <v>138</v>
      </c>
      <c r="W867">
        <f t="shared" si="236"/>
        <v>32.734375</v>
      </c>
      <c r="Y867">
        <v>2005</v>
      </c>
      <c r="Z867">
        <f>2025-AVERAGE($Y$843:$Y$908)</f>
        <v>25.954545454545496</v>
      </c>
      <c r="AA867" t="s">
        <v>261</v>
      </c>
      <c r="AB867">
        <v>0.06</v>
      </c>
      <c r="AE867">
        <v>0</v>
      </c>
      <c r="AF867" t="str">
        <f t="shared" si="142"/>
        <v>Non-US</v>
      </c>
      <c r="AG867">
        <v>10</v>
      </c>
      <c r="AH867">
        <v>8</v>
      </c>
      <c r="AI867">
        <f t="shared" si="237"/>
        <v>11.253846153846155</v>
      </c>
      <c r="AJ867">
        <f t="shared" si="238"/>
        <v>12.890625</v>
      </c>
      <c r="AK867" t="s">
        <v>319</v>
      </c>
      <c r="AL867">
        <v>53</v>
      </c>
      <c r="AN867" t="s">
        <v>943</v>
      </c>
      <c r="AO867">
        <v>4.0990000000000002</v>
      </c>
    </row>
    <row r="868" spans="1:41">
      <c r="A868">
        <v>18</v>
      </c>
      <c r="B868" t="s">
        <v>562</v>
      </c>
      <c r="C868" t="s">
        <v>561</v>
      </c>
      <c r="D868" s="3">
        <f t="shared" si="233"/>
        <v>42.424242424242422</v>
      </c>
      <c r="F868">
        <v>2018</v>
      </c>
      <c r="G868">
        <f t="shared" si="239"/>
        <v>7</v>
      </c>
      <c r="J868">
        <f t="shared" si="234"/>
        <v>66</v>
      </c>
      <c r="K868">
        <v>9</v>
      </c>
      <c r="L868">
        <v>7</v>
      </c>
      <c r="P868" t="s">
        <v>896</v>
      </c>
      <c r="Q868" t="s">
        <v>867</v>
      </c>
      <c r="R868" t="s">
        <v>261</v>
      </c>
      <c r="S868">
        <f t="shared" si="235"/>
        <v>5.93163888888889</v>
      </c>
      <c r="U868">
        <v>22</v>
      </c>
      <c r="V868" t="s">
        <v>755</v>
      </c>
      <c r="W868">
        <f t="shared" si="236"/>
        <v>32.734375</v>
      </c>
      <c r="Y868">
        <v>1996</v>
      </c>
      <c r="Z868">
        <f>2025-AVERAGE($Y$843:$Y$908)</f>
        <v>25.954545454545496</v>
      </c>
      <c r="AA868">
        <v>0.03</v>
      </c>
      <c r="AB868" t="s">
        <v>261</v>
      </c>
      <c r="AE868">
        <v>0</v>
      </c>
      <c r="AF868" t="str">
        <f t="shared" si="142"/>
        <v>Non-US</v>
      </c>
      <c r="AG868">
        <v>6</v>
      </c>
      <c r="AH868">
        <v>14</v>
      </c>
      <c r="AI868">
        <f t="shared" si="237"/>
        <v>11.253846153846155</v>
      </c>
      <c r="AJ868">
        <f t="shared" si="238"/>
        <v>12.890625</v>
      </c>
      <c r="AK868" t="s">
        <v>319</v>
      </c>
      <c r="AL868">
        <v>53</v>
      </c>
      <c r="AN868" t="s">
        <v>943</v>
      </c>
      <c r="AO868">
        <v>4.0990000000000002</v>
      </c>
    </row>
    <row r="869" spans="1:41">
      <c r="A869">
        <v>18</v>
      </c>
      <c r="B869" t="s">
        <v>562</v>
      </c>
      <c r="C869" t="s">
        <v>561</v>
      </c>
      <c r="D869" s="3">
        <f t="shared" si="233"/>
        <v>42.424242424242422</v>
      </c>
      <c r="F869">
        <v>2018</v>
      </c>
      <c r="G869">
        <f t="shared" si="239"/>
        <v>7</v>
      </c>
      <c r="J869">
        <f t="shared" si="234"/>
        <v>66</v>
      </c>
      <c r="K869">
        <v>9</v>
      </c>
      <c r="L869">
        <v>7</v>
      </c>
      <c r="P869" t="s">
        <v>897</v>
      </c>
      <c r="Q869" t="s">
        <v>867</v>
      </c>
      <c r="R869">
        <v>3.0640000000000001</v>
      </c>
      <c r="S869">
        <f t="shared" si="235"/>
        <v>5.93163888888889</v>
      </c>
      <c r="U869">
        <v>33</v>
      </c>
      <c r="V869" t="s">
        <v>755</v>
      </c>
      <c r="W869">
        <f t="shared" si="236"/>
        <v>32.734375</v>
      </c>
      <c r="Y869">
        <v>2001</v>
      </c>
      <c r="Z869">
        <f>2025-AVERAGE($Y$843:$Y$908)</f>
        <v>25.954545454545496</v>
      </c>
      <c r="AA869">
        <v>0.03</v>
      </c>
      <c r="AB869">
        <v>1.6E-2</v>
      </c>
      <c r="AE869">
        <v>0</v>
      </c>
      <c r="AF869" t="str">
        <f t="shared" si="142"/>
        <v>Non-US</v>
      </c>
      <c r="AG869">
        <v>7</v>
      </c>
      <c r="AH869">
        <v>27</v>
      </c>
      <c r="AI869">
        <f t="shared" si="237"/>
        <v>11.253846153846155</v>
      </c>
      <c r="AJ869">
        <f t="shared" si="238"/>
        <v>12.890625</v>
      </c>
      <c r="AK869" t="s">
        <v>319</v>
      </c>
      <c r="AL869">
        <v>53</v>
      </c>
      <c r="AN869" t="s">
        <v>943</v>
      </c>
      <c r="AO869">
        <v>4.0990000000000002</v>
      </c>
    </row>
    <row r="870" spans="1:41">
      <c r="A870">
        <v>18</v>
      </c>
      <c r="B870" t="s">
        <v>562</v>
      </c>
      <c r="C870" t="s">
        <v>561</v>
      </c>
      <c r="D870" s="3">
        <f t="shared" si="233"/>
        <v>42.424242424242422</v>
      </c>
      <c r="F870">
        <v>2018</v>
      </c>
      <c r="G870">
        <f t="shared" si="239"/>
        <v>7</v>
      </c>
      <c r="J870">
        <f t="shared" si="234"/>
        <v>66</v>
      </c>
      <c r="K870">
        <v>9</v>
      </c>
      <c r="L870">
        <v>7</v>
      </c>
      <c r="P870" t="s">
        <v>898</v>
      </c>
      <c r="Q870" t="s">
        <v>506</v>
      </c>
      <c r="R870">
        <v>11.385999999999999</v>
      </c>
      <c r="S870">
        <f t="shared" si="235"/>
        <v>5.93163888888889</v>
      </c>
      <c r="U870">
        <v>37</v>
      </c>
      <c r="V870" t="s">
        <v>138</v>
      </c>
      <c r="W870">
        <f t="shared" si="236"/>
        <v>32.734375</v>
      </c>
      <c r="Y870">
        <v>2008</v>
      </c>
      <c r="Z870">
        <f>2025-AVERAGE($Y$843:$Y$908)</f>
        <v>25.954545454545496</v>
      </c>
      <c r="AA870">
        <v>1E-4</v>
      </c>
      <c r="AB870">
        <v>3.0000000000000001E-3</v>
      </c>
      <c r="AE870">
        <v>0</v>
      </c>
      <c r="AF870" t="str">
        <f t="shared" si="142"/>
        <v>Non-US</v>
      </c>
      <c r="AG870">
        <v>23</v>
      </c>
      <c r="AH870">
        <v>20</v>
      </c>
      <c r="AI870">
        <f t="shared" si="237"/>
        <v>11.253846153846155</v>
      </c>
      <c r="AJ870">
        <f t="shared" si="238"/>
        <v>12.890625</v>
      </c>
      <c r="AK870" t="s">
        <v>319</v>
      </c>
      <c r="AL870">
        <v>53</v>
      </c>
      <c r="AN870" t="s">
        <v>943</v>
      </c>
      <c r="AO870">
        <v>4.0990000000000002</v>
      </c>
    </row>
    <row r="871" spans="1:41">
      <c r="A871">
        <v>18</v>
      </c>
      <c r="B871" t="s">
        <v>562</v>
      </c>
      <c r="C871" t="s">
        <v>561</v>
      </c>
      <c r="D871" s="3">
        <f t="shared" si="233"/>
        <v>42.424242424242422</v>
      </c>
      <c r="F871">
        <v>2018</v>
      </c>
      <c r="G871">
        <f t="shared" si="239"/>
        <v>7</v>
      </c>
      <c r="J871">
        <f t="shared" si="234"/>
        <v>66</v>
      </c>
      <c r="K871">
        <v>9</v>
      </c>
      <c r="L871">
        <v>7</v>
      </c>
      <c r="P871" t="s">
        <v>899</v>
      </c>
      <c r="Q871" t="s">
        <v>507</v>
      </c>
      <c r="R871">
        <v>6.3460000000000001</v>
      </c>
      <c r="S871">
        <f t="shared" si="235"/>
        <v>5.93163888888889</v>
      </c>
      <c r="U871">
        <v>49</v>
      </c>
      <c r="V871" t="s">
        <v>138</v>
      </c>
      <c r="W871">
        <f t="shared" si="236"/>
        <v>32.734375</v>
      </c>
      <c r="Y871">
        <v>2010</v>
      </c>
      <c r="Z871">
        <f>2025-AVERAGE($Y$843:$Y$908)</f>
        <v>25.954545454545496</v>
      </c>
      <c r="AA871">
        <v>0.85</v>
      </c>
      <c r="AB871">
        <v>0.3</v>
      </c>
      <c r="AE871">
        <v>0</v>
      </c>
      <c r="AF871" t="str">
        <f t="shared" si="142"/>
        <v>Non-US</v>
      </c>
      <c r="AG871">
        <v>20</v>
      </c>
      <c r="AH871">
        <v>7</v>
      </c>
      <c r="AI871">
        <f t="shared" si="237"/>
        <v>11.253846153846155</v>
      </c>
      <c r="AJ871">
        <f t="shared" si="238"/>
        <v>12.890625</v>
      </c>
      <c r="AK871" t="s">
        <v>319</v>
      </c>
      <c r="AL871">
        <v>53</v>
      </c>
      <c r="AN871" t="s">
        <v>943</v>
      </c>
      <c r="AO871">
        <v>4.0990000000000002</v>
      </c>
    </row>
    <row r="872" spans="1:41">
      <c r="A872">
        <v>18</v>
      </c>
      <c r="B872" t="s">
        <v>562</v>
      </c>
      <c r="C872" t="s">
        <v>561</v>
      </c>
      <c r="D872" s="3">
        <f t="shared" si="233"/>
        <v>42.424242424242422</v>
      </c>
      <c r="F872">
        <v>2018</v>
      </c>
      <c r="G872">
        <f t="shared" si="239"/>
        <v>7</v>
      </c>
      <c r="J872">
        <f t="shared" si="234"/>
        <v>66</v>
      </c>
      <c r="K872">
        <v>9</v>
      </c>
      <c r="L872">
        <v>7</v>
      </c>
      <c r="P872" t="s">
        <v>900</v>
      </c>
      <c r="Q872" t="s">
        <v>874</v>
      </c>
      <c r="R872">
        <v>1.121</v>
      </c>
      <c r="S872">
        <f t="shared" si="235"/>
        <v>5.93163888888889</v>
      </c>
      <c r="U872" t="s">
        <v>261</v>
      </c>
      <c r="V872" t="s">
        <v>138</v>
      </c>
      <c r="W872">
        <f t="shared" si="236"/>
        <v>32.734375</v>
      </c>
      <c r="Y872">
        <v>1999</v>
      </c>
      <c r="Z872">
        <f>2025-AVERAGE($Y$843:$Y$908)</f>
        <v>25.954545454545496</v>
      </c>
      <c r="AA872">
        <v>0.01</v>
      </c>
      <c r="AB872">
        <v>4.2000000000000003E-2</v>
      </c>
      <c r="AE872">
        <v>0</v>
      </c>
      <c r="AF872" t="str">
        <f t="shared" si="142"/>
        <v>Non-US</v>
      </c>
      <c r="AG872">
        <v>10</v>
      </c>
      <c r="AH872">
        <v>6</v>
      </c>
      <c r="AI872">
        <f t="shared" si="237"/>
        <v>11.253846153846155</v>
      </c>
      <c r="AJ872">
        <f t="shared" si="238"/>
        <v>12.890625</v>
      </c>
      <c r="AK872" t="s">
        <v>319</v>
      </c>
      <c r="AL872">
        <v>53</v>
      </c>
      <c r="AN872" t="s">
        <v>943</v>
      </c>
      <c r="AO872">
        <v>4.0990000000000002</v>
      </c>
    </row>
    <row r="873" spans="1:41">
      <c r="A873">
        <v>18</v>
      </c>
      <c r="B873" t="s">
        <v>562</v>
      </c>
      <c r="C873" t="s">
        <v>561</v>
      </c>
      <c r="D873" s="3">
        <f t="shared" si="233"/>
        <v>42.424242424242422</v>
      </c>
      <c r="F873">
        <v>2018</v>
      </c>
      <c r="G873">
        <f t="shared" si="239"/>
        <v>7</v>
      </c>
      <c r="J873">
        <f t="shared" si="234"/>
        <v>66</v>
      </c>
      <c r="K873">
        <v>9</v>
      </c>
      <c r="L873">
        <v>7</v>
      </c>
      <c r="P873" t="s">
        <v>901</v>
      </c>
      <c r="Q873" t="s">
        <v>507</v>
      </c>
      <c r="R873" t="s">
        <v>261</v>
      </c>
      <c r="S873">
        <f t="shared" si="235"/>
        <v>5.93163888888889</v>
      </c>
      <c r="U873">
        <v>44</v>
      </c>
      <c r="V873" t="s">
        <v>138</v>
      </c>
      <c r="W873">
        <f t="shared" si="236"/>
        <v>32.734375</v>
      </c>
      <c r="Y873">
        <v>1998</v>
      </c>
      <c r="Z873">
        <f>2025-AVERAGE($Y$843:$Y$908)</f>
        <v>25.954545454545496</v>
      </c>
      <c r="AA873">
        <v>2E-3</v>
      </c>
      <c r="AB873">
        <v>1</v>
      </c>
      <c r="AE873">
        <v>0</v>
      </c>
      <c r="AF873" t="str">
        <f t="shared" si="142"/>
        <v>Non-US</v>
      </c>
      <c r="AG873">
        <v>7</v>
      </c>
      <c r="AH873">
        <v>8</v>
      </c>
      <c r="AI873">
        <f t="shared" si="237"/>
        <v>11.253846153846155</v>
      </c>
      <c r="AJ873">
        <f t="shared" si="238"/>
        <v>12.890625</v>
      </c>
      <c r="AK873" t="s">
        <v>319</v>
      </c>
      <c r="AL873">
        <v>53</v>
      </c>
      <c r="AN873" t="s">
        <v>943</v>
      </c>
      <c r="AO873">
        <v>4.0990000000000002</v>
      </c>
    </row>
    <row r="874" spans="1:41">
      <c r="A874">
        <v>18</v>
      </c>
      <c r="B874" t="s">
        <v>562</v>
      </c>
      <c r="C874" t="s">
        <v>561</v>
      </c>
      <c r="D874" s="3">
        <f t="shared" si="233"/>
        <v>42.424242424242422</v>
      </c>
      <c r="F874">
        <v>2018</v>
      </c>
      <c r="G874">
        <f t="shared" si="239"/>
        <v>7</v>
      </c>
      <c r="J874">
        <f t="shared" si="234"/>
        <v>66</v>
      </c>
      <c r="K874">
        <v>9</v>
      </c>
      <c r="L874">
        <v>7</v>
      </c>
      <c r="P874" t="s">
        <v>902</v>
      </c>
      <c r="Q874" t="s">
        <v>874</v>
      </c>
      <c r="R874">
        <v>1.9279999999999999</v>
      </c>
      <c r="S874">
        <f t="shared" si="235"/>
        <v>5.93163888888889</v>
      </c>
      <c r="U874">
        <v>53</v>
      </c>
      <c r="V874" t="s">
        <v>138</v>
      </c>
      <c r="W874">
        <f t="shared" si="236"/>
        <v>32.734375</v>
      </c>
      <c r="Y874">
        <v>2004</v>
      </c>
      <c r="Z874">
        <f>2025-AVERAGE($Y$843:$Y$908)</f>
        <v>25.954545454545496</v>
      </c>
      <c r="AA874">
        <v>5.0000000000000001E-3</v>
      </c>
      <c r="AB874">
        <v>0.2175</v>
      </c>
      <c r="AE874">
        <v>0</v>
      </c>
      <c r="AF874" t="str">
        <f t="shared" si="142"/>
        <v>Non-US</v>
      </c>
      <c r="AG874">
        <v>6</v>
      </c>
      <c r="AH874">
        <v>8</v>
      </c>
      <c r="AI874">
        <f t="shared" si="237"/>
        <v>11.253846153846155</v>
      </c>
      <c r="AJ874">
        <f t="shared" si="238"/>
        <v>12.890625</v>
      </c>
      <c r="AK874" t="s">
        <v>319</v>
      </c>
      <c r="AL874">
        <v>53</v>
      </c>
      <c r="AN874" t="s">
        <v>943</v>
      </c>
      <c r="AO874">
        <v>4.0990000000000002</v>
      </c>
    </row>
    <row r="875" spans="1:41">
      <c r="A875">
        <v>18</v>
      </c>
      <c r="B875" t="s">
        <v>562</v>
      </c>
      <c r="C875" t="s">
        <v>561</v>
      </c>
      <c r="D875" s="3">
        <f t="shared" si="233"/>
        <v>42.424242424242422</v>
      </c>
      <c r="F875">
        <v>2018</v>
      </c>
      <c r="G875">
        <f t="shared" si="239"/>
        <v>7</v>
      </c>
      <c r="J875">
        <f t="shared" si="234"/>
        <v>66</v>
      </c>
      <c r="K875">
        <v>9</v>
      </c>
      <c r="L875">
        <v>7</v>
      </c>
      <c r="P875" t="s">
        <v>903</v>
      </c>
      <c r="Q875" t="s">
        <v>506</v>
      </c>
      <c r="R875">
        <v>8.5709999999999997</v>
      </c>
      <c r="S875">
        <f t="shared" si="235"/>
        <v>5.93163888888889</v>
      </c>
      <c r="U875">
        <v>36</v>
      </c>
      <c r="V875" t="s">
        <v>138</v>
      </c>
      <c r="W875">
        <f t="shared" si="236"/>
        <v>32.734375</v>
      </c>
      <c r="Y875">
        <v>2001</v>
      </c>
      <c r="Z875">
        <f>2025-AVERAGE($Y$843:$Y$908)</f>
        <v>25.954545454545496</v>
      </c>
      <c r="AA875">
        <v>8.9999999999999993E-3</v>
      </c>
      <c r="AB875">
        <v>0.87</v>
      </c>
      <c r="AE875">
        <v>0</v>
      </c>
      <c r="AF875" t="str">
        <f t="shared" si="142"/>
        <v>Non-US</v>
      </c>
      <c r="AG875">
        <v>8</v>
      </c>
      <c r="AH875">
        <v>15</v>
      </c>
      <c r="AI875">
        <f t="shared" si="237"/>
        <v>11.253846153846155</v>
      </c>
      <c r="AJ875">
        <f t="shared" si="238"/>
        <v>12.890625</v>
      </c>
      <c r="AK875" t="s">
        <v>319</v>
      </c>
      <c r="AL875">
        <v>53</v>
      </c>
      <c r="AN875" t="s">
        <v>943</v>
      </c>
      <c r="AO875">
        <v>4.0990000000000002</v>
      </c>
    </row>
    <row r="876" spans="1:41">
      <c r="A876">
        <v>18</v>
      </c>
      <c r="B876" t="s">
        <v>562</v>
      </c>
      <c r="C876" t="s">
        <v>561</v>
      </c>
      <c r="D876" s="3">
        <f t="shared" si="233"/>
        <v>42.424242424242422</v>
      </c>
      <c r="F876">
        <v>2018</v>
      </c>
      <c r="G876">
        <f t="shared" si="239"/>
        <v>7</v>
      </c>
      <c r="J876">
        <f t="shared" si="234"/>
        <v>66</v>
      </c>
      <c r="K876">
        <v>9</v>
      </c>
      <c r="L876">
        <v>7</v>
      </c>
      <c r="P876" t="s">
        <v>904</v>
      </c>
      <c r="Q876" t="s">
        <v>506</v>
      </c>
      <c r="R876">
        <v>8.5709999999999997</v>
      </c>
      <c r="S876">
        <f t="shared" si="235"/>
        <v>5.93163888888889</v>
      </c>
      <c r="U876">
        <v>34</v>
      </c>
      <c r="V876" t="s">
        <v>138</v>
      </c>
      <c r="W876">
        <f t="shared" si="236"/>
        <v>32.734375</v>
      </c>
      <c r="Y876">
        <v>2001</v>
      </c>
      <c r="Z876">
        <f>2025-AVERAGE($Y$843:$Y$908)</f>
        <v>25.954545454545496</v>
      </c>
      <c r="AA876">
        <v>5.0000000000000001E-3</v>
      </c>
      <c r="AB876">
        <v>0.35</v>
      </c>
      <c r="AE876">
        <v>0</v>
      </c>
      <c r="AF876" t="str">
        <f t="shared" ref="AF876:AF925" si="240">IF(AE876=1,"US","Non-US")</f>
        <v>Non-US</v>
      </c>
      <c r="AG876">
        <v>11</v>
      </c>
      <c r="AH876">
        <v>17</v>
      </c>
      <c r="AI876">
        <f t="shared" si="237"/>
        <v>11.253846153846155</v>
      </c>
      <c r="AJ876">
        <f t="shared" si="238"/>
        <v>12.890625</v>
      </c>
      <c r="AK876" t="s">
        <v>319</v>
      </c>
      <c r="AL876">
        <v>53</v>
      </c>
      <c r="AN876" t="s">
        <v>943</v>
      </c>
      <c r="AO876">
        <v>4.0990000000000002</v>
      </c>
    </row>
    <row r="877" spans="1:41">
      <c r="A877">
        <v>18</v>
      </c>
      <c r="B877" t="s">
        <v>562</v>
      </c>
      <c r="C877" t="s">
        <v>561</v>
      </c>
      <c r="D877" s="3">
        <f t="shared" si="233"/>
        <v>42.424242424242422</v>
      </c>
      <c r="F877">
        <v>2018</v>
      </c>
      <c r="G877">
        <f t="shared" si="239"/>
        <v>7</v>
      </c>
      <c r="J877">
        <f t="shared" si="234"/>
        <v>66</v>
      </c>
      <c r="K877">
        <v>9</v>
      </c>
      <c r="L877">
        <v>7</v>
      </c>
      <c r="P877" t="s">
        <v>905</v>
      </c>
      <c r="Q877" t="s">
        <v>507</v>
      </c>
      <c r="R877">
        <v>6.3250000000000002</v>
      </c>
      <c r="S877">
        <f t="shared" si="235"/>
        <v>5.93163888888889</v>
      </c>
      <c r="U877">
        <v>37</v>
      </c>
      <c r="V877" t="s">
        <v>138</v>
      </c>
      <c r="W877">
        <f t="shared" si="236"/>
        <v>32.734375</v>
      </c>
      <c r="Y877">
        <v>2009</v>
      </c>
      <c r="Z877">
        <f>2025-AVERAGE($Y$843:$Y$908)</f>
        <v>25.954545454545496</v>
      </c>
      <c r="AA877" t="s">
        <v>261</v>
      </c>
      <c r="AB877" t="s">
        <v>261</v>
      </c>
      <c r="AE877">
        <v>0</v>
      </c>
      <c r="AF877" t="str">
        <f t="shared" si="240"/>
        <v>Non-US</v>
      </c>
      <c r="AG877">
        <v>13</v>
      </c>
      <c r="AH877">
        <v>18</v>
      </c>
      <c r="AI877">
        <f t="shared" si="237"/>
        <v>11.253846153846155</v>
      </c>
      <c r="AJ877">
        <f t="shared" si="238"/>
        <v>12.890625</v>
      </c>
      <c r="AK877" t="s">
        <v>319</v>
      </c>
      <c r="AL877">
        <v>53</v>
      </c>
      <c r="AN877" t="s">
        <v>943</v>
      </c>
      <c r="AO877">
        <v>4.0990000000000002</v>
      </c>
    </row>
    <row r="878" spans="1:41">
      <c r="A878">
        <v>18</v>
      </c>
      <c r="B878" t="s">
        <v>562</v>
      </c>
      <c r="C878" t="s">
        <v>561</v>
      </c>
      <c r="D878" s="3">
        <f t="shared" si="233"/>
        <v>42.424242424242422</v>
      </c>
      <c r="F878">
        <v>2018</v>
      </c>
      <c r="G878">
        <f t="shared" si="239"/>
        <v>7</v>
      </c>
      <c r="J878">
        <f t="shared" si="234"/>
        <v>66</v>
      </c>
      <c r="K878">
        <v>9</v>
      </c>
      <c r="L878">
        <v>7</v>
      </c>
      <c r="P878" t="s">
        <v>906</v>
      </c>
      <c r="Q878" t="s">
        <v>867</v>
      </c>
      <c r="R878">
        <v>2.6080000000000001</v>
      </c>
      <c r="S878">
        <f t="shared" si="235"/>
        <v>5.93163888888889</v>
      </c>
      <c r="U878">
        <v>30</v>
      </c>
      <c r="V878" t="s">
        <v>755</v>
      </c>
      <c r="W878">
        <f t="shared" si="236"/>
        <v>32.734375</v>
      </c>
      <c r="Y878">
        <v>1999</v>
      </c>
      <c r="Z878">
        <f>2025-AVERAGE($Y$843:$Y$908)</f>
        <v>25.954545454545496</v>
      </c>
      <c r="AA878">
        <v>3.0000000000000001E-3</v>
      </c>
      <c r="AB878" t="s">
        <v>261</v>
      </c>
      <c r="AE878">
        <v>0</v>
      </c>
      <c r="AF878" t="str">
        <f t="shared" si="240"/>
        <v>Non-US</v>
      </c>
      <c r="AG878">
        <v>6</v>
      </c>
      <c r="AH878">
        <v>8</v>
      </c>
      <c r="AI878">
        <f t="shared" si="237"/>
        <v>11.253846153846155</v>
      </c>
      <c r="AJ878">
        <f t="shared" si="238"/>
        <v>12.890625</v>
      </c>
      <c r="AK878" t="s">
        <v>319</v>
      </c>
      <c r="AL878">
        <v>53</v>
      </c>
      <c r="AN878" t="s">
        <v>943</v>
      </c>
      <c r="AO878">
        <v>4.0990000000000002</v>
      </c>
    </row>
    <row r="879" spans="1:41">
      <c r="A879">
        <v>18</v>
      </c>
      <c r="B879" t="s">
        <v>562</v>
      </c>
      <c r="C879" t="s">
        <v>561</v>
      </c>
      <c r="D879" s="3">
        <f t="shared" si="233"/>
        <v>42.424242424242422</v>
      </c>
      <c r="F879">
        <v>2018</v>
      </c>
      <c r="G879">
        <f t="shared" si="239"/>
        <v>7</v>
      </c>
      <c r="J879">
        <f t="shared" si="234"/>
        <v>66</v>
      </c>
      <c r="K879">
        <v>9</v>
      </c>
      <c r="L879">
        <v>7</v>
      </c>
      <c r="P879" t="s">
        <v>907</v>
      </c>
      <c r="Q879" t="s">
        <v>507</v>
      </c>
      <c r="R879" t="s">
        <v>261</v>
      </c>
      <c r="S879">
        <f t="shared" si="235"/>
        <v>5.93163888888889</v>
      </c>
      <c r="U879">
        <v>22</v>
      </c>
      <c r="V879" t="s">
        <v>138</v>
      </c>
      <c r="W879">
        <f t="shared" si="236"/>
        <v>32.734375</v>
      </c>
      <c r="Y879">
        <v>1996</v>
      </c>
      <c r="Z879">
        <f>2025-AVERAGE($Y$843:$Y$908)</f>
        <v>25.954545454545496</v>
      </c>
      <c r="AA879">
        <v>0.02</v>
      </c>
      <c r="AB879">
        <v>0.18</v>
      </c>
      <c r="AE879">
        <v>0</v>
      </c>
      <c r="AF879" t="str">
        <f t="shared" si="240"/>
        <v>Non-US</v>
      </c>
      <c r="AG879">
        <v>7</v>
      </c>
      <c r="AH879">
        <v>10</v>
      </c>
      <c r="AI879">
        <f t="shared" si="237"/>
        <v>11.253846153846155</v>
      </c>
      <c r="AJ879">
        <f t="shared" si="238"/>
        <v>12.890625</v>
      </c>
      <c r="AK879" t="s">
        <v>319</v>
      </c>
      <c r="AL879">
        <v>53</v>
      </c>
      <c r="AN879" t="s">
        <v>943</v>
      </c>
      <c r="AO879">
        <v>4.0990000000000002</v>
      </c>
    </row>
    <row r="880" spans="1:41">
      <c r="A880">
        <v>18</v>
      </c>
      <c r="B880" t="s">
        <v>562</v>
      </c>
      <c r="C880" t="s">
        <v>561</v>
      </c>
      <c r="D880" s="3">
        <f t="shared" si="233"/>
        <v>42.424242424242422</v>
      </c>
      <c r="F880">
        <v>2018</v>
      </c>
      <c r="G880">
        <f t="shared" si="239"/>
        <v>7</v>
      </c>
      <c r="J880">
        <f t="shared" si="234"/>
        <v>66</v>
      </c>
      <c r="K880">
        <v>9</v>
      </c>
      <c r="L880">
        <v>7</v>
      </c>
      <c r="P880" t="s">
        <v>908</v>
      </c>
      <c r="Q880" t="s">
        <v>506</v>
      </c>
      <c r="R880">
        <v>14.795999999999999</v>
      </c>
      <c r="S880">
        <f t="shared" si="235"/>
        <v>5.93163888888889</v>
      </c>
      <c r="U880">
        <v>35</v>
      </c>
      <c r="V880" t="s">
        <v>138</v>
      </c>
      <c r="W880">
        <f t="shared" si="236"/>
        <v>32.734375</v>
      </c>
      <c r="Y880">
        <v>2013</v>
      </c>
      <c r="Z880">
        <f>2025-AVERAGE($Y$843:$Y$908)</f>
        <v>25.954545454545496</v>
      </c>
      <c r="AA880">
        <v>0.3</v>
      </c>
      <c r="AB880">
        <v>0.95</v>
      </c>
      <c r="AE880">
        <v>0</v>
      </c>
      <c r="AF880" t="str">
        <f t="shared" si="240"/>
        <v>Non-US</v>
      </c>
      <c r="AG880">
        <v>11</v>
      </c>
      <c r="AH880">
        <v>7</v>
      </c>
      <c r="AI880">
        <f t="shared" si="237"/>
        <v>11.253846153846155</v>
      </c>
      <c r="AJ880">
        <f t="shared" si="238"/>
        <v>12.890625</v>
      </c>
      <c r="AK880" t="s">
        <v>319</v>
      </c>
      <c r="AL880">
        <v>53</v>
      </c>
      <c r="AN880" t="s">
        <v>943</v>
      </c>
      <c r="AO880">
        <v>4.0990000000000002</v>
      </c>
    </row>
    <row r="881" spans="1:41">
      <c r="A881">
        <v>18</v>
      </c>
      <c r="B881" t="s">
        <v>562</v>
      </c>
      <c r="C881" t="s">
        <v>561</v>
      </c>
      <c r="D881" s="3">
        <f t="shared" si="233"/>
        <v>42.424242424242422</v>
      </c>
      <c r="F881">
        <v>2018</v>
      </c>
      <c r="G881">
        <f t="shared" si="239"/>
        <v>7</v>
      </c>
      <c r="J881">
        <f t="shared" si="234"/>
        <v>66</v>
      </c>
      <c r="K881">
        <v>9</v>
      </c>
      <c r="L881">
        <v>7</v>
      </c>
      <c r="P881" t="s">
        <v>909</v>
      </c>
      <c r="Q881" t="s">
        <v>506</v>
      </c>
      <c r="R881">
        <v>9.3149999999999995</v>
      </c>
      <c r="S881">
        <f t="shared" si="235"/>
        <v>5.93163888888889</v>
      </c>
      <c r="U881">
        <v>36</v>
      </c>
      <c r="V881" t="s">
        <v>138</v>
      </c>
      <c r="W881">
        <f t="shared" si="236"/>
        <v>32.734375</v>
      </c>
      <c r="Y881">
        <v>2002</v>
      </c>
      <c r="Z881">
        <f>2025-AVERAGE($Y$843:$Y$908)</f>
        <v>25.954545454545496</v>
      </c>
      <c r="AA881">
        <v>9.4999999999999998E-3</v>
      </c>
      <c r="AB881">
        <v>0.13500000000000001</v>
      </c>
      <c r="AE881">
        <v>0</v>
      </c>
      <c r="AF881" t="str">
        <f t="shared" si="240"/>
        <v>Non-US</v>
      </c>
      <c r="AG881">
        <v>7.5</v>
      </c>
      <c r="AH881">
        <v>25</v>
      </c>
      <c r="AI881">
        <f t="shared" si="237"/>
        <v>11.253846153846155</v>
      </c>
      <c r="AJ881">
        <f t="shared" si="238"/>
        <v>12.890625</v>
      </c>
      <c r="AK881" t="s">
        <v>319</v>
      </c>
      <c r="AL881">
        <v>53</v>
      </c>
      <c r="AN881" t="s">
        <v>943</v>
      </c>
      <c r="AO881">
        <v>4.0990000000000002</v>
      </c>
    </row>
    <row r="882" spans="1:41">
      <c r="A882">
        <v>18</v>
      </c>
      <c r="B882" t="s">
        <v>562</v>
      </c>
      <c r="C882" t="s">
        <v>561</v>
      </c>
      <c r="D882" s="3">
        <f t="shared" si="233"/>
        <v>42.424242424242422</v>
      </c>
      <c r="F882">
        <v>2018</v>
      </c>
      <c r="G882">
        <f t="shared" si="239"/>
        <v>7</v>
      </c>
      <c r="J882">
        <f t="shared" si="234"/>
        <v>66</v>
      </c>
      <c r="K882">
        <v>9</v>
      </c>
      <c r="L882">
        <v>7</v>
      </c>
      <c r="P882" t="s">
        <v>910</v>
      </c>
      <c r="Q882" t="s">
        <v>867</v>
      </c>
      <c r="R882">
        <v>3.0779999999999998</v>
      </c>
      <c r="S882">
        <f t="shared" si="235"/>
        <v>5.93163888888889</v>
      </c>
      <c r="U882">
        <v>24</v>
      </c>
      <c r="V882" t="s">
        <v>755</v>
      </c>
      <c r="W882">
        <f t="shared" si="236"/>
        <v>32.734375</v>
      </c>
      <c r="Y882">
        <v>2000</v>
      </c>
      <c r="Z882">
        <f>2025-AVERAGE($Y$843:$Y$908)</f>
        <v>25.954545454545496</v>
      </c>
      <c r="AA882" t="s">
        <v>261</v>
      </c>
      <c r="AB882">
        <v>0.99</v>
      </c>
      <c r="AE882">
        <v>0</v>
      </c>
      <c r="AF882" t="str">
        <f t="shared" si="240"/>
        <v>Non-US</v>
      </c>
      <c r="AG882">
        <v>7</v>
      </c>
      <c r="AH882">
        <v>12</v>
      </c>
      <c r="AI882">
        <f t="shared" si="237"/>
        <v>11.253846153846155</v>
      </c>
      <c r="AJ882">
        <f t="shared" si="238"/>
        <v>12.890625</v>
      </c>
      <c r="AK882" t="s">
        <v>319</v>
      </c>
      <c r="AL882">
        <v>53</v>
      </c>
      <c r="AN882" t="s">
        <v>943</v>
      </c>
      <c r="AO882">
        <v>4.0990000000000002</v>
      </c>
    </row>
    <row r="883" spans="1:41">
      <c r="A883">
        <v>18</v>
      </c>
      <c r="B883" t="s">
        <v>562</v>
      </c>
      <c r="C883" t="s">
        <v>561</v>
      </c>
      <c r="D883" s="3">
        <f t="shared" si="233"/>
        <v>42.424242424242422</v>
      </c>
      <c r="F883">
        <v>2018</v>
      </c>
      <c r="G883">
        <f t="shared" si="239"/>
        <v>7</v>
      </c>
      <c r="J883">
        <f t="shared" si="234"/>
        <v>66</v>
      </c>
      <c r="K883">
        <v>9</v>
      </c>
      <c r="L883">
        <v>7</v>
      </c>
      <c r="P883" t="s">
        <v>912</v>
      </c>
      <c r="Q883" t="s">
        <v>911</v>
      </c>
      <c r="R883">
        <v>0.6</v>
      </c>
      <c r="S883">
        <f t="shared" si="235"/>
        <v>5.93163888888889</v>
      </c>
      <c r="U883">
        <v>17</v>
      </c>
      <c r="V883" t="s">
        <v>138</v>
      </c>
      <c r="W883">
        <f t="shared" si="236"/>
        <v>32.734375</v>
      </c>
      <c r="Y883">
        <v>2007</v>
      </c>
      <c r="Z883">
        <f>2025-AVERAGE($Y$843:$Y$908)</f>
        <v>25.954545454545496</v>
      </c>
      <c r="AA883">
        <v>0.02</v>
      </c>
      <c r="AB883">
        <v>0.47</v>
      </c>
      <c r="AE883">
        <v>0</v>
      </c>
      <c r="AF883" t="str">
        <f t="shared" si="240"/>
        <v>Non-US</v>
      </c>
      <c r="AG883">
        <v>7</v>
      </c>
      <c r="AH883">
        <v>33</v>
      </c>
      <c r="AI883">
        <f t="shared" si="237"/>
        <v>11.253846153846155</v>
      </c>
      <c r="AJ883">
        <f t="shared" si="238"/>
        <v>12.890625</v>
      </c>
      <c r="AK883" t="s">
        <v>319</v>
      </c>
      <c r="AL883">
        <v>53</v>
      </c>
      <c r="AN883" t="s">
        <v>943</v>
      </c>
      <c r="AO883">
        <v>4.0990000000000002</v>
      </c>
    </row>
    <row r="884" spans="1:41">
      <c r="A884">
        <v>18</v>
      </c>
      <c r="B884" t="s">
        <v>562</v>
      </c>
      <c r="C884" t="s">
        <v>561</v>
      </c>
      <c r="D884" s="3">
        <f t="shared" si="233"/>
        <v>42.424242424242422</v>
      </c>
      <c r="F884">
        <v>2018</v>
      </c>
      <c r="G884">
        <f t="shared" si="239"/>
        <v>7</v>
      </c>
      <c r="J884">
        <f t="shared" si="234"/>
        <v>66</v>
      </c>
      <c r="K884">
        <v>9</v>
      </c>
      <c r="L884">
        <v>7</v>
      </c>
      <c r="P884" t="s">
        <v>914</v>
      </c>
      <c r="Q884" t="s">
        <v>507</v>
      </c>
      <c r="R884" t="s">
        <v>261</v>
      </c>
      <c r="S884">
        <f t="shared" si="235"/>
        <v>5.93163888888889</v>
      </c>
      <c r="U884">
        <v>3</v>
      </c>
      <c r="V884" t="s">
        <v>138</v>
      </c>
      <c r="W884">
        <f t="shared" si="236"/>
        <v>32.734375</v>
      </c>
      <c r="Y884">
        <v>1994</v>
      </c>
      <c r="Z884">
        <f>2025-AVERAGE($Y$843:$Y$908)</f>
        <v>25.954545454545496</v>
      </c>
      <c r="AA884" t="s">
        <v>913</v>
      </c>
      <c r="AB884" t="s">
        <v>913</v>
      </c>
      <c r="AE884">
        <v>0</v>
      </c>
      <c r="AF884" t="str">
        <f t="shared" si="240"/>
        <v>Non-US</v>
      </c>
      <c r="AG884">
        <v>2</v>
      </c>
      <c r="AH884">
        <v>10</v>
      </c>
      <c r="AI884">
        <f t="shared" si="237"/>
        <v>11.253846153846155</v>
      </c>
      <c r="AJ884">
        <f t="shared" si="238"/>
        <v>12.890625</v>
      </c>
      <c r="AK884" t="s">
        <v>319</v>
      </c>
      <c r="AL884">
        <v>53</v>
      </c>
      <c r="AN884" t="s">
        <v>943</v>
      </c>
      <c r="AO884">
        <v>4.0990000000000002</v>
      </c>
    </row>
    <row r="885" spans="1:41">
      <c r="A885">
        <v>18</v>
      </c>
      <c r="B885" t="s">
        <v>562</v>
      </c>
      <c r="C885" t="s">
        <v>561</v>
      </c>
      <c r="D885" s="3">
        <f t="shared" si="233"/>
        <v>42.424242424242422</v>
      </c>
      <c r="F885">
        <v>2018</v>
      </c>
      <c r="G885">
        <f t="shared" si="239"/>
        <v>7</v>
      </c>
      <c r="J885">
        <f t="shared" si="234"/>
        <v>66</v>
      </c>
      <c r="K885">
        <v>9</v>
      </c>
      <c r="L885">
        <v>7</v>
      </c>
      <c r="P885" t="s">
        <v>915</v>
      </c>
      <c r="Q885" t="s">
        <v>507</v>
      </c>
      <c r="R885">
        <v>3.9780000000000002</v>
      </c>
      <c r="S885">
        <f t="shared" si="235"/>
        <v>5.93163888888889</v>
      </c>
      <c r="U885">
        <v>31</v>
      </c>
      <c r="V885" t="s">
        <v>138</v>
      </c>
      <c r="W885">
        <f t="shared" si="236"/>
        <v>32.734375</v>
      </c>
      <c r="Y885">
        <v>2002</v>
      </c>
      <c r="Z885">
        <f>2025-AVERAGE($Y$843:$Y$908)</f>
        <v>25.954545454545496</v>
      </c>
      <c r="AA885">
        <v>0.79</v>
      </c>
      <c r="AB885">
        <v>4.8000000000000001E-2</v>
      </c>
      <c r="AE885">
        <v>0</v>
      </c>
      <c r="AF885" t="str">
        <f t="shared" si="240"/>
        <v>Non-US</v>
      </c>
      <c r="AG885">
        <v>4</v>
      </c>
      <c r="AH885">
        <v>13</v>
      </c>
      <c r="AI885">
        <f t="shared" si="237"/>
        <v>11.253846153846155</v>
      </c>
      <c r="AJ885">
        <f t="shared" si="238"/>
        <v>12.890625</v>
      </c>
      <c r="AK885" t="s">
        <v>319</v>
      </c>
      <c r="AL885">
        <v>53</v>
      </c>
      <c r="AN885" t="s">
        <v>943</v>
      </c>
      <c r="AO885">
        <v>4.0990000000000002</v>
      </c>
    </row>
    <row r="886" spans="1:41">
      <c r="A886">
        <v>18</v>
      </c>
      <c r="B886" t="s">
        <v>562</v>
      </c>
      <c r="C886" t="s">
        <v>561</v>
      </c>
      <c r="D886" s="3">
        <f t="shared" si="233"/>
        <v>42.424242424242422</v>
      </c>
      <c r="F886">
        <v>2018</v>
      </c>
      <c r="G886">
        <f t="shared" si="239"/>
        <v>7</v>
      </c>
      <c r="J886">
        <f t="shared" si="234"/>
        <v>66</v>
      </c>
      <c r="K886">
        <v>9</v>
      </c>
      <c r="L886">
        <v>7</v>
      </c>
      <c r="P886" t="s">
        <v>916</v>
      </c>
      <c r="Q886" t="s">
        <v>507</v>
      </c>
      <c r="R886" t="s">
        <v>261</v>
      </c>
      <c r="S886">
        <f t="shared" si="235"/>
        <v>5.93163888888889</v>
      </c>
      <c r="U886">
        <v>22</v>
      </c>
      <c r="V886" t="s">
        <v>138</v>
      </c>
      <c r="W886">
        <f t="shared" si="236"/>
        <v>32.734375</v>
      </c>
      <c r="Y886">
        <v>1979</v>
      </c>
      <c r="Z886">
        <f>2025-AVERAGE($Y$843:$Y$908)</f>
        <v>25.954545454545496</v>
      </c>
      <c r="AA886" t="s">
        <v>261</v>
      </c>
      <c r="AB886">
        <v>0.03</v>
      </c>
      <c r="AE886">
        <v>0</v>
      </c>
      <c r="AF886" t="str">
        <f t="shared" si="240"/>
        <v>Non-US</v>
      </c>
      <c r="AG886">
        <v>14</v>
      </c>
      <c r="AH886">
        <v>12</v>
      </c>
      <c r="AI886">
        <f t="shared" si="237"/>
        <v>11.253846153846155</v>
      </c>
      <c r="AJ886">
        <f t="shared" si="238"/>
        <v>12.890625</v>
      </c>
      <c r="AK886" t="s">
        <v>319</v>
      </c>
      <c r="AL886">
        <v>53</v>
      </c>
      <c r="AN886" t="s">
        <v>943</v>
      </c>
      <c r="AO886">
        <v>4.0990000000000002</v>
      </c>
    </row>
    <row r="887" spans="1:41">
      <c r="A887">
        <v>18</v>
      </c>
      <c r="B887" t="s">
        <v>562</v>
      </c>
      <c r="C887" t="s">
        <v>561</v>
      </c>
      <c r="D887" s="3">
        <f t="shared" si="233"/>
        <v>42.424242424242422</v>
      </c>
      <c r="F887">
        <v>2018</v>
      </c>
      <c r="G887">
        <f t="shared" si="239"/>
        <v>7</v>
      </c>
      <c r="J887">
        <f t="shared" si="234"/>
        <v>66</v>
      </c>
      <c r="K887">
        <v>9</v>
      </c>
      <c r="L887">
        <v>7</v>
      </c>
      <c r="P887" t="s">
        <v>917</v>
      </c>
      <c r="Q887" t="s">
        <v>506</v>
      </c>
      <c r="R887" t="s">
        <v>261</v>
      </c>
      <c r="S887">
        <f t="shared" si="235"/>
        <v>5.93163888888889</v>
      </c>
      <c r="U887">
        <v>33</v>
      </c>
      <c r="V887" t="s">
        <v>138</v>
      </c>
      <c r="W887">
        <f t="shared" si="236"/>
        <v>32.734375</v>
      </c>
      <c r="Y887">
        <v>1998</v>
      </c>
      <c r="Z887">
        <f>2025-AVERAGE($Y$843:$Y$908)</f>
        <v>25.954545454545496</v>
      </c>
      <c r="AA887">
        <v>0.72</v>
      </c>
      <c r="AB887" t="s">
        <v>261</v>
      </c>
      <c r="AE887">
        <v>0</v>
      </c>
      <c r="AF887" t="str">
        <f t="shared" si="240"/>
        <v>Non-US</v>
      </c>
      <c r="AG887">
        <v>12</v>
      </c>
      <c r="AH887">
        <v>15</v>
      </c>
      <c r="AI887">
        <f t="shared" si="237"/>
        <v>11.253846153846155</v>
      </c>
      <c r="AJ887">
        <f t="shared" si="238"/>
        <v>12.890625</v>
      </c>
      <c r="AK887" t="s">
        <v>319</v>
      </c>
      <c r="AL887">
        <v>53</v>
      </c>
      <c r="AN887" t="s">
        <v>943</v>
      </c>
      <c r="AO887">
        <v>4.0990000000000002</v>
      </c>
    </row>
    <row r="888" spans="1:41">
      <c r="A888">
        <v>18</v>
      </c>
      <c r="B888" t="s">
        <v>562</v>
      </c>
      <c r="C888" t="s">
        <v>561</v>
      </c>
      <c r="D888" s="3">
        <f t="shared" si="233"/>
        <v>42.424242424242422</v>
      </c>
      <c r="F888">
        <v>2018</v>
      </c>
      <c r="G888">
        <f t="shared" si="239"/>
        <v>7</v>
      </c>
      <c r="J888">
        <f t="shared" si="234"/>
        <v>66</v>
      </c>
      <c r="K888">
        <v>9</v>
      </c>
      <c r="L888">
        <v>7</v>
      </c>
      <c r="P888" t="s">
        <v>918</v>
      </c>
      <c r="Q888" t="s">
        <v>507</v>
      </c>
      <c r="R888">
        <v>6.3250000000000002</v>
      </c>
      <c r="S888">
        <f t="shared" si="235"/>
        <v>5.93163888888889</v>
      </c>
      <c r="U888">
        <v>48</v>
      </c>
      <c r="V888" t="s">
        <v>138</v>
      </c>
      <c r="W888">
        <f t="shared" si="236"/>
        <v>32.734375</v>
      </c>
      <c r="Y888">
        <v>2009</v>
      </c>
      <c r="Z888">
        <f>2025-AVERAGE($Y$843:$Y$908)</f>
        <v>25.954545454545496</v>
      </c>
      <c r="AA888">
        <v>0.18</v>
      </c>
      <c r="AB888">
        <v>0.03</v>
      </c>
      <c r="AE888">
        <v>0</v>
      </c>
      <c r="AF888" t="str">
        <f t="shared" si="240"/>
        <v>Non-US</v>
      </c>
      <c r="AG888">
        <v>11</v>
      </c>
      <c r="AH888">
        <v>8</v>
      </c>
      <c r="AI888">
        <f t="shared" si="237"/>
        <v>11.253846153846155</v>
      </c>
      <c r="AJ888">
        <f t="shared" si="238"/>
        <v>12.890625</v>
      </c>
      <c r="AK888" t="s">
        <v>319</v>
      </c>
      <c r="AL888">
        <v>53</v>
      </c>
      <c r="AN888" t="s">
        <v>943</v>
      </c>
      <c r="AO888">
        <v>4.0990000000000002</v>
      </c>
    </row>
    <row r="889" spans="1:41">
      <c r="A889">
        <v>18</v>
      </c>
      <c r="B889" t="s">
        <v>562</v>
      </c>
      <c r="C889" t="s">
        <v>561</v>
      </c>
      <c r="D889" s="3">
        <f t="shared" si="233"/>
        <v>42.424242424242422</v>
      </c>
      <c r="F889">
        <v>2018</v>
      </c>
      <c r="G889">
        <f t="shared" si="239"/>
        <v>7</v>
      </c>
      <c r="J889">
        <f t="shared" si="234"/>
        <v>66</v>
      </c>
      <c r="K889">
        <v>9</v>
      </c>
      <c r="L889">
        <v>7</v>
      </c>
      <c r="P889" t="s">
        <v>919</v>
      </c>
      <c r="Q889" t="s">
        <v>883</v>
      </c>
      <c r="R889" t="s">
        <v>261</v>
      </c>
      <c r="S889">
        <f t="shared" si="235"/>
        <v>5.93163888888889</v>
      </c>
      <c r="U889">
        <v>24</v>
      </c>
      <c r="V889" t="s">
        <v>882</v>
      </c>
      <c r="W889">
        <f t="shared" si="236"/>
        <v>32.734375</v>
      </c>
      <c r="Y889">
        <v>1996</v>
      </c>
      <c r="Z889">
        <f>2025-AVERAGE($Y$843:$Y$908)</f>
        <v>25.954545454545496</v>
      </c>
      <c r="AA889" t="s">
        <v>261</v>
      </c>
      <c r="AB889" t="s">
        <v>920</v>
      </c>
      <c r="AE889">
        <v>0</v>
      </c>
      <c r="AF889" t="str">
        <f t="shared" si="240"/>
        <v>Non-US</v>
      </c>
      <c r="AG889">
        <v>5</v>
      </c>
      <c r="AH889">
        <v>9</v>
      </c>
      <c r="AI889">
        <f t="shared" si="237"/>
        <v>11.253846153846155</v>
      </c>
      <c r="AJ889">
        <f t="shared" si="238"/>
        <v>12.890625</v>
      </c>
      <c r="AK889" t="s">
        <v>319</v>
      </c>
      <c r="AL889">
        <v>53</v>
      </c>
      <c r="AN889" t="s">
        <v>943</v>
      </c>
      <c r="AO889">
        <v>4.0990000000000002</v>
      </c>
    </row>
    <row r="890" spans="1:41">
      <c r="A890">
        <v>18</v>
      </c>
      <c r="B890" t="s">
        <v>562</v>
      </c>
      <c r="C890" t="s">
        <v>561</v>
      </c>
      <c r="D890" s="3">
        <f t="shared" si="233"/>
        <v>42.424242424242422</v>
      </c>
      <c r="F890">
        <v>2018</v>
      </c>
      <c r="G890">
        <f t="shared" si="239"/>
        <v>7</v>
      </c>
      <c r="J890">
        <f t="shared" si="234"/>
        <v>66</v>
      </c>
      <c r="K890">
        <v>9</v>
      </c>
      <c r="L890">
        <v>7</v>
      </c>
      <c r="P890" t="s">
        <v>921</v>
      </c>
      <c r="Q890" t="s">
        <v>506</v>
      </c>
      <c r="R890" t="s">
        <v>261</v>
      </c>
      <c r="S890">
        <f t="shared" si="235"/>
        <v>5.93163888888889</v>
      </c>
      <c r="U890">
        <v>57</v>
      </c>
      <c r="V890" t="s">
        <v>138</v>
      </c>
      <c r="W890">
        <f t="shared" si="236"/>
        <v>32.734375</v>
      </c>
      <c r="Y890">
        <v>1996</v>
      </c>
      <c r="Z890">
        <f>2025-AVERAGE($Y$843:$Y$908)</f>
        <v>25.954545454545496</v>
      </c>
      <c r="AA890">
        <v>0.02</v>
      </c>
      <c r="AB890">
        <v>0.3</v>
      </c>
      <c r="AE890">
        <v>0</v>
      </c>
      <c r="AF890" t="str">
        <f t="shared" si="240"/>
        <v>Non-US</v>
      </c>
      <c r="AG890">
        <v>9</v>
      </c>
      <c r="AH890">
        <v>13</v>
      </c>
      <c r="AI890">
        <f t="shared" si="237"/>
        <v>11.253846153846155</v>
      </c>
      <c r="AJ890">
        <f t="shared" si="238"/>
        <v>12.890625</v>
      </c>
      <c r="AK890" t="s">
        <v>319</v>
      </c>
      <c r="AL890">
        <v>53</v>
      </c>
      <c r="AN890" t="s">
        <v>943</v>
      </c>
      <c r="AO890">
        <v>4.0990000000000002</v>
      </c>
    </row>
    <row r="891" spans="1:41">
      <c r="A891">
        <v>18</v>
      </c>
      <c r="B891" t="s">
        <v>562</v>
      </c>
      <c r="C891" t="s">
        <v>561</v>
      </c>
      <c r="D891" s="3">
        <f t="shared" si="233"/>
        <v>42.424242424242422</v>
      </c>
      <c r="F891">
        <v>2018</v>
      </c>
      <c r="G891">
        <f t="shared" si="239"/>
        <v>7</v>
      </c>
      <c r="J891">
        <f t="shared" si="234"/>
        <v>66</v>
      </c>
      <c r="K891">
        <v>9</v>
      </c>
      <c r="L891">
        <v>7</v>
      </c>
      <c r="P891" t="s">
        <v>922</v>
      </c>
      <c r="Q891" t="s">
        <v>506</v>
      </c>
      <c r="R891" t="s">
        <v>261</v>
      </c>
      <c r="S891">
        <f t="shared" si="235"/>
        <v>5.93163888888889</v>
      </c>
      <c r="U891">
        <v>41</v>
      </c>
      <c r="V891" t="s">
        <v>138</v>
      </c>
      <c r="W891">
        <f t="shared" si="236"/>
        <v>32.734375</v>
      </c>
      <c r="Y891">
        <v>1987</v>
      </c>
      <c r="Z891">
        <f>2025-AVERAGE($Y$843:$Y$908)</f>
        <v>25.954545454545496</v>
      </c>
      <c r="AA891">
        <v>0.11</v>
      </c>
      <c r="AB891" t="s">
        <v>261</v>
      </c>
      <c r="AE891">
        <v>0</v>
      </c>
      <c r="AF891" t="str">
        <f t="shared" si="240"/>
        <v>Non-US</v>
      </c>
      <c r="AG891">
        <v>10</v>
      </c>
      <c r="AH891">
        <v>15</v>
      </c>
      <c r="AI891">
        <f t="shared" si="237"/>
        <v>11.253846153846155</v>
      </c>
      <c r="AJ891">
        <f t="shared" si="238"/>
        <v>12.890625</v>
      </c>
      <c r="AK891" t="s">
        <v>319</v>
      </c>
      <c r="AL891">
        <v>53</v>
      </c>
      <c r="AN891" t="s">
        <v>943</v>
      </c>
      <c r="AO891">
        <v>4.0990000000000002</v>
      </c>
    </row>
    <row r="892" spans="1:41">
      <c r="A892">
        <v>18</v>
      </c>
      <c r="B892" t="s">
        <v>562</v>
      </c>
      <c r="C892" t="s">
        <v>561</v>
      </c>
      <c r="D892" s="3">
        <f t="shared" si="233"/>
        <v>42.424242424242422</v>
      </c>
      <c r="F892">
        <v>2018</v>
      </c>
      <c r="G892">
        <f t="shared" si="239"/>
        <v>7</v>
      </c>
      <c r="J892">
        <f t="shared" si="234"/>
        <v>66</v>
      </c>
      <c r="K892">
        <v>9</v>
      </c>
      <c r="L892">
        <v>7</v>
      </c>
      <c r="P892" t="s">
        <v>923</v>
      </c>
      <c r="Q892" t="s">
        <v>867</v>
      </c>
      <c r="R892" t="s">
        <v>261</v>
      </c>
      <c r="S892">
        <f t="shared" si="235"/>
        <v>5.93163888888889</v>
      </c>
      <c r="U892">
        <v>24</v>
      </c>
      <c r="V892" t="s">
        <v>755</v>
      </c>
      <c r="W892">
        <f t="shared" si="236"/>
        <v>32.734375</v>
      </c>
      <c r="Y892">
        <v>1994</v>
      </c>
      <c r="Z892">
        <f>2025-AVERAGE($Y$843:$Y$908)</f>
        <v>25.954545454545496</v>
      </c>
      <c r="AA892">
        <v>5.1999999999999998E-2</v>
      </c>
      <c r="AB892">
        <v>0.87</v>
      </c>
      <c r="AE892">
        <v>0</v>
      </c>
      <c r="AF892" t="str">
        <f t="shared" si="240"/>
        <v>Non-US</v>
      </c>
      <c r="AG892">
        <v>6</v>
      </c>
      <c r="AH892">
        <v>12</v>
      </c>
      <c r="AI892">
        <f t="shared" si="237"/>
        <v>11.253846153846155</v>
      </c>
      <c r="AJ892">
        <f t="shared" si="238"/>
        <v>12.890625</v>
      </c>
      <c r="AK892" t="s">
        <v>319</v>
      </c>
      <c r="AL892">
        <v>53</v>
      </c>
      <c r="AN892" t="s">
        <v>943</v>
      </c>
      <c r="AO892">
        <v>4.0990000000000002</v>
      </c>
    </row>
    <row r="893" spans="1:41">
      <c r="A893">
        <v>18</v>
      </c>
      <c r="B893" t="s">
        <v>562</v>
      </c>
      <c r="C893" t="s">
        <v>561</v>
      </c>
      <c r="D893" s="3">
        <f t="shared" si="233"/>
        <v>42.424242424242422</v>
      </c>
      <c r="F893">
        <v>2018</v>
      </c>
      <c r="G893">
        <f t="shared" si="239"/>
        <v>7</v>
      </c>
      <c r="J893">
        <f t="shared" si="234"/>
        <v>66</v>
      </c>
      <c r="K893">
        <v>9</v>
      </c>
      <c r="L893">
        <v>7</v>
      </c>
      <c r="P893" t="s">
        <v>924</v>
      </c>
      <c r="Q893" t="s">
        <v>506</v>
      </c>
      <c r="R893">
        <v>13.673999999999999</v>
      </c>
      <c r="S893">
        <f t="shared" si="235"/>
        <v>5.93163888888889</v>
      </c>
      <c r="U893">
        <v>36</v>
      </c>
      <c r="V893" t="s">
        <v>755</v>
      </c>
      <c r="W893">
        <f t="shared" si="236"/>
        <v>32.734375</v>
      </c>
      <c r="Y893">
        <v>2011</v>
      </c>
      <c r="Z893">
        <f>2025-AVERAGE($Y$843:$Y$908)</f>
        <v>25.954545454545496</v>
      </c>
      <c r="AA893">
        <v>0.33</v>
      </c>
      <c r="AB893" t="s">
        <v>868</v>
      </c>
      <c r="AE893">
        <v>0</v>
      </c>
      <c r="AF893" t="str">
        <f t="shared" si="240"/>
        <v>Non-US</v>
      </c>
      <c r="AG893">
        <v>9</v>
      </c>
      <c r="AH893">
        <v>21</v>
      </c>
      <c r="AI893">
        <f t="shared" si="237"/>
        <v>11.253846153846155</v>
      </c>
      <c r="AJ893">
        <f t="shared" si="238"/>
        <v>12.890625</v>
      </c>
      <c r="AK893" t="s">
        <v>319</v>
      </c>
      <c r="AL893">
        <v>53</v>
      </c>
      <c r="AN893" t="s">
        <v>943</v>
      </c>
      <c r="AO893">
        <v>4.0990000000000002</v>
      </c>
    </row>
    <row r="894" spans="1:41">
      <c r="A894">
        <v>18</v>
      </c>
      <c r="B894" t="s">
        <v>562</v>
      </c>
      <c r="C894" t="s">
        <v>561</v>
      </c>
      <c r="D894" s="3">
        <f t="shared" si="233"/>
        <v>42.424242424242422</v>
      </c>
      <c r="F894">
        <v>2018</v>
      </c>
      <c r="G894">
        <f t="shared" si="239"/>
        <v>7</v>
      </c>
      <c r="J894">
        <f t="shared" si="234"/>
        <v>66</v>
      </c>
      <c r="K894">
        <v>9</v>
      </c>
      <c r="L894">
        <v>7</v>
      </c>
      <c r="P894" t="s">
        <v>925</v>
      </c>
      <c r="Q894" t="s">
        <v>507</v>
      </c>
      <c r="R894" t="s">
        <v>261</v>
      </c>
      <c r="S894">
        <f t="shared" si="235"/>
        <v>5.93163888888889</v>
      </c>
      <c r="U894">
        <v>56</v>
      </c>
      <c r="V894" t="s">
        <v>138</v>
      </c>
      <c r="W894">
        <f t="shared" si="236"/>
        <v>32.734375</v>
      </c>
      <c r="Y894">
        <v>1993</v>
      </c>
      <c r="Z894">
        <f>2025-AVERAGE($Y$843:$Y$908)</f>
        <v>25.954545454545496</v>
      </c>
      <c r="AA894">
        <v>1.4999999999999999E-2</v>
      </c>
      <c r="AB894">
        <v>0.34</v>
      </c>
      <c r="AE894">
        <v>0</v>
      </c>
      <c r="AF894" t="str">
        <f t="shared" si="240"/>
        <v>Non-US</v>
      </c>
      <c r="AG894">
        <v>3</v>
      </c>
      <c r="AH894">
        <v>6</v>
      </c>
      <c r="AI894">
        <f t="shared" si="237"/>
        <v>11.253846153846155</v>
      </c>
      <c r="AJ894">
        <f t="shared" si="238"/>
        <v>12.890625</v>
      </c>
      <c r="AK894" t="s">
        <v>319</v>
      </c>
      <c r="AL894">
        <v>53</v>
      </c>
      <c r="AN894" t="s">
        <v>943</v>
      </c>
      <c r="AO894">
        <v>4.0990000000000002</v>
      </c>
    </row>
    <row r="895" spans="1:41">
      <c r="A895">
        <v>18</v>
      </c>
      <c r="B895" t="s">
        <v>562</v>
      </c>
      <c r="C895" t="s">
        <v>561</v>
      </c>
      <c r="D895" s="3">
        <f t="shared" si="233"/>
        <v>42.424242424242422</v>
      </c>
      <c r="F895">
        <v>2018</v>
      </c>
      <c r="G895">
        <f t="shared" si="239"/>
        <v>7</v>
      </c>
      <c r="J895">
        <f t="shared" si="234"/>
        <v>66</v>
      </c>
      <c r="K895">
        <v>9</v>
      </c>
      <c r="L895">
        <v>7</v>
      </c>
      <c r="P895" t="s">
        <v>927</v>
      </c>
      <c r="Q895" t="s">
        <v>874</v>
      </c>
      <c r="R895">
        <v>1.121</v>
      </c>
      <c r="S895">
        <f t="shared" si="235"/>
        <v>5.93163888888889</v>
      </c>
      <c r="U895">
        <v>16</v>
      </c>
      <c r="V895" t="s">
        <v>138</v>
      </c>
      <c r="W895">
        <f t="shared" si="236"/>
        <v>32.734375</v>
      </c>
      <c r="Y895">
        <v>1999</v>
      </c>
      <c r="Z895">
        <f>2025-AVERAGE($Y$843:$Y$908)</f>
        <v>25.954545454545496</v>
      </c>
      <c r="AA895" t="s">
        <v>926</v>
      </c>
      <c r="AB895">
        <v>0.17</v>
      </c>
      <c r="AE895">
        <v>0</v>
      </c>
      <c r="AF895" t="str">
        <f t="shared" si="240"/>
        <v>Non-US</v>
      </c>
      <c r="AG895">
        <v>8</v>
      </c>
      <c r="AH895">
        <v>9</v>
      </c>
      <c r="AI895">
        <f t="shared" si="237"/>
        <v>11.253846153846155</v>
      </c>
      <c r="AJ895">
        <f t="shared" si="238"/>
        <v>12.890625</v>
      </c>
      <c r="AK895" t="s">
        <v>319</v>
      </c>
      <c r="AL895">
        <v>53</v>
      </c>
      <c r="AN895" t="s">
        <v>943</v>
      </c>
      <c r="AO895">
        <v>4.0990000000000002</v>
      </c>
    </row>
    <row r="896" spans="1:41">
      <c r="A896">
        <v>18</v>
      </c>
      <c r="B896" t="s">
        <v>562</v>
      </c>
      <c r="C896" t="s">
        <v>561</v>
      </c>
      <c r="D896" s="3">
        <f t="shared" si="233"/>
        <v>42.424242424242422</v>
      </c>
      <c r="F896">
        <v>2018</v>
      </c>
      <c r="G896">
        <f t="shared" si="239"/>
        <v>7</v>
      </c>
      <c r="J896">
        <f t="shared" si="234"/>
        <v>66</v>
      </c>
      <c r="K896">
        <v>9</v>
      </c>
      <c r="L896">
        <v>7</v>
      </c>
      <c r="P896" t="s">
        <v>928</v>
      </c>
      <c r="Q896" t="s">
        <v>871</v>
      </c>
      <c r="R896">
        <v>3.8540000000000001</v>
      </c>
      <c r="S896">
        <f t="shared" si="235"/>
        <v>5.93163888888889</v>
      </c>
      <c r="U896">
        <v>50</v>
      </c>
      <c r="V896" t="s">
        <v>138</v>
      </c>
      <c r="W896">
        <f t="shared" si="236"/>
        <v>32.734375</v>
      </c>
      <c r="Y896">
        <v>2002</v>
      </c>
      <c r="Z896">
        <f>2025-AVERAGE($Y$843:$Y$908)</f>
        <v>25.954545454545496</v>
      </c>
      <c r="AA896">
        <v>0.1</v>
      </c>
      <c r="AB896">
        <v>0.42749999999999999</v>
      </c>
      <c r="AE896">
        <v>0</v>
      </c>
      <c r="AF896" t="str">
        <f t="shared" si="240"/>
        <v>Non-US</v>
      </c>
      <c r="AG896">
        <v>9</v>
      </c>
      <c r="AH896">
        <v>12</v>
      </c>
      <c r="AI896">
        <f t="shared" si="237"/>
        <v>11.253846153846155</v>
      </c>
      <c r="AJ896">
        <f t="shared" si="238"/>
        <v>12.890625</v>
      </c>
      <c r="AK896" t="s">
        <v>319</v>
      </c>
      <c r="AL896">
        <v>53</v>
      </c>
      <c r="AN896" t="s">
        <v>943</v>
      </c>
      <c r="AO896">
        <v>4.0990000000000002</v>
      </c>
    </row>
    <row r="897" spans="1:41">
      <c r="A897">
        <v>18</v>
      </c>
      <c r="B897" t="s">
        <v>562</v>
      </c>
      <c r="C897" t="s">
        <v>561</v>
      </c>
      <c r="D897" s="3">
        <f t="shared" si="233"/>
        <v>42.424242424242422</v>
      </c>
      <c r="F897">
        <v>2018</v>
      </c>
      <c r="G897">
        <f t="shared" si="239"/>
        <v>7</v>
      </c>
      <c r="J897">
        <f t="shared" si="234"/>
        <v>66</v>
      </c>
      <c r="K897">
        <v>9</v>
      </c>
      <c r="L897">
        <v>7</v>
      </c>
      <c r="P897" t="s">
        <v>929</v>
      </c>
      <c r="Q897" t="s">
        <v>506</v>
      </c>
      <c r="R897">
        <v>3.4</v>
      </c>
      <c r="S897">
        <f t="shared" si="235"/>
        <v>5.93163888888889</v>
      </c>
      <c r="U897">
        <v>14</v>
      </c>
      <c r="V897" t="s">
        <v>138</v>
      </c>
      <c r="W897">
        <f t="shared" si="236"/>
        <v>32.734375</v>
      </c>
      <c r="Y897">
        <v>2001</v>
      </c>
      <c r="Z897">
        <f>2025-AVERAGE($Y$843:$Y$908)</f>
        <v>25.954545454545496</v>
      </c>
      <c r="AA897" t="s">
        <v>261</v>
      </c>
      <c r="AB897">
        <v>0.36</v>
      </c>
      <c r="AE897">
        <v>0</v>
      </c>
      <c r="AF897" t="str">
        <f t="shared" si="240"/>
        <v>Non-US</v>
      </c>
      <c r="AG897">
        <v>12</v>
      </c>
      <c r="AH897">
        <v>21</v>
      </c>
      <c r="AI897">
        <f t="shared" si="237"/>
        <v>11.253846153846155</v>
      </c>
      <c r="AJ897">
        <f t="shared" si="238"/>
        <v>12.890625</v>
      </c>
      <c r="AK897" t="s">
        <v>319</v>
      </c>
      <c r="AL897">
        <v>53</v>
      </c>
      <c r="AN897" t="s">
        <v>943</v>
      </c>
      <c r="AO897">
        <v>4.0990000000000002</v>
      </c>
    </row>
    <row r="898" spans="1:41">
      <c r="A898">
        <v>18</v>
      </c>
      <c r="B898" t="s">
        <v>562</v>
      </c>
      <c r="C898" t="s">
        <v>561</v>
      </c>
      <c r="D898" s="3">
        <f t="shared" si="233"/>
        <v>42.424242424242422</v>
      </c>
      <c r="F898">
        <v>2018</v>
      </c>
      <c r="G898">
        <f t="shared" si="239"/>
        <v>7</v>
      </c>
      <c r="J898">
        <f t="shared" si="234"/>
        <v>66</v>
      </c>
      <c r="K898">
        <v>9</v>
      </c>
      <c r="L898">
        <v>7</v>
      </c>
      <c r="P898" t="s">
        <v>930</v>
      </c>
      <c r="Q898" t="s">
        <v>507</v>
      </c>
      <c r="R898">
        <v>4.1390000000000002</v>
      </c>
      <c r="S898">
        <f t="shared" si="235"/>
        <v>5.93163888888889</v>
      </c>
      <c r="U898">
        <v>30</v>
      </c>
      <c r="V898" t="s">
        <v>138</v>
      </c>
      <c r="W898">
        <f t="shared" si="236"/>
        <v>32.734375</v>
      </c>
      <c r="Y898">
        <v>2000</v>
      </c>
      <c r="Z898">
        <f>2025-AVERAGE($Y$843:$Y$908)</f>
        <v>25.954545454545496</v>
      </c>
      <c r="AA898">
        <v>2E-3</v>
      </c>
      <c r="AB898">
        <v>0.25</v>
      </c>
      <c r="AE898">
        <v>0</v>
      </c>
      <c r="AF898" t="str">
        <f t="shared" si="240"/>
        <v>Non-US</v>
      </c>
      <c r="AG898">
        <v>8</v>
      </c>
      <c r="AH898">
        <v>23</v>
      </c>
      <c r="AI898">
        <f t="shared" si="237"/>
        <v>11.253846153846155</v>
      </c>
      <c r="AJ898">
        <f t="shared" si="238"/>
        <v>12.890625</v>
      </c>
      <c r="AK898" t="s">
        <v>319</v>
      </c>
      <c r="AL898">
        <v>53</v>
      </c>
      <c r="AN898" t="s">
        <v>943</v>
      </c>
      <c r="AO898">
        <v>4.0990000000000002</v>
      </c>
    </row>
    <row r="899" spans="1:41">
      <c r="A899">
        <v>18</v>
      </c>
      <c r="B899" t="s">
        <v>562</v>
      </c>
      <c r="C899" t="s">
        <v>561</v>
      </c>
      <c r="D899" s="3">
        <f t="shared" si="233"/>
        <v>42.424242424242422</v>
      </c>
      <c r="F899">
        <v>2018</v>
      </c>
      <c r="G899">
        <f t="shared" si="239"/>
        <v>7</v>
      </c>
      <c r="J899">
        <f t="shared" si="234"/>
        <v>66</v>
      </c>
      <c r="K899">
        <v>9</v>
      </c>
      <c r="L899">
        <v>7</v>
      </c>
      <c r="P899" t="s">
        <v>931</v>
      </c>
      <c r="Q899" t="s">
        <v>867</v>
      </c>
      <c r="R899" t="s">
        <v>261</v>
      </c>
      <c r="S899">
        <f t="shared" si="235"/>
        <v>5.93163888888889</v>
      </c>
      <c r="U899">
        <v>22</v>
      </c>
      <c r="V899" t="s">
        <v>755</v>
      </c>
      <c r="W899">
        <f t="shared" si="236"/>
        <v>32.734375</v>
      </c>
      <c r="Y899">
        <v>1984</v>
      </c>
      <c r="Z899">
        <f>2025-AVERAGE($Y$843:$Y$908)</f>
        <v>25.954545454545496</v>
      </c>
      <c r="AA899" t="s">
        <v>932</v>
      </c>
      <c r="AB899">
        <v>0.22800000000000001</v>
      </c>
      <c r="AE899">
        <v>0</v>
      </c>
      <c r="AF899" t="str">
        <f t="shared" si="240"/>
        <v>Non-US</v>
      </c>
      <c r="AG899">
        <v>3</v>
      </c>
      <c r="AH899">
        <v>41</v>
      </c>
      <c r="AI899">
        <f t="shared" si="237"/>
        <v>11.253846153846155</v>
      </c>
      <c r="AJ899">
        <f t="shared" si="238"/>
        <v>12.890625</v>
      </c>
      <c r="AK899" t="s">
        <v>319</v>
      </c>
      <c r="AL899">
        <v>53</v>
      </c>
      <c r="AN899" t="s">
        <v>943</v>
      </c>
      <c r="AO899">
        <v>4.0990000000000002</v>
      </c>
    </row>
    <row r="900" spans="1:41">
      <c r="A900">
        <v>18</v>
      </c>
      <c r="B900" t="s">
        <v>562</v>
      </c>
      <c r="C900" t="s">
        <v>561</v>
      </c>
      <c r="D900" s="3">
        <f t="shared" si="233"/>
        <v>42.424242424242422</v>
      </c>
      <c r="F900">
        <v>2018</v>
      </c>
      <c r="G900">
        <f t="shared" si="239"/>
        <v>7</v>
      </c>
      <c r="J900">
        <f t="shared" si="234"/>
        <v>66</v>
      </c>
      <c r="K900">
        <v>9</v>
      </c>
      <c r="L900">
        <v>7</v>
      </c>
      <c r="P900" t="s">
        <v>933</v>
      </c>
      <c r="Q900" t="s">
        <v>506</v>
      </c>
      <c r="R900" t="s">
        <v>261</v>
      </c>
      <c r="S900">
        <f t="shared" si="235"/>
        <v>5.93163888888889</v>
      </c>
      <c r="U900">
        <v>29</v>
      </c>
      <c r="V900" t="s">
        <v>138</v>
      </c>
      <c r="W900">
        <f t="shared" si="236"/>
        <v>32.734375</v>
      </c>
      <c r="Y900">
        <v>1984</v>
      </c>
      <c r="Z900">
        <f>2025-AVERAGE($Y$843:$Y$908)</f>
        <v>25.954545454545496</v>
      </c>
      <c r="AA900" t="s">
        <v>261</v>
      </c>
      <c r="AB900">
        <v>0.42</v>
      </c>
      <c r="AE900">
        <v>0</v>
      </c>
      <c r="AF900" t="str">
        <f t="shared" si="240"/>
        <v>Non-US</v>
      </c>
      <c r="AG900">
        <v>9</v>
      </c>
      <c r="AH900">
        <v>10</v>
      </c>
      <c r="AI900">
        <f t="shared" si="237"/>
        <v>11.253846153846155</v>
      </c>
      <c r="AJ900">
        <f t="shared" si="238"/>
        <v>12.890625</v>
      </c>
      <c r="AK900" t="s">
        <v>319</v>
      </c>
      <c r="AL900">
        <v>53</v>
      </c>
      <c r="AN900" t="s">
        <v>943</v>
      </c>
      <c r="AO900">
        <v>4.0990000000000002</v>
      </c>
    </row>
    <row r="901" spans="1:41">
      <c r="A901">
        <v>18</v>
      </c>
      <c r="B901" t="s">
        <v>562</v>
      </c>
      <c r="C901" t="s">
        <v>561</v>
      </c>
      <c r="D901" s="3">
        <f t="shared" si="233"/>
        <v>42.424242424242422</v>
      </c>
      <c r="F901">
        <v>2018</v>
      </c>
      <c r="G901">
        <f t="shared" si="239"/>
        <v>7</v>
      </c>
      <c r="J901">
        <f t="shared" si="234"/>
        <v>66</v>
      </c>
      <c r="K901">
        <v>9</v>
      </c>
      <c r="L901">
        <v>7</v>
      </c>
      <c r="P901" t="s">
        <v>935</v>
      </c>
      <c r="Q901" t="s">
        <v>507</v>
      </c>
      <c r="R901" t="s">
        <v>261</v>
      </c>
      <c r="S901">
        <f t="shared" si="235"/>
        <v>5.93163888888889</v>
      </c>
      <c r="U901">
        <v>37</v>
      </c>
      <c r="V901" t="s">
        <v>138</v>
      </c>
      <c r="W901">
        <f t="shared" si="236"/>
        <v>32.734375</v>
      </c>
      <c r="Y901">
        <v>1991</v>
      </c>
      <c r="Z901">
        <f>2025-AVERAGE($Y$843:$Y$908)</f>
        <v>25.954545454545496</v>
      </c>
      <c r="AA901" t="s">
        <v>934</v>
      </c>
      <c r="AB901">
        <v>6.3100000000000003E-2</v>
      </c>
      <c r="AE901">
        <v>0</v>
      </c>
      <c r="AF901" t="str">
        <f t="shared" si="240"/>
        <v>Non-US</v>
      </c>
      <c r="AG901">
        <v>4</v>
      </c>
      <c r="AH901">
        <v>8</v>
      </c>
      <c r="AI901">
        <f t="shared" si="237"/>
        <v>11.253846153846155</v>
      </c>
      <c r="AJ901">
        <f t="shared" si="238"/>
        <v>12.890625</v>
      </c>
      <c r="AK901" t="s">
        <v>319</v>
      </c>
      <c r="AL901">
        <v>53</v>
      </c>
      <c r="AN901" t="s">
        <v>943</v>
      </c>
      <c r="AO901">
        <v>4.0990000000000002</v>
      </c>
    </row>
    <row r="902" spans="1:41">
      <c r="A902">
        <v>18</v>
      </c>
      <c r="B902" t="s">
        <v>562</v>
      </c>
      <c r="C902" t="s">
        <v>561</v>
      </c>
      <c r="D902" s="3">
        <f t="shared" si="233"/>
        <v>42.424242424242422</v>
      </c>
      <c r="F902">
        <v>2018</v>
      </c>
      <c r="G902">
        <f t="shared" si="239"/>
        <v>7</v>
      </c>
      <c r="J902">
        <f t="shared" si="234"/>
        <v>66</v>
      </c>
      <c r="K902">
        <v>9</v>
      </c>
      <c r="L902">
        <v>7</v>
      </c>
      <c r="P902" t="s">
        <v>936</v>
      </c>
      <c r="Q902" t="s">
        <v>506</v>
      </c>
      <c r="R902" t="s">
        <v>261</v>
      </c>
      <c r="S902">
        <f t="shared" si="235"/>
        <v>5.93163888888889</v>
      </c>
      <c r="U902" t="s">
        <v>261</v>
      </c>
      <c r="V902" t="s">
        <v>138</v>
      </c>
      <c r="W902">
        <f t="shared" si="236"/>
        <v>32.734375</v>
      </c>
      <c r="Y902">
        <v>1980</v>
      </c>
      <c r="Z902">
        <f>2025-AVERAGE($Y$843:$Y$908)</f>
        <v>25.954545454545496</v>
      </c>
      <c r="AA902" t="s">
        <v>261</v>
      </c>
      <c r="AB902" t="s">
        <v>261</v>
      </c>
      <c r="AE902">
        <v>0</v>
      </c>
      <c r="AF902" t="str">
        <f t="shared" si="240"/>
        <v>Non-US</v>
      </c>
      <c r="AG902">
        <v>5</v>
      </c>
      <c r="AH902">
        <v>6</v>
      </c>
      <c r="AI902">
        <f t="shared" si="237"/>
        <v>11.253846153846155</v>
      </c>
      <c r="AJ902">
        <f t="shared" si="238"/>
        <v>12.890625</v>
      </c>
      <c r="AK902" t="s">
        <v>319</v>
      </c>
      <c r="AL902">
        <v>53</v>
      </c>
      <c r="AN902" t="s">
        <v>943</v>
      </c>
      <c r="AO902">
        <v>4.0990000000000002</v>
      </c>
    </row>
    <row r="903" spans="1:41">
      <c r="A903">
        <v>18</v>
      </c>
      <c r="B903" t="s">
        <v>562</v>
      </c>
      <c r="C903" t="s">
        <v>561</v>
      </c>
      <c r="D903" s="3">
        <f t="shared" si="233"/>
        <v>42.424242424242422</v>
      </c>
      <c r="F903">
        <v>2018</v>
      </c>
      <c r="G903">
        <f t="shared" si="239"/>
        <v>7</v>
      </c>
      <c r="J903">
        <f t="shared" si="234"/>
        <v>66</v>
      </c>
      <c r="K903">
        <v>9</v>
      </c>
      <c r="L903">
        <v>7</v>
      </c>
      <c r="P903" t="s">
        <v>937</v>
      </c>
      <c r="Q903" t="s">
        <v>506</v>
      </c>
      <c r="R903" t="s">
        <v>261</v>
      </c>
      <c r="S903">
        <f t="shared" si="235"/>
        <v>5.93163888888889</v>
      </c>
      <c r="U903">
        <v>39</v>
      </c>
      <c r="V903" t="s">
        <v>138</v>
      </c>
      <c r="W903">
        <f t="shared" si="236"/>
        <v>32.734375</v>
      </c>
      <c r="Y903">
        <v>1997</v>
      </c>
      <c r="Z903">
        <f>2025-AVERAGE($Y$843:$Y$908)</f>
        <v>25.954545454545496</v>
      </c>
      <c r="AA903" t="s">
        <v>261</v>
      </c>
      <c r="AB903">
        <v>0.5</v>
      </c>
      <c r="AE903">
        <v>0</v>
      </c>
      <c r="AF903" t="str">
        <f t="shared" si="240"/>
        <v>Non-US</v>
      </c>
      <c r="AG903">
        <v>8</v>
      </c>
      <c r="AH903">
        <v>8</v>
      </c>
      <c r="AI903">
        <f t="shared" si="237"/>
        <v>11.253846153846155</v>
      </c>
      <c r="AJ903">
        <f t="shared" si="238"/>
        <v>12.890625</v>
      </c>
      <c r="AK903" t="s">
        <v>319</v>
      </c>
      <c r="AL903">
        <v>53</v>
      </c>
      <c r="AN903" t="s">
        <v>943</v>
      </c>
      <c r="AO903">
        <v>4.0990000000000002</v>
      </c>
    </row>
    <row r="904" spans="1:41">
      <c r="A904">
        <v>18</v>
      </c>
      <c r="B904" t="s">
        <v>562</v>
      </c>
      <c r="C904" t="s">
        <v>561</v>
      </c>
      <c r="D904" s="3">
        <f t="shared" si="233"/>
        <v>42.424242424242422</v>
      </c>
      <c r="F904">
        <v>2018</v>
      </c>
      <c r="G904">
        <f t="shared" si="239"/>
        <v>7</v>
      </c>
      <c r="J904">
        <f t="shared" si="234"/>
        <v>66</v>
      </c>
      <c r="K904">
        <v>9</v>
      </c>
      <c r="L904">
        <v>7</v>
      </c>
      <c r="P904" t="s">
        <v>938</v>
      </c>
      <c r="Q904" t="s">
        <v>939</v>
      </c>
      <c r="R904">
        <v>3.63</v>
      </c>
      <c r="S904">
        <f t="shared" si="235"/>
        <v>5.93163888888889</v>
      </c>
      <c r="U904">
        <v>37</v>
      </c>
      <c r="V904" t="s">
        <v>138</v>
      </c>
      <c r="W904">
        <f t="shared" si="236"/>
        <v>32.734375</v>
      </c>
      <c r="Y904">
        <v>2007</v>
      </c>
      <c r="Z904">
        <f>2025-AVERAGE($Y$843:$Y$908)</f>
        <v>25.954545454545496</v>
      </c>
      <c r="AA904">
        <v>0.23</v>
      </c>
      <c r="AB904">
        <v>0.02</v>
      </c>
      <c r="AE904">
        <v>0</v>
      </c>
      <c r="AF904" t="str">
        <f t="shared" si="240"/>
        <v>Non-US</v>
      </c>
      <c r="AG904">
        <v>9</v>
      </c>
      <c r="AH904">
        <v>10</v>
      </c>
      <c r="AI904">
        <f t="shared" si="237"/>
        <v>11.253846153846155</v>
      </c>
      <c r="AJ904">
        <f t="shared" si="238"/>
        <v>12.890625</v>
      </c>
      <c r="AK904" t="s">
        <v>319</v>
      </c>
      <c r="AL904">
        <v>53</v>
      </c>
      <c r="AN904" t="s">
        <v>943</v>
      </c>
      <c r="AO904">
        <v>4.0990000000000002</v>
      </c>
    </row>
    <row r="905" spans="1:41">
      <c r="A905">
        <v>18</v>
      </c>
      <c r="B905" t="s">
        <v>562</v>
      </c>
      <c r="C905" t="s">
        <v>561</v>
      </c>
      <c r="D905" s="3">
        <f t="shared" si="233"/>
        <v>42.424242424242422</v>
      </c>
      <c r="F905">
        <v>2018</v>
      </c>
      <c r="G905">
        <f t="shared" si="239"/>
        <v>7</v>
      </c>
      <c r="J905">
        <f t="shared" si="234"/>
        <v>66</v>
      </c>
      <c r="K905">
        <v>9</v>
      </c>
      <c r="L905" s="7">
        <v>7</v>
      </c>
      <c r="M905" s="7"/>
      <c r="N905" s="7"/>
      <c r="O905" s="7"/>
      <c r="P905" s="7" t="s">
        <v>940</v>
      </c>
      <c r="Q905" s="7" t="s">
        <v>506</v>
      </c>
      <c r="R905" s="7">
        <v>10.173</v>
      </c>
      <c r="S905" s="7">
        <f t="shared" si="235"/>
        <v>5.93163888888889</v>
      </c>
      <c r="T905" s="7"/>
      <c r="U905" s="7">
        <v>26</v>
      </c>
      <c r="V905" s="7" t="s">
        <v>138</v>
      </c>
      <c r="W905" s="7">
        <f t="shared" si="236"/>
        <v>32.734375</v>
      </c>
      <c r="Y905">
        <v>2006</v>
      </c>
      <c r="Z905">
        <f>2025-AVERAGE($Y$843:$Y$908)</f>
        <v>25.954545454545496</v>
      </c>
      <c r="AA905" t="s">
        <v>261</v>
      </c>
      <c r="AB905" t="s">
        <v>261</v>
      </c>
      <c r="AE905">
        <v>0</v>
      </c>
      <c r="AF905" t="str">
        <f t="shared" si="240"/>
        <v>Non-US</v>
      </c>
      <c r="AG905" t="s">
        <v>261</v>
      </c>
      <c r="AH905" t="s">
        <v>261</v>
      </c>
      <c r="AI905">
        <f t="shared" si="237"/>
        <v>11.253846153846155</v>
      </c>
      <c r="AJ905">
        <f t="shared" si="238"/>
        <v>12.890625</v>
      </c>
      <c r="AK905" t="s">
        <v>319</v>
      </c>
      <c r="AL905">
        <v>53</v>
      </c>
      <c r="AN905" t="s">
        <v>943</v>
      </c>
      <c r="AO905">
        <v>4.0990000000000002</v>
      </c>
    </row>
    <row r="906" spans="1:41">
      <c r="A906">
        <v>18</v>
      </c>
      <c r="B906" t="s">
        <v>562</v>
      </c>
      <c r="C906" t="s">
        <v>561</v>
      </c>
      <c r="D906" s="3">
        <f t="shared" si="233"/>
        <v>42.424242424242422</v>
      </c>
      <c r="F906">
        <v>2018</v>
      </c>
      <c r="G906">
        <f t="shared" si="239"/>
        <v>7</v>
      </c>
      <c r="J906">
        <f t="shared" si="234"/>
        <v>66</v>
      </c>
      <c r="K906">
        <v>9</v>
      </c>
      <c r="L906" s="7">
        <v>7</v>
      </c>
      <c r="M906" s="7"/>
      <c r="N906" s="7"/>
      <c r="O906" s="7"/>
      <c r="P906" s="7" t="s">
        <v>941</v>
      </c>
      <c r="Q906" s="7" t="s">
        <v>506</v>
      </c>
      <c r="R906" s="7">
        <v>9.3149999999999995</v>
      </c>
      <c r="S906" s="7">
        <f t="shared" si="235"/>
        <v>5.93163888888889</v>
      </c>
      <c r="T906" s="7"/>
      <c r="U906" s="7">
        <v>37</v>
      </c>
      <c r="V906" s="7" t="s">
        <v>138</v>
      </c>
      <c r="W906" s="7">
        <f t="shared" si="236"/>
        <v>32.734375</v>
      </c>
      <c r="Y906">
        <v>2002</v>
      </c>
      <c r="Z906">
        <f>2025-AVERAGE($Y$843:$Y$908)</f>
        <v>25.954545454545496</v>
      </c>
      <c r="AA906" t="s">
        <v>261</v>
      </c>
      <c r="AB906" t="s">
        <v>261</v>
      </c>
      <c r="AE906">
        <v>0</v>
      </c>
      <c r="AF906" t="str">
        <f t="shared" si="240"/>
        <v>Non-US</v>
      </c>
      <c r="AG906">
        <v>30</v>
      </c>
      <c r="AH906" t="s">
        <v>261</v>
      </c>
      <c r="AI906">
        <f t="shared" si="237"/>
        <v>11.253846153846155</v>
      </c>
      <c r="AJ906">
        <f t="shared" si="238"/>
        <v>12.890625</v>
      </c>
      <c r="AK906" t="s">
        <v>319</v>
      </c>
      <c r="AL906">
        <v>53</v>
      </c>
      <c r="AN906" t="s">
        <v>943</v>
      </c>
      <c r="AO906">
        <v>4.0990000000000002</v>
      </c>
    </row>
    <row r="907" spans="1:41">
      <c r="A907">
        <v>18</v>
      </c>
      <c r="B907" t="s">
        <v>562</v>
      </c>
      <c r="C907" t="s">
        <v>561</v>
      </c>
      <c r="D907" s="3">
        <f t="shared" si="233"/>
        <v>42.424242424242422</v>
      </c>
      <c r="F907">
        <v>2018</v>
      </c>
      <c r="G907">
        <f t="shared" si="239"/>
        <v>7</v>
      </c>
      <c r="J907">
        <f t="shared" si="234"/>
        <v>66</v>
      </c>
      <c r="K907">
        <v>9</v>
      </c>
      <c r="L907" s="7">
        <v>7</v>
      </c>
      <c r="M907" s="7"/>
      <c r="N907" s="7"/>
      <c r="O907" s="7"/>
      <c r="P907" s="7" t="s">
        <v>892</v>
      </c>
      <c r="Q907" s="7" t="s">
        <v>506</v>
      </c>
      <c r="R907" s="7" t="s">
        <v>261</v>
      </c>
      <c r="S907" s="7">
        <f t="shared" si="235"/>
        <v>5.93163888888889</v>
      </c>
      <c r="T907" s="7"/>
      <c r="U907" s="7">
        <v>55</v>
      </c>
      <c r="V907" s="7" t="s">
        <v>138</v>
      </c>
      <c r="W907" s="7">
        <f t="shared" si="236"/>
        <v>32.734375</v>
      </c>
      <c r="Y907">
        <v>1992</v>
      </c>
      <c r="Z907">
        <f>2025-AVERAGE($Y$843:$Y$908)</f>
        <v>25.954545454545496</v>
      </c>
      <c r="AA907">
        <v>3.2500000000000001E-2</v>
      </c>
      <c r="AB907" t="s">
        <v>261</v>
      </c>
      <c r="AE907">
        <v>0</v>
      </c>
      <c r="AF907" t="str">
        <f t="shared" si="240"/>
        <v>Non-US</v>
      </c>
      <c r="AG907">
        <v>9</v>
      </c>
      <c r="AH907">
        <v>6</v>
      </c>
      <c r="AI907">
        <f t="shared" si="237"/>
        <v>11.253846153846155</v>
      </c>
      <c r="AJ907">
        <f t="shared" si="238"/>
        <v>12.890625</v>
      </c>
      <c r="AK907" t="s">
        <v>319</v>
      </c>
      <c r="AL907">
        <v>53</v>
      </c>
      <c r="AN907" t="s">
        <v>943</v>
      </c>
      <c r="AO907">
        <v>4.0990000000000002</v>
      </c>
    </row>
    <row r="908" spans="1:41">
      <c r="A908">
        <v>18</v>
      </c>
      <c r="B908" t="s">
        <v>562</v>
      </c>
      <c r="C908" t="s">
        <v>561</v>
      </c>
      <c r="D908" s="3">
        <f t="shared" ref="D908" si="241">100*(28/66)</f>
        <v>42.424242424242422</v>
      </c>
      <c r="F908">
        <v>2018</v>
      </c>
      <c r="G908">
        <f t="shared" si="239"/>
        <v>7</v>
      </c>
      <c r="J908">
        <f t="shared" ref="J908" si="242">COUNTA($A$843:$A$908)</f>
        <v>66</v>
      </c>
      <c r="K908">
        <v>9</v>
      </c>
      <c r="L908" s="7">
        <v>7</v>
      </c>
      <c r="M908" s="7"/>
      <c r="N908" s="7"/>
      <c r="O908" s="7"/>
      <c r="P908" s="7" t="s">
        <v>942</v>
      </c>
      <c r="Q908" s="7" t="s">
        <v>507</v>
      </c>
      <c r="R908" s="7">
        <v>4.0620000000000003</v>
      </c>
      <c r="S908" s="7">
        <f t="shared" ref="S908" si="243">AVERAGE($R$843:$R$908)</f>
        <v>5.93163888888889</v>
      </c>
      <c r="T908" s="7"/>
      <c r="U908" s="7">
        <v>32</v>
      </c>
      <c r="V908" s="7" t="s">
        <v>138</v>
      </c>
      <c r="W908" s="7">
        <f t="shared" ref="W908" si="244">AVERAGE($U$843:$U$908)</f>
        <v>32.734375</v>
      </c>
      <c r="Y908">
        <v>2001</v>
      </c>
      <c r="Z908">
        <f>2025-AVERAGE($Y$843:$Y$908)</f>
        <v>25.954545454545496</v>
      </c>
      <c r="AA908" t="s">
        <v>261</v>
      </c>
      <c r="AB908" t="s">
        <v>261</v>
      </c>
      <c r="AE908">
        <v>0</v>
      </c>
      <c r="AF908" t="str">
        <f t="shared" si="240"/>
        <v>Non-US</v>
      </c>
      <c r="AG908">
        <v>13</v>
      </c>
      <c r="AH908">
        <v>18</v>
      </c>
      <c r="AI908">
        <f t="shared" ref="AI908" si="245">AVERAGE($AG$843:$AG$908)</f>
        <v>11.253846153846155</v>
      </c>
      <c r="AJ908">
        <f t="shared" ref="AJ908" si="246">AVERAGE($AH$843:$AH$908)</f>
        <v>12.890625</v>
      </c>
      <c r="AK908" t="s">
        <v>319</v>
      </c>
      <c r="AL908">
        <v>53</v>
      </c>
      <c r="AN908" t="s">
        <v>943</v>
      </c>
      <c r="AO908">
        <v>4.0990000000000002</v>
      </c>
    </row>
    <row r="909" spans="1:41" ht="17.399999999999999">
      <c r="A909">
        <v>19</v>
      </c>
      <c r="B909" t="s">
        <v>1164</v>
      </c>
      <c r="C909" t="s">
        <v>1165</v>
      </c>
      <c r="E909" s="3">
        <f>100*(14/17)</f>
        <v>82.35294117647058</v>
      </c>
      <c r="F909">
        <v>2018</v>
      </c>
      <c r="G909">
        <f t="shared" si="239"/>
        <v>7</v>
      </c>
      <c r="H909">
        <f>AVERAGE($AD$909:$AD$925)</f>
        <v>0.84846666666666659</v>
      </c>
      <c r="J909">
        <f>COUNTA($A$909:$A$925)</f>
        <v>17</v>
      </c>
      <c r="K909">
        <v>2</v>
      </c>
      <c r="L909" s="7">
        <v>7</v>
      </c>
      <c r="M909" s="12">
        <f>_xlfn.VAR.P($AD$909:$AD$925)</f>
        <v>1.4152389155555554</v>
      </c>
      <c r="N909">
        <f t="shared" ref="N909:N925" si="247">$O$909/SQRT($J$909)</f>
        <v>0.28852963101535378</v>
      </c>
      <c r="O909">
        <f>_xlfn.STDEV.P($AD$909:$AD$925)</f>
        <v>1.189638144796793</v>
      </c>
      <c r="P909" s="7" t="s">
        <v>1166</v>
      </c>
      <c r="Q909" s="7" t="s">
        <v>1167</v>
      </c>
      <c r="R909" s="7">
        <v>2.8410000000000002</v>
      </c>
      <c r="S909" s="7">
        <f>AVERAGE($R$909:$R$925)</f>
        <v>4.4783125000000004</v>
      </c>
      <c r="T909" s="7"/>
      <c r="U909" s="7">
        <v>92</v>
      </c>
      <c r="V909" s="7" t="s">
        <v>755</v>
      </c>
      <c r="W909" s="7">
        <f>AVERAGE($U$909:$U$925)</f>
        <v>49.8125</v>
      </c>
      <c r="Y909">
        <v>2015</v>
      </c>
      <c r="Z909">
        <f>2025-AVERAGE($Y$909:$Y$925)</f>
        <v>9.9375</v>
      </c>
      <c r="AA909">
        <v>0.76</v>
      </c>
      <c r="AB909">
        <v>0.56499999999999995</v>
      </c>
      <c r="AD909" s="3">
        <v>1.5</v>
      </c>
      <c r="AE909">
        <v>0</v>
      </c>
      <c r="AF909" t="str">
        <f t="shared" si="240"/>
        <v>Non-US</v>
      </c>
      <c r="AG909">
        <v>7</v>
      </c>
      <c r="AI909">
        <f>AVERAGE($AG$909:$AG$925)</f>
        <v>11.5625</v>
      </c>
      <c r="AK909" t="s">
        <v>319</v>
      </c>
      <c r="AL909">
        <v>52</v>
      </c>
      <c r="AN909" t="s">
        <v>352</v>
      </c>
      <c r="AO909" s="6">
        <v>2.8809999999999998</v>
      </c>
    </row>
    <row r="910" spans="1:41" ht="17.399999999999999">
      <c r="A910">
        <v>19</v>
      </c>
      <c r="B910" t="s">
        <v>1164</v>
      </c>
      <c r="C910" t="s">
        <v>1165</v>
      </c>
      <c r="E910" s="3">
        <f t="shared" ref="E910:E925" si="248">100*(14/17)</f>
        <v>82.35294117647058</v>
      </c>
      <c r="F910">
        <v>2018</v>
      </c>
      <c r="G910">
        <f t="shared" si="239"/>
        <v>7</v>
      </c>
      <c r="H910">
        <f t="shared" ref="H910:H925" si="249">AVERAGE($AD$909:$AD$925)</f>
        <v>0.84846666666666659</v>
      </c>
      <c r="J910">
        <f t="shared" ref="J910:J925" si="250">COUNTA($A$909:$A$925)</f>
        <v>17</v>
      </c>
      <c r="K910">
        <v>2</v>
      </c>
      <c r="L910" s="7">
        <v>7</v>
      </c>
      <c r="M910" s="12">
        <f t="shared" ref="M910:M925" si="251">_xlfn.VAR.P($AD$909:$AD$925)</f>
        <v>1.4152389155555554</v>
      </c>
      <c r="N910">
        <f t="shared" si="247"/>
        <v>0.28852963101535378</v>
      </c>
      <c r="O910">
        <f t="shared" ref="O910:O925" si="252">_xlfn.STDEV.P($AD$909:$AD$925)</f>
        <v>1.189638144796793</v>
      </c>
      <c r="P910" s="7" t="s">
        <v>1168</v>
      </c>
      <c r="Q910" s="7" t="s">
        <v>1167</v>
      </c>
      <c r="R910" s="7">
        <v>2.8410000000000002</v>
      </c>
      <c r="S910" s="7">
        <f t="shared" ref="S910:S925" si="253">AVERAGE($R$909:$R$925)</f>
        <v>4.4783125000000004</v>
      </c>
      <c r="T910" s="7"/>
      <c r="U910" s="7">
        <v>62</v>
      </c>
      <c r="V910" s="7" t="s">
        <v>755</v>
      </c>
      <c r="W910" s="7">
        <f t="shared" ref="W910:W925" si="254">AVERAGE($U$909:$U$925)</f>
        <v>49.8125</v>
      </c>
      <c r="Y910">
        <v>2015</v>
      </c>
      <c r="Z910">
        <f>2025-AVERAGE($Y$909:$Y$925)</f>
        <v>9.9375</v>
      </c>
      <c r="AA910">
        <v>0.35</v>
      </c>
      <c r="AB910">
        <v>0.35</v>
      </c>
      <c r="AC910">
        <v>0.35</v>
      </c>
      <c r="AD910" s="3">
        <v>0.35</v>
      </c>
      <c r="AE910">
        <v>0</v>
      </c>
      <c r="AF910" t="str">
        <f t="shared" si="240"/>
        <v>Non-US</v>
      </c>
      <c r="AG910">
        <v>14</v>
      </c>
      <c r="AI910">
        <f t="shared" ref="AI910:AI925" si="255">AVERAGE($AG$909:$AG$925)</f>
        <v>11.5625</v>
      </c>
      <c r="AK910" t="s">
        <v>319</v>
      </c>
      <c r="AL910">
        <v>52</v>
      </c>
      <c r="AN910" t="s">
        <v>352</v>
      </c>
      <c r="AO910" s="6">
        <v>2.8809999999999998</v>
      </c>
    </row>
    <row r="911" spans="1:41" ht="17.399999999999999">
      <c r="A911">
        <v>19</v>
      </c>
      <c r="B911" t="s">
        <v>1164</v>
      </c>
      <c r="C911" t="s">
        <v>1165</v>
      </c>
      <c r="E911" s="3">
        <f t="shared" si="248"/>
        <v>82.35294117647058</v>
      </c>
      <c r="F911">
        <v>2018</v>
      </c>
      <c r="G911">
        <f t="shared" si="239"/>
        <v>7</v>
      </c>
      <c r="H911">
        <f t="shared" si="249"/>
        <v>0.84846666666666659</v>
      </c>
      <c r="J911">
        <f t="shared" si="250"/>
        <v>17</v>
      </c>
      <c r="K911">
        <v>2</v>
      </c>
      <c r="L911" s="7">
        <v>7</v>
      </c>
      <c r="M911" s="12">
        <f t="shared" si="251"/>
        <v>1.4152389155555554</v>
      </c>
      <c r="N911">
        <f t="shared" si="247"/>
        <v>0.28852963101535378</v>
      </c>
      <c r="O911">
        <f t="shared" si="252"/>
        <v>1.189638144796793</v>
      </c>
      <c r="P911" s="7" t="s">
        <v>1169</v>
      </c>
      <c r="Q911" s="7" t="s">
        <v>1167</v>
      </c>
      <c r="R911" s="7">
        <v>2.8410000000000002</v>
      </c>
      <c r="S911" s="7">
        <f t="shared" si="253"/>
        <v>4.4783125000000004</v>
      </c>
      <c r="T911" s="7"/>
      <c r="U911" s="7">
        <v>38</v>
      </c>
      <c r="V911" s="7" t="s">
        <v>755</v>
      </c>
      <c r="W911" s="7">
        <f t="shared" si="254"/>
        <v>49.8125</v>
      </c>
      <c r="Y911">
        <v>2015</v>
      </c>
      <c r="Z911">
        <f>2025-AVERAGE($Y$909:$Y$925)</f>
        <v>9.9375</v>
      </c>
      <c r="AA911" s="7">
        <v>1E-3</v>
      </c>
      <c r="AB911" s="7">
        <v>1E-3</v>
      </c>
      <c r="AE911">
        <v>0</v>
      </c>
      <c r="AF911" t="str">
        <f t="shared" si="240"/>
        <v>Non-US</v>
      </c>
      <c r="AG911">
        <v>22</v>
      </c>
      <c r="AI911">
        <f t="shared" si="255"/>
        <v>11.5625</v>
      </c>
      <c r="AK911" t="s">
        <v>319</v>
      </c>
      <c r="AL911">
        <v>52</v>
      </c>
      <c r="AN911" t="s">
        <v>352</v>
      </c>
      <c r="AO911" s="6">
        <v>2.8809999999999998</v>
      </c>
    </row>
    <row r="912" spans="1:41" ht="17.399999999999999">
      <c r="A912">
        <v>19</v>
      </c>
      <c r="B912" t="s">
        <v>1164</v>
      </c>
      <c r="C912" t="s">
        <v>1165</v>
      </c>
      <c r="E912" s="3">
        <f t="shared" si="248"/>
        <v>82.35294117647058</v>
      </c>
      <c r="F912">
        <v>2018</v>
      </c>
      <c r="G912">
        <f t="shared" si="239"/>
        <v>7</v>
      </c>
      <c r="H912">
        <f t="shared" si="249"/>
        <v>0.84846666666666659</v>
      </c>
      <c r="J912">
        <f t="shared" si="250"/>
        <v>17</v>
      </c>
      <c r="K912">
        <v>2</v>
      </c>
      <c r="L912" s="7">
        <v>7</v>
      </c>
      <c r="M912" s="12">
        <f t="shared" si="251"/>
        <v>1.4152389155555554</v>
      </c>
      <c r="N912">
        <f t="shared" si="247"/>
        <v>0.28852963101535378</v>
      </c>
      <c r="O912">
        <f t="shared" si="252"/>
        <v>1.189638144796793</v>
      </c>
      <c r="P912" s="7" t="s">
        <v>1170</v>
      </c>
      <c r="Q912" s="7" t="s">
        <v>1171</v>
      </c>
      <c r="R912" s="7">
        <v>6.4189999999999996</v>
      </c>
      <c r="S912" s="7">
        <f t="shared" si="253"/>
        <v>4.4783125000000004</v>
      </c>
      <c r="T912" s="7"/>
      <c r="U912" s="7">
        <v>51</v>
      </c>
      <c r="V912" s="7" t="s">
        <v>138</v>
      </c>
      <c r="W912" s="7">
        <f t="shared" si="254"/>
        <v>49.8125</v>
      </c>
      <c r="Y912">
        <v>2016</v>
      </c>
      <c r="Z912">
        <f>2025-AVERAGE($Y$909:$Y$925)</f>
        <v>9.9375</v>
      </c>
      <c r="AD912" s="3">
        <v>4</v>
      </c>
      <c r="AE912">
        <v>0</v>
      </c>
      <c r="AF912" t="str">
        <f t="shared" si="240"/>
        <v>Non-US</v>
      </c>
      <c r="AG912">
        <v>18</v>
      </c>
      <c r="AI912">
        <f t="shared" si="255"/>
        <v>11.5625</v>
      </c>
      <c r="AK912" t="s">
        <v>319</v>
      </c>
      <c r="AL912">
        <v>52</v>
      </c>
      <c r="AN912" t="s">
        <v>352</v>
      </c>
      <c r="AO912" s="6">
        <v>2.8809999999999998</v>
      </c>
    </row>
    <row r="913" spans="1:41" ht="17.399999999999999">
      <c r="A913">
        <v>19</v>
      </c>
      <c r="B913" t="s">
        <v>1164</v>
      </c>
      <c r="C913" t="s">
        <v>1165</v>
      </c>
      <c r="E913" s="3">
        <f t="shared" si="248"/>
        <v>82.35294117647058</v>
      </c>
      <c r="F913">
        <v>2018</v>
      </c>
      <c r="G913">
        <f t="shared" si="239"/>
        <v>7</v>
      </c>
      <c r="H913">
        <f t="shared" si="249"/>
        <v>0.84846666666666659</v>
      </c>
      <c r="J913">
        <f t="shared" si="250"/>
        <v>17</v>
      </c>
      <c r="K913">
        <v>2</v>
      </c>
      <c r="L913" s="7">
        <v>7</v>
      </c>
      <c r="M913" s="12">
        <f t="shared" si="251"/>
        <v>1.4152389155555554</v>
      </c>
      <c r="N913">
        <f t="shared" si="247"/>
        <v>0.28852963101535378</v>
      </c>
      <c r="O913">
        <f t="shared" si="252"/>
        <v>1.189638144796793</v>
      </c>
      <c r="P913" s="7" t="s">
        <v>1172</v>
      </c>
      <c r="Q913" s="7" t="s">
        <v>1171</v>
      </c>
      <c r="R913" s="7">
        <v>6.4189999999999996</v>
      </c>
      <c r="S913" s="7">
        <f t="shared" si="253"/>
        <v>4.4783125000000004</v>
      </c>
      <c r="T913" s="7"/>
      <c r="U913" s="7">
        <v>66</v>
      </c>
      <c r="V913" s="7" t="s">
        <v>138</v>
      </c>
      <c r="W913" s="7">
        <f t="shared" si="254"/>
        <v>49.8125</v>
      </c>
      <c r="Y913">
        <v>2016</v>
      </c>
      <c r="Z913">
        <f>2025-AVERAGE($Y$909:$Y$925)</f>
        <v>9.9375</v>
      </c>
      <c r="AA913">
        <v>1E-3</v>
      </c>
      <c r="AB913">
        <v>1E-3</v>
      </c>
      <c r="AC913">
        <v>0.17</v>
      </c>
      <c r="AD913" s="3">
        <v>0.17</v>
      </c>
      <c r="AE913">
        <v>0</v>
      </c>
      <c r="AF913" t="str">
        <f t="shared" si="240"/>
        <v>Non-US</v>
      </c>
      <c r="AG913">
        <v>5</v>
      </c>
      <c r="AI913">
        <f t="shared" si="255"/>
        <v>11.5625</v>
      </c>
      <c r="AK913" t="s">
        <v>319</v>
      </c>
      <c r="AL913">
        <v>52</v>
      </c>
      <c r="AN913" t="s">
        <v>352</v>
      </c>
      <c r="AO913" s="6">
        <v>2.8809999999999998</v>
      </c>
    </row>
    <row r="914" spans="1:41" ht="17.399999999999999">
      <c r="A914">
        <v>19</v>
      </c>
      <c r="B914" t="s">
        <v>1164</v>
      </c>
      <c r="C914" t="s">
        <v>1165</v>
      </c>
      <c r="E914" s="3">
        <f t="shared" si="248"/>
        <v>82.35294117647058</v>
      </c>
      <c r="F914">
        <v>2018</v>
      </c>
      <c r="G914">
        <f t="shared" ref="G914:G977" si="256">2025-F914</f>
        <v>7</v>
      </c>
      <c r="H914">
        <f t="shared" si="249"/>
        <v>0.84846666666666659</v>
      </c>
      <c r="J914">
        <f t="shared" si="250"/>
        <v>17</v>
      </c>
      <c r="K914">
        <v>2</v>
      </c>
      <c r="L914" s="7">
        <v>7</v>
      </c>
      <c r="M914" s="12">
        <f t="shared" si="251"/>
        <v>1.4152389155555554</v>
      </c>
      <c r="N914">
        <f t="shared" si="247"/>
        <v>0.28852963101535378</v>
      </c>
      <c r="O914">
        <f t="shared" si="252"/>
        <v>1.189638144796793</v>
      </c>
      <c r="P914" s="7" t="s">
        <v>1173</v>
      </c>
      <c r="Q914" s="7" t="s">
        <v>1171</v>
      </c>
      <c r="R914" s="7">
        <v>6.4189999999999996</v>
      </c>
      <c r="S914" s="7">
        <f t="shared" si="253"/>
        <v>4.4783125000000004</v>
      </c>
      <c r="T914" s="7"/>
      <c r="U914" s="7">
        <v>46</v>
      </c>
      <c r="V914" s="7" t="s">
        <v>138</v>
      </c>
      <c r="W914" s="7">
        <f t="shared" si="254"/>
        <v>49.8125</v>
      </c>
      <c r="Y914">
        <v>2016</v>
      </c>
      <c r="Z914">
        <f>2025-AVERAGE($Y$909:$Y$925)</f>
        <v>9.9375</v>
      </c>
      <c r="AC914">
        <v>-0.89500000000000002</v>
      </c>
      <c r="AD914" s="3">
        <v>-0.90500000000000003</v>
      </c>
      <c r="AE914">
        <v>0</v>
      </c>
      <c r="AF914" t="str">
        <f t="shared" si="240"/>
        <v>Non-US</v>
      </c>
      <c r="AG914">
        <v>6</v>
      </c>
      <c r="AI914">
        <f t="shared" si="255"/>
        <v>11.5625</v>
      </c>
      <c r="AK914" t="s">
        <v>319</v>
      </c>
      <c r="AL914">
        <v>52</v>
      </c>
      <c r="AN914" t="s">
        <v>352</v>
      </c>
      <c r="AO914" s="6">
        <v>2.8809999999999998</v>
      </c>
    </row>
    <row r="915" spans="1:41" ht="17.399999999999999">
      <c r="A915">
        <v>19</v>
      </c>
      <c r="B915" t="s">
        <v>1164</v>
      </c>
      <c r="C915" t="s">
        <v>1165</v>
      </c>
      <c r="E915" s="3">
        <f t="shared" si="248"/>
        <v>82.35294117647058</v>
      </c>
      <c r="F915">
        <v>2018</v>
      </c>
      <c r="G915">
        <f t="shared" si="256"/>
        <v>7</v>
      </c>
      <c r="H915">
        <f t="shared" si="249"/>
        <v>0.84846666666666659</v>
      </c>
      <c r="J915">
        <f t="shared" si="250"/>
        <v>17</v>
      </c>
      <c r="K915">
        <v>2</v>
      </c>
      <c r="L915" s="7">
        <v>7</v>
      </c>
      <c r="M915" s="12">
        <f t="shared" si="251"/>
        <v>1.4152389155555554</v>
      </c>
      <c r="N915">
        <f t="shared" si="247"/>
        <v>0.28852963101535378</v>
      </c>
      <c r="O915">
        <f t="shared" si="252"/>
        <v>1.189638144796793</v>
      </c>
      <c r="P915" s="7" t="s">
        <v>1174</v>
      </c>
      <c r="Q915" s="7" t="s">
        <v>1171</v>
      </c>
      <c r="R915" s="7">
        <v>6.4189999999999996</v>
      </c>
      <c r="S915" s="7">
        <f t="shared" si="253"/>
        <v>4.4783125000000004</v>
      </c>
      <c r="T915" s="7"/>
      <c r="U915" s="7">
        <v>30</v>
      </c>
      <c r="V915" s="7" t="s">
        <v>138</v>
      </c>
      <c r="W915" s="7">
        <f t="shared" si="254"/>
        <v>49.8125</v>
      </c>
      <c r="Y915">
        <v>2016</v>
      </c>
      <c r="Z915">
        <f>2025-AVERAGE($Y$909:$Y$925)</f>
        <v>9.9375</v>
      </c>
      <c r="AA915">
        <v>1E-3</v>
      </c>
      <c r="AB915">
        <v>1E-3</v>
      </c>
      <c r="AC915" s="7" t="s">
        <v>1175</v>
      </c>
      <c r="AD915" s="10">
        <v>2.27</v>
      </c>
      <c r="AE915">
        <v>0</v>
      </c>
      <c r="AF915" t="str">
        <f t="shared" si="240"/>
        <v>Non-US</v>
      </c>
      <c r="AG915">
        <v>7</v>
      </c>
      <c r="AI915">
        <f t="shared" si="255"/>
        <v>11.5625</v>
      </c>
      <c r="AK915" t="s">
        <v>319</v>
      </c>
      <c r="AL915">
        <v>52</v>
      </c>
      <c r="AN915" t="s">
        <v>352</v>
      </c>
      <c r="AO915" s="6">
        <v>2.8809999999999998</v>
      </c>
    </row>
    <row r="916" spans="1:41" ht="17.399999999999999">
      <c r="A916">
        <v>19</v>
      </c>
      <c r="B916" t="s">
        <v>1164</v>
      </c>
      <c r="C916" t="s">
        <v>1165</v>
      </c>
      <c r="E916" s="3">
        <f t="shared" si="248"/>
        <v>82.35294117647058</v>
      </c>
      <c r="F916">
        <v>2018</v>
      </c>
      <c r="G916">
        <f t="shared" si="256"/>
        <v>7</v>
      </c>
      <c r="H916">
        <f t="shared" si="249"/>
        <v>0.84846666666666659</v>
      </c>
      <c r="J916">
        <f t="shared" si="250"/>
        <v>17</v>
      </c>
      <c r="K916">
        <v>2</v>
      </c>
      <c r="L916" s="7">
        <v>7</v>
      </c>
      <c r="M916" s="12">
        <f t="shared" si="251"/>
        <v>1.4152389155555554</v>
      </c>
      <c r="N916">
        <f t="shared" si="247"/>
        <v>0.28852963101535378</v>
      </c>
      <c r="O916">
        <f t="shared" si="252"/>
        <v>1.189638144796793</v>
      </c>
      <c r="P916" s="7" t="s">
        <v>1176</v>
      </c>
      <c r="Q916" s="7" t="s">
        <v>1171</v>
      </c>
      <c r="R916" s="6">
        <v>6.0780000000000003</v>
      </c>
      <c r="S916" s="7">
        <f t="shared" si="253"/>
        <v>4.4783125000000004</v>
      </c>
      <c r="T916" s="7"/>
      <c r="U916" s="7">
        <v>77</v>
      </c>
      <c r="V916" s="7" t="s">
        <v>138</v>
      </c>
      <c r="W916" s="7">
        <f t="shared" si="254"/>
        <v>49.8125</v>
      </c>
      <c r="Y916">
        <v>2015</v>
      </c>
      <c r="Z916">
        <f>2025-AVERAGE($Y$909:$Y$925)</f>
        <v>9.9375</v>
      </c>
      <c r="AA916">
        <v>1E-3</v>
      </c>
      <c r="AB916">
        <v>1E-3</v>
      </c>
      <c r="AC916">
        <v>0.17499999999999999</v>
      </c>
      <c r="AD916" s="3">
        <v>0.16500000000000001</v>
      </c>
      <c r="AE916">
        <v>0</v>
      </c>
      <c r="AF916" t="str">
        <f t="shared" si="240"/>
        <v>Non-US</v>
      </c>
      <c r="AG916">
        <v>19</v>
      </c>
      <c r="AI916">
        <f t="shared" si="255"/>
        <v>11.5625</v>
      </c>
      <c r="AK916" t="s">
        <v>319</v>
      </c>
      <c r="AL916">
        <v>52</v>
      </c>
      <c r="AN916" t="s">
        <v>352</v>
      </c>
      <c r="AO916" s="6">
        <v>2.8809999999999998</v>
      </c>
    </row>
    <row r="917" spans="1:41" ht="17.399999999999999">
      <c r="A917">
        <v>19</v>
      </c>
      <c r="B917" t="s">
        <v>1164</v>
      </c>
      <c r="C917" t="s">
        <v>1165</v>
      </c>
      <c r="E917" s="3">
        <f t="shared" si="248"/>
        <v>82.35294117647058</v>
      </c>
      <c r="F917">
        <v>2018</v>
      </c>
      <c r="G917">
        <f t="shared" si="256"/>
        <v>7</v>
      </c>
      <c r="H917">
        <f t="shared" si="249"/>
        <v>0.84846666666666659</v>
      </c>
      <c r="J917">
        <f t="shared" si="250"/>
        <v>17</v>
      </c>
      <c r="K917">
        <v>2</v>
      </c>
      <c r="L917" s="7">
        <v>7</v>
      </c>
      <c r="M917" s="12">
        <f t="shared" si="251"/>
        <v>1.4152389155555554</v>
      </c>
      <c r="N917">
        <f t="shared" si="247"/>
        <v>0.28852963101535378</v>
      </c>
      <c r="O917">
        <f t="shared" si="252"/>
        <v>1.189638144796793</v>
      </c>
      <c r="P917" s="7" t="s">
        <v>1177</v>
      </c>
      <c r="Q917" s="7" t="s">
        <v>1171</v>
      </c>
      <c r="R917" s="6">
        <v>6.0780000000000003</v>
      </c>
      <c r="S917" s="7">
        <f t="shared" si="253"/>
        <v>4.4783125000000004</v>
      </c>
      <c r="T917" s="7"/>
      <c r="U917" s="7">
        <v>35</v>
      </c>
      <c r="V917" s="7" t="s">
        <v>138</v>
      </c>
      <c r="W917" s="7">
        <f t="shared" si="254"/>
        <v>49.8125</v>
      </c>
      <c r="Y917">
        <v>2015</v>
      </c>
      <c r="Z917">
        <f>2025-AVERAGE($Y$909:$Y$925)</f>
        <v>9.9375</v>
      </c>
      <c r="AA917">
        <v>1E-3</v>
      </c>
      <c r="AB917">
        <v>1E-3</v>
      </c>
      <c r="AE917">
        <v>0</v>
      </c>
      <c r="AF917" t="str">
        <f t="shared" si="240"/>
        <v>Non-US</v>
      </c>
      <c r="AG917">
        <v>15</v>
      </c>
      <c r="AI917">
        <f t="shared" si="255"/>
        <v>11.5625</v>
      </c>
      <c r="AK917" t="s">
        <v>319</v>
      </c>
      <c r="AL917">
        <v>52</v>
      </c>
      <c r="AN917" t="s">
        <v>352</v>
      </c>
      <c r="AO917" s="6">
        <v>2.8809999999999998</v>
      </c>
    </row>
    <row r="918" spans="1:41" ht="15.6">
      <c r="A918">
        <v>19</v>
      </c>
      <c r="B918" t="s">
        <v>1164</v>
      </c>
      <c r="C918" t="s">
        <v>1165</v>
      </c>
      <c r="E918" s="3">
        <f t="shared" si="248"/>
        <v>82.35294117647058</v>
      </c>
      <c r="F918">
        <v>2018</v>
      </c>
      <c r="G918">
        <f t="shared" si="256"/>
        <v>7</v>
      </c>
      <c r="H918">
        <f t="shared" si="249"/>
        <v>0.84846666666666659</v>
      </c>
      <c r="J918">
        <f t="shared" si="250"/>
        <v>17</v>
      </c>
      <c r="K918">
        <v>2</v>
      </c>
      <c r="L918" s="7">
        <v>7</v>
      </c>
      <c r="M918" s="12">
        <f t="shared" si="251"/>
        <v>1.4152389155555554</v>
      </c>
      <c r="N918">
        <f t="shared" si="247"/>
        <v>0.28852963101535378</v>
      </c>
      <c r="O918">
        <f t="shared" si="252"/>
        <v>1.189638144796793</v>
      </c>
      <c r="P918" t="s">
        <v>1178</v>
      </c>
      <c r="Q918" t="s">
        <v>1167</v>
      </c>
      <c r="R918">
        <v>2.9260000000000002</v>
      </c>
      <c r="S918">
        <f t="shared" si="253"/>
        <v>4.4783125000000004</v>
      </c>
      <c r="U918">
        <v>65</v>
      </c>
      <c r="V918" t="s">
        <v>755</v>
      </c>
      <c r="W918">
        <f t="shared" si="254"/>
        <v>49.8125</v>
      </c>
      <c r="Y918">
        <v>2016</v>
      </c>
      <c r="Z918">
        <f>2025-AVERAGE($Y$909:$Y$925)</f>
        <v>9.9375</v>
      </c>
      <c r="AA918">
        <v>0.75900000000000001</v>
      </c>
      <c r="AB918">
        <v>0.77700000000000002</v>
      </c>
      <c r="AC918">
        <v>1.036</v>
      </c>
      <c r="AD918" s="3">
        <v>1.0329999999999999</v>
      </c>
      <c r="AE918">
        <v>0</v>
      </c>
      <c r="AF918" t="str">
        <f t="shared" si="240"/>
        <v>Non-US</v>
      </c>
      <c r="AG918">
        <v>7</v>
      </c>
      <c r="AI918">
        <f t="shared" si="255"/>
        <v>11.5625</v>
      </c>
      <c r="AK918" t="s">
        <v>319</v>
      </c>
      <c r="AL918">
        <v>52</v>
      </c>
      <c r="AN918" t="s">
        <v>352</v>
      </c>
      <c r="AO918">
        <v>2.8809999999999998</v>
      </c>
    </row>
    <row r="919" spans="1:41" ht="15.6">
      <c r="A919">
        <v>19</v>
      </c>
      <c r="B919" t="s">
        <v>1164</v>
      </c>
      <c r="C919" t="s">
        <v>1165</v>
      </c>
      <c r="E919" s="3">
        <f t="shared" si="248"/>
        <v>82.35294117647058</v>
      </c>
      <c r="F919">
        <v>2018</v>
      </c>
      <c r="G919">
        <f t="shared" si="256"/>
        <v>7</v>
      </c>
      <c r="H919">
        <f t="shared" si="249"/>
        <v>0.84846666666666659</v>
      </c>
      <c r="J919">
        <f t="shared" si="250"/>
        <v>17</v>
      </c>
      <c r="K919">
        <v>2</v>
      </c>
      <c r="L919" s="7">
        <v>7</v>
      </c>
      <c r="M919" s="12">
        <f t="shared" si="251"/>
        <v>1.4152389155555554</v>
      </c>
      <c r="N919">
        <f t="shared" si="247"/>
        <v>0.28852963101535378</v>
      </c>
      <c r="O919">
        <f t="shared" si="252"/>
        <v>1.189638144796793</v>
      </c>
      <c r="S919">
        <f t="shared" si="253"/>
        <v>4.4783125000000004</v>
      </c>
      <c r="W919">
        <f>AVERAGE($U$909:$U$925)</f>
        <v>49.8125</v>
      </c>
      <c r="Z919">
        <f>2025-AVERAGE($Y$909:$Y$925)</f>
        <v>9.9375</v>
      </c>
      <c r="AA919">
        <v>0.77700000000000002</v>
      </c>
      <c r="AB919">
        <v>0.77700000000000002</v>
      </c>
      <c r="AC919">
        <v>1.012</v>
      </c>
      <c r="AD919" s="3">
        <v>1.0109999999999999</v>
      </c>
      <c r="AE919">
        <v>0</v>
      </c>
      <c r="AF919" t="str">
        <f t="shared" si="240"/>
        <v>Non-US</v>
      </c>
      <c r="AI919">
        <f t="shared" si="255"/>
        <v>11.5625</v>
      </c>
      <c r="AK919" t="s">
        <v>319</v>
      </c>
      <c r="AL919">
        <v>52</v>
      </c>
      <c r="AN919" t="s">
        <v>352</v>
      </c>
      <c r="AO919">
        <v>2.8809999999999998</v>
      </c>
    </row>
    <row r="920" spans="1:41" ht="15.6">
      <c r="A920">
        <v>19</v>
      </c>
      <c r="B920" t="s">
        <v>1164</v>
      </c>
      <c r="C920" t="s">
        <v>1165</v>
      </c>
      <c r="E920" s="3">
        <f t="shared" si="248"/>
        <v>82.35294117647058</v>
      </c>
      <c r="F920">
        <v>2018</v>
      </c>
      <c r="G920">
        <f t="shared" si="256"/>
        <v>7</v>
      </c>
      <c r="H920">
        <f t="shared" si="249"/>
        <v>0.84846666666666659</v>
      </c>
      <c r="J920">
        <f t="shared" si="250"/>
        <v>17</v>
      </c>
      <c r="K920">
        <v>2</v>
      </c>
      <c r="L920" s="7">
        <v>7</v>
      </c>
      <c r="M920" s="12">
        <f t="shared" si="251"/>
        <v>1.4152389155555554</v>
      </c>
      <c r="N920">
        <f t="shared" si="247"/>
        <v>0.28852963101535378</v>
      </c>
      <c r="O920">
        <f t="shared" si="252"/>
        <v>1.189638144796793</v>
      </c>
      <c r="P920" t="s">
        <v>1179</v>
      </c>
      <c r="Q920" t="s">
        <v>1167</v>
      </c>
      <c r="R920">
        <v>2.8069999999999999</v>
      </c>
      <c r="S920">
        <f t="shared" si="253"/>
        <v>4.4783125000000004</v>
      </c>
      <c r="U920">
        <v>29</v>
      </c>
      <c r="V920" t="s">
        <v>755</v>
      </c>
      <c r="W920">
        <f t="shared" si="254"/>
        <v>49.8125</v>
      </c>
      <c r="Y920">
        <v>2014</v>
      </c>
      <c r="Z920">
        <f>2025-AVERAGE($Y$909:$Y$925)</f>
        <v>9.9375</v>
      </c>
      <c r="AC920">
        <v>-0.42499999999999999</v>
      </c>
      <c r="AD920" s="3">
        <v>-0.42499999999999999</v>
      </c>
      <c r="AE920">
        <v>0</v>
      </c>
      <c r="AF920" t="str">
        <f t="shared" si="240"/>
        <v>Non-US</v>
      </c>
      <c r="AG920">
        <v>15</v>
      </c>
      <c r="AI920">
        <f t="shared" si="255"/>
        <v>11.5625</v>
      </c>
      <c r="AK920" t="s">
        <v>319</v>
      </c>
      <c r="AL920">
        <v>52</v>
      </c>
      <c r="AN920" t="s">
        <v>352</v>
      </c>
      <c r="AO920">
        <v>2.8809999999999998</v>
      </c>
    </row>
    <row r="921" spans="1:41" ht="15.6">
      <c r="A921">
        <v>19</v>
      </c>
      <c r="B921" t="s">
        <v>1164</v>
      </c>
      <c r="C921" t="s">
        <v>1165</v>
      </c>
      <c r="E921" s="3">
        <f t="shared" si="248"/>
        <v>82.35294117647058</v>
      </c>
      <c r="F921">
        <v>2018</v>
      </c>
      <c r="G921">
        <f t="shared" si="256"/>
        <v>7</v>
      </c>
      <c r="H921">
        <f t="shared" si="249"/>
        <v>0.84846666666666659</v>
      </c>
      <c r="J921">
        <f t="shared" si="250"/>
        <v>17</v>
      </c>
      <c r="K921">
        <v>2</v>
      </c>
      <c r="L921" s="7">
        <v>7</v>
      </c>
      <c r="M921" s="12">
        <f t="shared" si="251"/>
        <v>1.4152389155555554</v>
      </c>
      <c r="N921">
        <f t="shared" si="247"/>
        <v>0.28852963101535378</v>
      </c>
      <c r="O921">
        <f t="shared" si="252"/>
        <v>1.189638144796793</v>
      </c>
      <c r="P921" t="s">
        <v>1180</v>
      </c>
      <c r="Q921" t="s">
        <v>1167</v>
      </c>
      <c r="R921">
        <v>2.101</v>
      </c>
      <c r="S921">
        <f t="shared" si="253"/>
        <v>4.4783125000000004</v>
      </c>
      <c r="U921">
        <v>54</v>
      </c>
      <c r="V921" t="s">
        <v>755</v>
      </c>
      <c r="W921">
        <f t="shared" si="254"/>
        <v>49.8125</v>
      </c>
      <c r="Y921">
        <v>2013</v>
      </c>
      <c r="Z921">
        <f>2025-AVERAGE($Y$909:$Y$925)</f>
        <v>9.9375</v>
      </c>
      <c r="AA921">
        <v>0.31</v>
      </c>
      <c r="AB921">
        <v>0.33</v>
      </c>
      <c r="AC921">
        <v>-0.33</v>
      </c>
      <c r="AD921" s="3">
        <v>-0.33</v>
      </c>
      <c r="AE921">
        <v>0</v>
      </c>
      <c r="AF921" t="str">
        <f t="shared" si="240"/>
        <v>Non-US</v>
      </c>
      <c r="AG921">
        <v>7</v>
      </c>
      <c r="AI921">
        <f t="shared" si="255"/>
        <v>11.5625</v>
      </c>
      <c r="AK921" t="s">
        <v>319</v>
      </c>
      <c r="AL921">
        <v>52</v>
      </c>
      <c r="AN921" t="s">
        <v>352</v>
      </c>
      <c r="AO921">
        <v>2.8809999999999998</v>
      </c>
    </row>
    <row r="922" spans="1:41" ht="15.6">
      <c r="A922">
        <v>19</v>
      </c>
      <c r="B922" t="s">
        <v>1164</v>
      </c>
      <c r="C922" t="s">
        <v>1165</v>
      </c>
      <c r="E922" s="3">
        <f t="shared" si="248"/>
        <v>82.35294117647058</v>
      </c>
      <c r="F922">
        <v>2018</v>
      </c>
      <c r="G922">
        <f t="shared" si="256"/>
        <v>7</v>
      </c>
      <c r="H922">
        <f t="shared" si="249"/>
        <v>0.84846666666666659</v>
      </c>
      <c r="J922">
        <f t="shared" si="250"/>
        <v>17</v>
      </c>
      <c r="K922">
        <v>2</v>
      </c>
      <c r="L922" s="7">
        <v>7</v>
      </c>
      <c r="M922" s="12">
        <f t="shared" si="251"/>
        <v>1.4152389155555554</v>
      </c>
      <c r="N922">
        <f t="shared" si="247"/>
        <v>0.28852963101535378</v>
      </c>
      <c r="O922">
        <f t="shared" si="252"/>
        <v>1.189638144796793</v>
      </c>
      <c r="P922" t="s">
        <v>1181</v>
      </c>
      <c r="Q922" t="s">
        <v>1171</v>
      </c>
      <c r="R922">
        <v>5.7039999999999997</v>
      </c>
      <c r="S922">
        <f t="shared" si="253"/>
        <v>4.4783125000000004</v>
      </c>
      <c r="U922">
        <v>36</v>
      </c>
      <c r="V922" t="s">
        <v>138</v>
      </c>
      <c r="W922">
        <f t="shared" si="254"/>
        <v>49.8125</v>
      </c>
      <c r="Y922">
        <v>2014</v>
      </c>
      <c r="Z922">
        <f>2025-AVERAGE($Y$909:$Y$925)</f>
        <v>9.9375</v>
      </c>
      <c r="AA922">
        <v>1E-3</v>
      </c>
      <c r="AB922">
        <v>1E-3</v>
      </c>
      <c r="AC922">
        <v>1.64</v>
      </c>
      <c r="AD922" s="3">
        <v>1.65</v>
      </c>
      <c r="AE922">
        <v>0</v>
      </c>
      <c r="AF922" t="str">
        <f t="shared" si="240"/>
        <v>Non-US</v>
      </c>
      <c r="AG922">
        <v>6</v>
      </c>
      <c r="AI922">
        <f t="shared" si="255"/>
        <v>11.5625</v>
      </c>
      <c r="AK922" t="s">
        <v>319</v>
      </c>
      <c r="AL922">
        <v>52</v>
      </c>
      <c r="AN922" t="s">
        <v>352</v>
      </c>
      <c r="AO922">
        <v>2.8809999999999998</v>
      </c>
    </row>
    <row r="923" spans="1:41" ht="15.6">
      <c r="A923">
        <v>19</v>
      </c>
      <c r="B923" t="s">
        <v>1164</v>
      </c>
      <c r="C923" t="s">
        <v>1165</v>
      </c>
      <c r="E923" s="3">
        <f t="shared" si="248"/>
        <v>82.35294117647058</v>
      </c>
      <c r="F923">
        <v>2018</v>
      </c>
      <c r="G923">
        <f t="shared" si="256"/>
        <v>7</v>
      </c>
      <c r="H923">
        <f t="shared" si="249"/>
        <v>0.84846666666666659</v>
      </c>
      <c r="J923">
        <f t="shared" si="250"/>
        <v>17</v>
      </c>
      <c r="K923">
        <v>2</v>
      </c>
      <c r="L923" s="7">
        <v>7</v>
      </c>
      <c r="M923" s="12">
        <f t="shared" si="251"/>
        <v>1.4152389155555554</v>
      </c>
      <c r="N923">
        <f t="shared" si="247"/>
        <v>0.28852963101535378</v>
      </c>
      <c r="O923">
        <f t="shared" si="252"/>
        <v>1.189638144796793</v>
      </c>
      <c r="P923" t="s">
        <v>1182</v>
      </c>
      <c r="Q923" t="s">
        <v>1167</v>
      </c>
      <c r="R923">
        <v>2.8410000000000002</v>
      </c>
      <c r="S923">
        <f t="shared" si="253"/>
        <v>4.4783125000000004</v>
      </c>
      <c r="U923">
        <v>41</v>
      </c>
      <c r="V923" t="s">
        <v>755</v>
      </c>
      <c r="W923">
        <f t="shared" si="254"/>
        <v>49.8125</v>
      </c>
      <c r="Y923">
        <v>2015</v>
      </c>
      <c r="Z923">
        <f>2025-AVERAGE($Y$909:$Y$925)</f>
        <v>9.9375</v>
      </c>
      <c r="AC923">
        <v>1.2350000000000001</v>
      </c>
      <c r="AD923" s="3">
        <v>1.2350000000000001</v>
      </c>
      <c r="AE923">
        <v>0</v>
      </c>
      <c r="AF923" t="str">
        <f t="shared" si="240"/>
        <v>Non-US</v>
      </c>
      <c r="AG923">
        <v>10</v>
      </c>
      <c r="AI923">
        <f t="shared" si="255"/>
        <v>11.5625</v>
      </c>
      <c r="AK923" t="s">
        <v>319</v>
      </c>
      <c r="AL923">
        <v>52</v>
      </c>
      <c r="AN923" t="s">
        <v>352</v>
      </c>
      <c r="AO923">
        <v>2.8809999999999998</v>
      </c>
    </row>
    <row r="924" spans="1:41" ht="15.6">
      <c r="A924">
        <v>19</v>
      </c>
      <c r="B924" t="s">
        <v>1164</v>
      </c>
      <c r="C924" t="s">
        <v>1165</v>
      </c>
      <c r="E924" s="3">
        <f t="shared" si="248"/>
        <v>82.35294117647058</v>
      </c>
      <c r="F924">
        <v>2018</v>
      </c>
      <c r="G924">
        <f t="shared" si="256"/>
        <v>7</v>
      </c>
      <c r="H924">
        <f t="shared" si="249"/>
        <v>0.84846666666666659</v>
      </c>
      <c r="J924">
        <f t="shared" si="250"/>
        <v>17</v>
      </c>
      <c r="K924">
        <v>2</v>
      </c>
      <c r="L924" s="7">
        <v>7</v>
      </c>
      <c r="M924" s="12">
        <f t="shared" si="251"/>
        <v>1.4152389155555554</v>
      </c>
      <c r="N924">
        <f t="shared" si="247"/>
        <v>0.28852963101535378</v>
      </c>
      <c r="O924">
        <f t="shared" si="252"/>
        <v>1.189638144796793</v>
      </c>
      <c r="P924" t="s">
        <v>1183</v>
      </c>
      <c r="Q924" t="s">
        <v>1167</v>
      </c>
      <c r="R924">
        <v>2.8410000000000002</v>
      </c>
      <c r="S924">
        <f t="shared" si="253"/>
        <v>4.4783125000000004</v>
      </c>
      <c r="U924">
        <v>26</v>
      </c>
      <c r="V924" t="s">
        <v>755</v>
      </c>
      <c r="W924">
        <f t="shared" si="254"/>
        <v>49.8125</v>
      </c>
      <c r="Y924">
        <v>2015</v>
      </c>
      <c r="Z924">
        <f>2025-AVERAGE($Y$909:$Y$925)</f>
        <v>9.9375</v>
      </c>
      <c r="AA924">
        <v>0.97</v>
      </c>
      <c r="AB924">
        <v>0.97</v>
      </c>
      <c r="AC924">
        <v>3.0000000000000001E-3</v>
      </c>
      <c r="AD924" s="3">
        <v>3.0000000000000001E-3</v>
      </c>
      <c r="AE924">
        <v>0</v>
      </c>
      <c r="AF924" t="str">
        <f t="shared" si="240"/>
        <v>Non-US</v>
      </c>
      <c r="AG924">
        <v>11</v>
      </c>
      <c r="AI924">
        <f t="shared" si="255"/>
        <v>11.5625</v>
      </c>
      <c r="AK924" t="s">
        <v>319</v>
      </c>
      <c r="AL924">
        <v>52</v>
      </c>
      <c r="AN924" t="s">
        <v>352</v>
      </c>
      <c r="AO924">
        <v>2.8809999999999998</v>
      </c>
    </row>
    <row r="925" spans="1:41" ht="15.6">
      <c r="A925">
        <v>19</v>
      </c>
      <c r="B925" t="s">
        <v>1164</v>
      </c>
      <c r="C925" t="s">
        <v>1165</v>
      </c>
      <c r="E925" s="3">
        <f t="shared" si="248"/>
        <v>82.35294117647058</v>
      </c>
      <c r="F925">
        <v>2018</v>
      </c>
      <c r="G925">
        <f t="shared" si="256"/>
        <v>7</v>
      </c>
      <c r="H925">
        <f t="shared" si="249"/>
        <v>0.84846666666666659</v>
      </c>
      <c r="J925">
        <f t="shared" si="250"/>
        <v>17</v>
      </c>
      <c r="K925">
        <v>2</v>
      </c>
      <c r="L925" s="7">
        <v>7</v>
      </c>
      <c r="M925" s="12">
        <f t="shared" si="251"/>
        <v>1.4152389155555554</v>
      </c>
      <c r="N925">
        <f t="shared" si="247"/>
        <v>0.28852963101535378</v>
      </c>
      <c r="O925">
        <f t="shared" si="252"/>
        <v>1.189638144796793</v>
      </c>
      <c r="P925" t="s">
        <v>1184</v>
      </c>
      <c r="Q925" t="s">
        <v>1171</v>
      </c>
      <c r="R925">
        <v>6.0780000000000003</v>
      </c>
      <c r="S925">
        <f t="shared" si="253"/>
        <v>4.4783125000000004</v>
      </c>
      <c r="U925">
        <v>49</v>
      </c>
      <c r="V925" t="s">
        <v>138</v>
      </c>
      <c r="W925">
        <f t="shared" si="254"/>
        <v>49.8125</v>
      </c>
      <c r="Y925">
        <v>2015</v>
      </c>
      <c r="Z925">
        <f>2025-AVERAGE($Y$909:$Y$925)</f>
        <v>9.9375</v>
      </c>
      <c r="AA925">
        <v>0.33900000000000002</v>
      </c>
      <c r="AB925">
        <v>0.33900000000000002</v>
      </c>
      <c r="AC925">
        <v>1</v>
      </c>
      <c r="AD925" s="3">
        <v>1</v>
      </c>
      <c r="AE925">
        <v>0</v>
      </c>
      <c r="AF925" t="str">
        <f t="shared" si="240"/>
        <v>Non-US</v>
      </c>
      <c r="AG925">
        <v>16</v>
      </c>
      <c r="AI925">
        <f t="shared" si="255"/>
        <v>11.5625</v>
      </c>
      <c r="AK925" t="s">
        <v>319</v>
      </c>
      <c r="AL925">
        <v>52</v>
      </c>
      <c r="AN925" t="s">
        <v>352</v>
      </c>
      <c r="AO925">
        <v>2.8809999999999998</v>
      </c>
    </row>
    <row r="926" spans="1:41" ht="15.6">
      <c r="A926">
        <v>20</v>
      </c>
      <c r="B926" t="s">
        <v>1197</v>
      </c>
      <c r="C926" t="s">
        <v>563</v>
      </c>
      <c r="D926" s="3">
        <f>100*(15/25)</f>
        <v>60</v>
      </c>
      <c r="F926">
        <v>2021</v>
      </c>
      <c r="G926">
        <f t="shared" si="256"/>
        <v>4</v>
      </c>
      <c r="H926">
        <f>AVERAGE($AD$926:$AD$950)</f>
        <v>0.62897841789994813</v>
      </c>
      <c r="J926">
        <f>COUNTA($P$926:$P$950)</f>
        <v>25</v>
      </c>
      <c r="K926">
        <v>1</v>
      </c>
      <c r="L926">
        <v>10</v>
      </c>
      <c r="M926" s="12">
        <f>_xlfn.VAR.P($AD$926:$AD$950)</f>
        <v>0.37441810751800841</v>
      </c>
      <c r="N926">
        <f t="shared" ref="N926:N950" si="257">$O$926/SQRT($J$926)</f>
        <v>0.12237942760415385</v>
      </c>
      <c r="O926">
        <f>_xlfn.STDEV.P($AD$926:$AD$950)</f>
        <v>0.61189713802076928</v>
      </c>
      <c r="P926" t="s">
        <v>944</v>
      </c>
      <c r="Q926" t="s">
        <v>527</v>
      </c>
      <c r="R926">
        <v>4.3460000000000001</v>
      </c>
      <c r="S926">
        <f>AVERAGE($R$926:$R$950)</f>
        <v>4.3024799999999992</v>
      </c>
      <c r="U926">
        <v>40</v>
      </c>
      <c r="V926" t="s">
        <v>138</v>
      </c>
      <c r="W926">
        <f>AVERAGE($U$926:$U$950)</f>
        <v>32.24</v>
      </c>
      <c r="Y926">
        <v>2015</v>
      </c>
      <c r="Z926">
        <f>2025-AVERAGE($Y$926:$Y$950)</f>
        <v>10.599999999999909</v>
      </c>
      <c r="AA926" t="s">
        <v>389</v>
      </c>
      <c r="AB926">
        <v>0.28287183205882777</v>
      </c>
      <c r="AE926">
        <v>1</v>
      </c>
      <c r="AF926" t="str">
        <f t="shared" si="142"/>
        <v>US</v>
      </c>
      <c r="AG926">
        <v>3</v>
      </c>
      <c r="AH926">
        <v>2</v>
      </c>
      <c r="AI926">
        <f>AVERAGE($AG$926:$AG$950)</f>
        <v>3.2</v>
      </c>
      <c r="AJ926">
        <f>AVERAGE($AH$926:$AH$950)</f>
        <v>1.76</v>
      </c>
      <c r="AK926" t="s">
        <v>112</v>
      </c>
      <c r="AL926">
        <v>29</v>
      </c>
      <c r="AN926" t="s">
        <v>364</v>
      </c>
      <c r="AO926">
        <v>0.75800000000000001</v>
      </c>
    </row>
    <row r="927" spans="1:41" ht="15.6">
      <c r="A927">
        <v>20</v>
      </c>
      <c r="B927" t="s">
        <v>1197</v>
      </c>
      <c r="C927" t="s">
        <v>563</v>
      </c>
      <c r="D927" s="3">
        <f t="shared" ref="D927:D950" si="258">100*(15/25)</f>
        <v>60</v>
      </c>
      <c r="F927">
        <v>2021</v>
      </c>
      <c r="G927">
        <f t="shared" si="256"/>
        <v>4</v>
      </c>
      <c r="H927">
        <f t="shared" ref="H927:H950" si="259">AVERAGE($AD$926:$AD$950)</f>
        <v>0.62897841789994813</v>
      </c>
      <c r="J927">
        <f t="shared" ref="J927:J950" si="260">COUNTA($P$926:$P$950)</f>
        <v>25</v>
      </c>
      <c r="K927">
        <v>1</v>
      </c>
      <c r="L927">
        <v>10</v>
      </c>
      <c r="M927" s="12">
        <f t="shared" ref="M927:M950" si="261">_xlfn.VAR.P($AD$926:$AD$950)</f>
        <v>0.37441810751800841</v>
      </c>
      <c r="N927">
        <f t="shared" si="257"/>
        <v>0.12237942760415385</v>
      </c>
      <c r="O927">
        <f t="shared" ref="O927:O950" si="262">_xlfn.STDEV.P($AD$926:$AD$950)</f>
        <v>0.61189713802076928</v>
      </c>
      <c r="P927" t="s">
        <v>945</v>
      </c>
      <c r="Q927" t="s">
        <v>527</v>
      </c>
      <c r="R927">
        <v>4.282</v>
      </c>
      <c r="S927">
        <f t="shared" ref="S927:S950" si="263">AVERAGE($R$926:$R$950)</f>
        <v>4.3024799999999992</v>
      </c>
      <c r="U927">
        <v>40</v>
      </c>
      <c r="V927" t="s">
        <v>138</v>
      </c>
      <c r="W927">
        <f t="shared" ref="W927:W950" si="264">AVERAGE($U$926:$U$950)</f>
        <v>32.24</v>
      </c>
      <c r="Y927">
        <v>2014</v>
      </c>
      <c r="Z927">
        <f>2025-AVERAGE($Y$926:$Y$950)</f>
        <v>10.599999999999909</v>
      </c>
      <c r="AA927">
        <v>0.45725000000000005</v>
      </c>
      <c r="AB927">
        <v>0.45725000000000005</v>
      </c>
      <c r="AE927">
        <v>1</v>
      </c>
      <c r="AF927" t="str">
        <f t="shared" ref="AF927:AF950" si="265">IF(AE927=1,"US","Non-US")</f>
        <v>US</v>
      </c>
      <c r="AG927">
        <v>2</v>
      </c>
      <c r="AH927">
        <v>3</v>
      </c>
      <c r="AI927">
        <f t="shared" ref="AI927:AI950" si="266">AVERAGE($AG$926:$AG$950)</f>
        <v>3.2</v>
      </c>
      <c r="AJ927">
        <f t="shared" ref="AJ927:AJ950" si="267">AVERAGE($AH$926:$AH$950)</f>
        <v>1.76</v>
      </c>
      <c r="AK927" t="s">
        <v>112</v>
      </c>
      <c r="AL927">
        <v>29</v>
      </c>
      <c r="AN927" t="s">
        <v>364</v>
      </c>
      <c r="AO927">
        <v>0.75800000000000001</v>
      </c>
    </row>
    <row r="928" spans="1:41" ht="15.6">
      <c r="A928">
        <v>20</v>
      </c>
      <c r="B928" t="s">
        <v>1197</v>
      </c>
      <c r="C928" t="s">
        <v>563</v>
      </c>
      <c r="D928" s="3">
        <f t="shared" si="258"/>
        <v>60</v>
      </c>
      <c r="F928">
        <v>2021</v>
      </c>
      <c r="G928">
        <f t="shared" si="256"/>
        <v>4</v>
      </c>
      <c r="H928">
        <f t="shared" si="259"/>
        <v>0.62897841789994813</v>
      </c>
      <c r="J928">
        <f t="shared" si="260"/>
        <v>25</v>
      </c>
      <c r="K928">
        <v>1</v>
      </c>
      <c r="L928">
        <v>10</v>
      </c>
      <c r="M928" s="12">
        <f t="shared" si="261"/>
        <v>0.37441810751800841</v>
      </c>
      <c r="N928">
        <f t="shared" si="257"/>
        <v>0.12237942760415385</v>
      </c>
      <c r="O928">
        <f t="shared" si="262"/>
        <v>0.61189713802076928</v>
      </c>
      <c r="P928" t="s">
        <v>946</v>
      </c>
      <c r="Q928" t="s">
        <v>527</v>
      </c>
      <c r="R928">
        <v>4.282</v>
      </c>
      <c r="S928">
        <f t="shared" si="263"/>
        <v>4.3024799999999992</v>
      </c>
      <c r="U928">
        <v>36</v>
      </c>
      <c r="V928" t="s">
        <v>138</v>
      </c>
      <c r="W928">
        <f t="shared" si="264"/>
        <v>32.24</v>
      </c>
      <c r="Y928">
        <v>2014</v>
      </c>
      <c r="Z928">
        <f>2025-AVERAGE($Y$926:$Y$950)</f>
        <v>10.599999999999909</v>
      </c>
      <c r="AA928">
        <v>3.4000000000000002E-2</v>
      </c>
      <c r="AB928">
        <v>3.4000000000000002E-2</v>
      </c>
      <c r="AC928">
        <v>0.38700000000000001</v>
      </c>
      <c r="AD928" s="3">
        <v>0.38700000000000001</v>
      </c>
      <c r="AE928">
        <v>1</v>
      </c>
      <c r="AF928" t="str">
        <f t="shared" si="265"/>
        <v>US</v>
      </c>
      <c r="AG928">
        <v>2</v>
      </c>
      <c r="AH928">
        <v>3</v>
      </c>
      <c r="AI928">
        <f t="shared" si="266"/>
        <v>3.2</v>
      </c>
      <c r="AJ928">
        <f t="shared" si="267"/>
        <v>1.76</v>
      </c>
      <c r="AK928" t="s">
        <v>112</v>
      </c>
      <c r="AL928">
        <v>29</v>
      </c>
      <c r="AN928" t="s">
        <v>364</v>
      </c>
      <c r="AO928">
        <v>0.75800000000000001</v>
      </c>
    </row>
    <row r="929" spans="1:41" ht="15.6">
      <c r="A929">
        <v>20</v>
      </c>
      <c r="B929" t="s">
        <v>1197</v>
      </c>
      <c r="C929" t="s">
        <v>563</v>
      </c>
      <c r="D929" s="3">
        <f t="shared" si="258"/>
        <v>60</v>
      </c>
      <c r="F929">
        <v>2021</v>
      </c>
      <c r="G929">
        <f t="shared" si="256"/>
        <v>4</v>
      </c>
      <c r="H929">
        <f t="shared" si="259"/>
        <v>0.62897841789994813</v>
      </c>
      <c r="J929">
        <f t="shared" si="260"/>
        <v>25</v>
      </c>
      <c r="K929">
        <v>1</v>
      </c>
      <c r="L929">
        <v>10</v>
      </c>
      <c r="M929" s="12">
        <f t="shared" si="261"/>
        <v>0.37441810751800841</v>
      </c>
      <c r="N929">
        <f t="shared" si="257"/>
        <v>0.12237942760415385</v>
      </c>
      <c r="O929">
        <f t="shared" si="262"/>
        <v>0.61189713802076928</v>
      </c>
      <c r="P929" t="s">
        <v>947</v>
      </c>
      <c r="Q929" t="s">
        <v>527</v>
      </c>
      <c r="R929">
        <v>4.282</v>
      </c>
      <c r="S929">
        <f t="shared" si="263"/>
        <v>4.3024799999999992</v>
      </c>
      <c r="U929">
        <v>28</v>
      </c>
      <c r="V929" t="s">
        <v>138</v>
      </c>
      <c r="W929">
        <f t="shared" si="264"/>
        <v>32.24</v>
      </c>
      <c r="Y929">
        <v>2014</v>
      </c>
      <c r="Z929">
        <f>2025-AVERAGE($Y$926:$Y$950)</f>
        <v>10.599999999999909</v>
      </c>
      <c r="AA929">
        <v>0.16684285714285715</v>
      </c>
      <c r="AB929">
        <v>0.16657142857143223</v>
      </c>
      <c r="AC929">
        <v>0.54</v>
      </c>
      <c r="AD929" s="3">
        <v>0.55000000000000004</v>
      </c>
      <c r="AE929">
        <v>1</v>
      </c>
      <c r="AF929" t="str">
        <f t="shared" si="265"/>
        <v>US</v>
      </c>
      <c r="AG929">
        <v>3</v>
      </c>
      <c r="AH929">
        <v>1</v>
      </c>
      <c r="AI929">
        <f t="shared" si="266"/>
        <v>3.2</v>
      </c>
      <c r="AJ929">
        <f t="shared" si="267"/>
        <v>1.76</v>
      </c>
      <c r="AK929" t="s">
        <v>112</v>
      </c>
      <c r="AL929">
        <v>29</v>
      </c>
      <c r="AN929" t="s">
        <v>364</v>
      </c>
      <c r="AO929">
        <v>0.75800000000000001</v>
      </c>
    </row>
    <row r="930" spans="1:41" ht="15.6">
      <c r="A930">
        <v>20</v>
      </c>
      <c r="B930" t="s">
        <v>1197</v>
      </c>
      <c r="C930" t="s">
        <v>563</v>
      </c>
      <c r="D930" s="3">
        <f t="shared" si="258"/>
        <v>60</v>
      </c>
      <c r="F930">
        <v>2021</v>
      </c>
      <c r="G930">
        <f t="shared" si="256"/>
        <v>4</v>
      </c>
      <c r="H930">
        <f t="shared" si="259"/>
        <v>0.62897841789994813</v>
      </c>
      <c r="J930">
        <f t="shared" si="260"/>
        <v>25</v>
      </c>
      <c r="K930">
        <v>1</v>
      </c>
      <c r="L930">
        <v>10</v>
      </c>
      <c r="M930" s="12">
        <f t="shared" si="261"/>
        <v>0.37441810751800841</v>
      </c>
      <c r="N930">
        <f t="shared" si="257"/>
        <v>0.12237942760415385</v>
      </c>
      <c r="O930">
        <f t="shared" si="262"/>
        <v>0.61189713802076928</v>
      </c>
      <c r="P930" t="s">
        <v>948</v>
      </c>
      <c r="Q930" t="s">
        <v>527</v>
      </c>
      <c r="R930">
        <v>4.282</v>
      </c>
      <c r="S930">
        <f t="shared" si="263"/>
        <v>4.3024799999999992</v>
      </c>
      <c r="U930">
        <v>18</v>
      </c>
      <c r="V930" t="s">
        <v>138</v>
      </c>
      <c r="W930">
        <f t="shared" si="264"/>
        <v>32.24</v>
      </c>
      <c r="Y930">
        <v>2014</v>
      </c>
      <c r="Z930">
        <f>2025-AVERAGE($Y$926:$Y$950)</f>
        <v>10.599999999999909</v>
      </c>
      <c r="AA930">
        <v>8.9999999999999993E-3</v>
      </c>
      <c r="AB930">
        <v>8.9999999999999993E-3</v>
      </c>
      <c r="AE930">
        <v>1</v>
      </c>
      <c r="AF930" t="str">
        <f t="shared" si="265"/>
        <v>US</v>
      </c>
      <c r="AG930">
        <v>3</v>
      </c>
      <c r="AH930">
        <v>2</v>
      </c>
      <c r="AI930">
        <f t="shared" si="266"/>
        <v>3.2</v>
      </c>
      <c r="AJ930">
        <f t="shared" si="267"/>
        <v>1.76</v>
      </c>
      <c r="AK930" t="s">
        <v>112</v>
      </c>
      <c r="AL930">
        <v>29</v>
      </c>
      <c r="AN930" t="s">
        <v>364</v>
      </c>
      <c r="AO930">
        <v>0.75800000000000001</v>
      </c>
    </row>
    <row r="931" spans="1:41" ht="15.6">
      <c r="A931">
        <v>20</v>
      </c>
      <c r="B931" t="s">
        <v>1197</v>
      </c>
      <c r="C931" t="s">
        <v>563</v>
      </c>
      <c r="D931" s="3">
        <f t="shared" si="258"/>
        <v>60</v>
      </c>
      <c r="F931">
        <v>2021</v>
      </c>
      <c r="G931">
        <f t="shared" si="256"/>
        <v>4</v>
      </c>
      <c r="H931">
        <f t="shared" si="259"/>
        <v>0.62897841789994813</v>
      </c>
      <c r="J931">
        <f t="shared" si="260"/>
        <v>25</v>
      </c>
      <c r="K931">
        <v>1</v>
      </c>
      <c r="L931">
        <v>10</v>
      </c>
      <c r="M931" s="12">
        <f t="shared" si="261"/>
        <v>0.37441810751800841</v>
      </c>
      <c r="N931">
        <f t="shared" si="257"/>
        <v>0.12237942760415385</v>
      </c>
      <c r="O931">
        <f t="shared" si="262"/>
        <v>0.61189713802076928</v>
      </c>
      <c r="P931" t="s">
        <v>949</v>
      </c>
      <c r="Q931" t="s">
        <v>527</v>
      </c>
      <c r="R931">
        <v>4.282</v>
      </c>
      <c r="S931">
        <f t="shared" si="263"/>
        <v>4.3024799999999992</v>
      </c>
      <c r="U931">
        <v>2</v>
      </c>
      <c r="V931" t="s">
        <v>138</v>
      </c>
      <c r="W931">
        <f t="shared" si="264"/>
        <v>32.24</v>
      </c>
      <c r="Y931">
        <v>2014</v>
      </c>
      <c r="Z931">
        <f>2025-AVERAGE($Y$926:$Y$950)</f>
        <v>10.599999999999909</v>
      </c>
      <c r="AE931">
        <v>1</v>
      </c>
      <c r="AF931" t="str">
        <f t="shared" si="265"/>
        <v>US</v>
      </c>
      <c r="AG931">
        <v>2</v>
      </c>
      <c r="AH931">
        <v>2</v>
      </c>
      <c r="AI931">
        <f t="shared" si="266"/>
        <v>3.2</v>
      </c>
      <c r="AJ931">
        <f t="shared" si="267"/>
        <v>1.76</v>
      </c>
      <c r="AK931" t="s">
        <v>112</v>
      </c>
      <c r="AL931">
        <v>29</v>
      </c>
      <c r="AN931" t="s">
        <v>364</v>
      </c>
      <c r="AO931">
        <v>0.75800000000000001</v>
      </c>
    </row>
    <row r="932" spans="1:41" ht="15.6">
      <c r="A932">
        <v>20</v>
      </c>
      <c r="B932" t="s">
        <v>1197</v>
      </c>
      <c r="C932" t="s">
        <v>563</v>
      </c>
      <c r="D932" s="3">
        <f t="shared" si="258"/>
        <v>60</v>
      </c>
      <c r="F932">
        <v>2021</v>
      </c>
      <c r="G932">
        <f t="shared" si="256"/>
        <v>4</v>
      </c>
      <c r="H932">
        <f t="shared" si="259"/>
        <v>0.62897841789994813</v>
      </c>
      <c r="J932">
        <f t="shared" si="260"/>
        <v>25</v>
      </c>
      <c r="K932">
        <v>1</v>
      </c>
      <c r="L932">
        <v>10</v>
      </c>
      <c r="M932" s="12">
        <f t="shared" si="261"/>
        <v>0.37441810751800841</v>
      </c>
      <c r="N932">
        <f t="shared" si="257"/>
        <v>0.12237942760415385</v>
      </c>
      <c r="O932">
        <f t="shared" si="262"/>
        <v>0.61189713802076928</v>
      </c>
      <c r="P932" t="s">
        <v>950</v>
      </c>
      <c r="Q932" t="s">
        <v>527</v>
      </c>
      <c r="R932">
        <v>4.3460000000000001</v>
      </c>
      <c r="S932">
        <f t="shared" si="263"/>
        <v>4.3024799999999992</v>
      </c>
      <c r="U932">
        <v>13</v>
      </c>
      <c r="V932" t="s">
        <v>138</v>
      </c>
      <c r="W932">
        <f t="shared" si="264"/>
        <v>32.24</v>
      </c>
      <c r="Y932">
        <v>2015</v>
      </c>
      <c r="Z932">
        <f>2025-AVERAGE($Y$926:$Y$950)</f>
        <v>10.599999999999909</v>
      </c>
      <c r="AE932">
        <v>1</v>
      </c>
      <c r="AF932" t="str">
        <f t="shared" si="265"/>
        <v>US</v>
      </c>
      <c r="AG932">
        <v>3</v>
      </c>
      <c r="AH932">
        <v>1</v>
      </c>
      <c r="AI932">
        <f t="shared" si="266"/>
        <v>3.2</v>
      </c>
      <c r="AJ932">
        <f t="shared" si="267"/>
        <v>1.76</v>
      </c>
      <c r="AK932" t="s">
        <v>112</v>
      </c>
      <c r="AL932">
        <v>29</v>
      </c>
      <c r="AN932" t="s">
        <v>364</v>
      </c>
      <c r="AO932">
        <v>0.75800000000000001</v>
      </c>
    </row>
    <row r="933" spans="1:41" ht="15.6">
      <c r="A933">
        <v>20</v>
      </c>
      <c r="B933" t="s">
        <v>1197</v>
      </c>
      <c r="C933" t="s">
        <v>563</v>
      </c>
      <c r="D933" s="3">
        <f t="shared" si="258"/>
        <v>60</v>
      </c>
      <c r="F933">
        <v>2021</v>
      </c>
      <c r="G933">
        <f t="shared" si="256"/>
        <v>4</v>
      </c>
      <c r="H933">
        <f t="shared" si="259"/>
        <v>0.62897841789994813</v>
      </c>
      <c r="J933">
        <f t="shared" si="260"/>
        <v>25</v>
      </c>
      <c r="K933">
        <v>1</v>
      </c>
      <c r="L933">
        <v>10</v>
      </c>
      <c r="M933" s="12">
        <f t="shared" si="261"/>
        <v>0.37441810751800841</v>
      </c>
      <c r="N933">
        <f t="shared" si="257"/>
        <v>0.12237942760415385</v>
      </c>
      <c r="O933">
        <f t="shared" si="262"/>
        <v>0.61189713802076928</v>
      </c>
      <c r="P933" t="s">
        <v>951</v>
      </c>
      <c r="Q933" t="s">
        <v>527</v>
      </c>
      <c r="R933">
        <v>4.282</v>
      </c>
      <c r="S933">
        <f t="shared" si="263"/>
        <v>4.3024799999999992</v>
      </c>
      <c r="U933">
        <v>40</v>
      </c>
      <c r="V933" t="s">
        <v>138</v>
      </c>
      <c r="W933">
        <f t="shared" si="264"/>
        <v>32.24</v>
      </c>
      <c r="Y933">
        <v>2014</v>
      </c>
      <c r="Z933">
        <f>2025-AVERAGE($Y$926:$Y$950)</f>
        <v>10.599999999999909</v>
      </c>
      <c r="AC933">
        <v>0.16733333333333336</v>
      </c>
      <c r="AD933" s="3">
        <v>0.1669306715550645</v>
      </c>
      <c r="AE933">
        <v>1</v>
      </c>
      <c r="AF933" t="str">
        <f t="shared" si="265"/>
        <v>US</v>
      </c>
      <c r="AG933">
        <v>3</v>
      </c>
      <c r="AH933">
        <v>1</v>
      </c>
      <c r="AI933">
        <f t="shared" si="266"/>
        <v>3.2</v>
      </c>
      <c r="AJ933">
        <f t="shared" si="267"/>
        <v>1.76</v>
      </c>
      <c r="AK933" t="s">
        <v>112</v>
      </c>
      <c r="AL933">
        <v>29</v>
      </c>
      <c r="AN933" t="s">
        <v>364</v>
      </c>
      <c r="AO933">
        <v>0.75800000000000001</v>
      </c>
    </row>
    <row r="934" spans="1:41" ht="15.6">
      <c r="A934">
        <v>20</v>
      </c>
      <c r="B934" t="s">
        <v>1197</v>
      </c>
      <c r="C934" t="s">
        <v>563</v>
      </c>
      <c r="D934" s="3">
        <f t="shared" si="258"/>
        <v>60</v>
      </c>
      <c r="F934">
        <v>2021</v>
      </c>
      <c r="G934">
        <f t="shared" si="256"/>
        <v>4</v>
      </c>
      <c r="H934">
        <f t="shared" si="259"/>
        <v>0.62897841789994813</v>
      </c>
      <c r="J934">
        <f t="shared" si="260"/>
        <v>25</v>
      </c>
      <c r="K934">
        <v>1</v>
      </c>
      <c r="L934">
        <v>10</v>
      </c>
      <c r="M934" s="12">
        <f t="shared" si="261"/>
        <v>0.37441810751800841</v>
      </c>
      <c r="N934">
        <f t="shared" si="257"/>
        <v>0.12237942760415385</v>
      </c>
      <c r="O934">
        <f t="shared" si="262"/>
        <v>0.61189713802076928</v>
      </c>
      <c r="P934" t="s">
        <v>952</v>
      </c>
      <c r="Q934" t="s">
        <v>527</v>
      </c>
      <c r="R934">
        <v>4.282</v>
      </c>
      <c r="S934">
        <f t="shared" si="263"/>
        <v>4.3024799999999992</v>
      </c>
      <c r="U934">
        <v>22</v>
      </c>
      <c r="V934" t="s">
        <v>138</v>
      </c>
      <c r="W934">
        <f t="shared" si="264"/>
        <v>32.24</v>
      </c>
      <c r="Y934">
        <v>2014</v>
      </c>
      <c r="Z934">
        <f>2025-AVERAGE($Y$926:$Y$950)</f>
        <v>10.599999999999909</v>
      </c>
      <c r="AC934">
        <v>0.28000000000000003</v>
      </c>
      <c r="AD934" s="3">
        <v>0.28499999999999998</v>
      </c>
      <c r="AE934">
        <v>1</v>
      </c>
      <c r="AF934" t="str">
        <f t="shared" si="265"/>
        <v>US</v>
      </c>
      <c r="AG934">
        <v>5</v>
      </c>
      <c r="AH934">
        <v>1</v>
      </c>
      <c r="AI934">
        <f t="shared" si="266"/>
        <v>3.2</v>
      </c>
      <c r="AJ934">
        <f t="shared" si="267"/>
        <v>1.76</v>
      </c>
      <c r="AK934" t="s">
        <v>112</v>
      </c>
      <c r="AL934">
        <v>29</v>
      </c>
      <c r="AN934" t="s">
        <v>364</v>
      </c>
      <c r="AO934">
        <v>0.75800000000000001</v>
      </c>
    </row>
    <row r="935" spans="1:41" ht="15.6">
      <c r="A935">
        <v>20</v>
      </c>
      <c r="B935" t="s">
        <v>1197</v>
      </c>
      <c r="C935" t="s">
        <v>563</v>
      </c>
      <c r="D935" s="3">
        <f t="shared" si="258"/>
        <v>60</v>
      </c>
      <c r="F935">
        <v>2021</v>
      </c>
      <c r="G935">
        <f t="shared" si="256"/>
        <v>4</v>
      </c>
      <c r="H935">
        <f t="shared" si="259"/>
        <v>0.62897841789994813</v>
      </c>
      <c r="J935">
        <f t="shared" si="260"/>
        <v>25</v>
      </c>
      <c r="K935">
        <v>1</v>
      </c>
      <c r="L935">
        <v>10</v>
      </c>
      <c r="M935" s="12">
        <f t="shared" si="261"/>
        <v>0.37441810751800841</v>
      </c>
      <c r="N935">
        <f t="shared" si="257"/>
        <v>0.12237942760415385</v>
      </c>
      <c r="O935">
        <f t="shared" si="262"/>
        <v>0.61189713802076928</v>
      </c>
      <c r="P935" t="s">
        <v>953</v>
      </c>
      <c r="Q935" t="s">
        <v>527</v>
      </c>
      <c r="R935">
        <v>4.282</v>
      </c>
      <c r="S935">
        <f t="shared" si="263"/>
        <v>4.3024799999999992</v>
      </c>
      <c r="U935">
        <v>40</v>
      </c>
      <c r="V935" t="s">
        <v>138</v>
      </c>
      <c r="W935">
        <f t="shared" si="264"/>
        <v>32.24</v>
      </c>
      <c r="Y935">
        <v>2015</v>
      </c>
      <c r="Z935">
        <f>2025-AVERAGE($Y$926:$Y$950)</f>
        <v>10.599999999999909</v>
      </c>
      <c r="AE935">
        <v>1</v>
      </c>
      <c r="AF935" t="str">
        <f t="shared" si="265"/>
        <v>US</v>
      </c>
      <c r="AG935">
        <v>4</v>
      </c>
      <c r="AH935">
        <v>1</v>
      </c>
      <c r="AI935">
        <f t="shared" si="266"/>
        <v>3.2</v>
      </c>
      <c r="AJ935">
        <f t="shared" si="267"/>
        <v>1.76</v>
      </c>
      <c r="AK935" t="s">
        <v>112</v>
      </c>
      <c r="AL935">
        <v>29</v>
      </c>
      <c r="AN935" t="s">
        <v>364</v>
      </c>
      <c r="AO935">
        <v>0.75800000000000001</v>
      </c>
    </row>
    <row r="936" spans="1:41" ht="15.6">
      <c r="A936">
        <v>20</v>
      </c>
      <c r="B936" t="s">
        <v>1197</v>
      </c>
      <c r="C936" t="s">
        <v>563</v>
      </c>
      <c r="D936" s="3">
        <f t="shared" si="258"/>
        <v>60</v>
      </c>
      <c r="F936">
        <v>2021</v>
      </c>
      <c r="G936">
        <f t="shared" si="256"/>
        <v>4</v>
      </c>
      <c r="H936">
        <f t="shared" si="259"/>
        <v>0.62897841789994813</v>
      </c>
      <c r="J936">
        <f t="shared" si="260"/>
        <v>25</v>
      </c>
      <c r="K936">
        <v>1</v>
      </c>
      <c r="L936">
        <v>10</v>
      </c>
      <c r="M936" s="12">
        <f t="shared" si="261"/>
        <v>0.37441810751800841</v>
      </c>
      <c r="N936">
        <f t="shared" si="257"/>
        <v>0.12237942760415385</v>
      </c>
      <c r="O936">
        <f t="shared" si="262"/>
        <v>0.61189713802076928</v>
      </c>
      <c r="P936" t="s">
        <v>954</v>
      </c>
      <c r="Q936" t="s">
        <v>527</v>
      </c>
      <c r="R936">
        <v>4.282</v>
      </c>
      <c r="S936">
        <f t="shared" si="263"/>
        <v>4.3024799999999992</v>
      </c>
      <c r="U936">
        <v>26</v>
      </c>
      <c r="V936" t="s">
        <v>138</v>
      </c>
      <c r="W936">
        <f t="shared" si="264"/>
        <v>32.24</v>
      </c>
      <c r="Y936">
        <v>2014</v>
      </c>
      <c r="Z936">
        <f>2025-AVERAGE($Y$926:$Y$950)</f>
        <v>10.599999999999909</v>
      </c>
      <c r="AE936">
        <v>1</v>
      </c>
      <c r="AF936" t="str">
        <f t="shared" si="265"/>
        <v>US</v>
      </c>
      <c r="AG936">
        <v>2</v>
      </c>
      <c r="AH936">
        <v>2</v>
      </c>
      <c r="AI936">
        <f t="shared" si="266"/>
        <v>3.2</v>
      </c>
      <c r="AJ936">
        <f t="shared" si="267"/>
        <v>1.76</v>
      </c>
      <c r="AK936" t="s">
        <v>112</v>
      </c>
      <c r="AL936">
        <v>29</v>
      </c>
      <c r="AN936" t="s">
        <v>364</v>
      </c>
      <c r="AO936">
        <v>0.75800000000000001</v>
      </c>
    </row>
    <row r="937" spans="1:41" ht="15.6">
      <c r="A937">
        <v>20</v>
      </c>
      <c r="B937" t="s">
        <v>1197</v>
      </c>
      <c r="C937" t="s">
        <v>563</v>
      </c>
      <c r="D937" s="3">
        <f t="shared" si="258"/>
        <v>60</v>
      </c>
      <c r="F937">
        <v>2021</v>
      </c>
      <c r="G937">
        <f t="shared" si="256"/>
        <v>4</v>
      </c>
      <c r="H937">
        <f t="shared" si="259"/>
        <v>0.62897841789994813</v>
      </c>
      <c r="J937">
        <f t="shared" si="260"/>
        <v>25</v>
      </c>
      <c r="K937">
        <v>1</v>
      </c>
      <c r="L937">
        <v>10</v>
      </c>
      <c r="M937" s="12">
        <f t="shared" si="261"/>
        <v>0.37441810751800841</v>
      </c>
      <c r="N937">
        <f t="shared" si="257"/>
        <v>0.12237942760415385</v>
      </c>
      <c r="O937">
        <f t="shared" si="262"/>
        <v>0.61189713802076928</v>
      </c>
      <c r="P937" t="s">
        <v>955</v>
      </c>
      <c r="Q937" t="s">
        <v>527</v>
      </c>
      <c r="R937">
        <v>4.282</v>
      </c>
      <c r="S937">
        <f t="shared" si="263"/>
        <v>4.3024799999999992</v>
      </c>
      <c r="U937">
        <v>42</v>
      </c>
      <c r="V937" t="s">
        <v>138</v>
      </c>
      <c r="W937">
        <f t="shared" si="264"/>
        <v>32.24</v>
      </c>
      <c r="Y937">
        <v>2015</v>
      </c>
      <c r="Z937">
        <f>2025-AVERAGE($Y$926:$Y$950)</f>
        <v>10.599999999999909</v>
      </c>
      <c r="AC937">
        <v>0.7350000000000001</v>
      </c>
      <c r="AD937" s="3">
        <v>0.51</v>
      </c>
      <c r="AE937">
        <v>1</v>
      </c>
      <c r="AF937" t="str">
        <f t="shared" si="265"/>
        <v>US</v>
      </c>
      <c r="AG937">
        <v>6</v>
      </c>
      <c r="AH937">
        <v>3</v>
      </c>
      <c r="AI937">
        <f t="shared" si="266"/>
        <v>3.2</v>
      </c>
      <c r="AJ937">
        <f t="shared" si="267"/>
        <v>1.76</v>
      </c>
      <c r="AK937" t="s">
        <v>112</v>
      </c>
      <c r="AL937">
        <v>29</v>
      </c>
      <c r="AN937" t="s">
        <v>364</v>
      </c>
      <c r="AO937">
        <v>0.75800000000000001</v>
      </c>
    </row>
    <row r="938" spans="1:41" ht="15.6">
      <c r="A938">
        <v>20</v>
      </c>
      <c r="B938" t="s">
        <v>1197</v>
      </c>
      <c r="C938" t="s">
        <v>563</v>
      </c>
      <c r="D938" s="3">
        <f t="shared" si="258"/>
        <v>60</v>
      </c>
      <c r="F938">
        <v>2021</v>
      </c>
      <c r="G938">
        <f t="shared" si="256"/>
        <v>4</v>
      </c>
      <c r="H938">
        <f t="shared" si="259"/>
        <v>0.62897841789994813</v>
      </c>
      <c r="J938">
        <f t="shared" si="260"/>
        <v>25</v>
      </c>
      <c r="K938">
        <v>1</v>
      </c>
      <c r="L938">
        <v>10</v>
      </c>
      <c r="M938" s="12">
        <f t="shared" si="261"/>
        <v>0.37441810751800841</v>
      </c>
      <c r="N938">
        <f t="shared" si="257"/>
        <v>0.12237942760415385</v>
      </c>
      <c r="O938">
        <f t="shared" si="262"/>
        <v>0.61189713802076928</v>
      </c>
      <c r="P938" t="s">
        <v>956</v>
      </c>
      <c r="Q938" t="s">
        <v>527</v>
      </c>
      <c r="R938">
        <v>4.282</v>
      </c>
      <c r="S938">
        <f t="shared" si="263"/>
        <v>4.3024799999999992</v>
      </c>
      <c r="U938">
        <v>29</v>
      </c>
      <c r="V938" t="s">
        <v>138</v>
      </c>
      <c r="W938">
        <f t="shared" si="264"/>
        <v>32.24</v>
      </c>
      <c r="Y938">
        <v>2014</v>
      </c>
      <c r="Z938">
        <f>2025-AVERAGE($Y$926:$Y$950)</f>
        <v>10.599999999999909</v>
      </c>
      <c r="AE938">
        <v>1</v>
      </c>
      <c r="AF938" t="str">
        <f t="shared" si="265"/>
        <v>US</v>
      </c>
      <c r="AG938">
        <v>5</v>
      </c>
      <c r="AH938">
        <v>1</v>
      </c>
      <c r="AI938">
        <f t="shared" si="266"/>
        <v>3.2</v>
      </c>
      <c r="AJ938">
        <f t="shared" si="267"/>
        <v>1.76</v>
      </c>
      <c r="AK938" t="s">
        <v>112</v>
      </c>
      <c r="AL938">
        <v>29</v>
      </c>
      <c r="AN938" t="s">
        <v>364</v>
      </c>
      <c r="AO938">
        <v>0.75800000000000001</v>
      </c>
    </row>
    <row r="939" spans="1:41" ht="15.6">
      <c r="A939">
        <v>20</v>
      </c>
      <c r="B939" t="s">
        <v>1197</v>
      </c>
      <c r="C939" t="s">
        <v>563</v>
      </c>
      <c r="D939" s="3">
        <f t="shared" si="258"/>
        <v>60</v>
      </c>
      <c r="F939">
        <v>2021</v>
      </c>
      <c r="G939">
        <f t="shared" si="256"/>
        <v>4</v>
      </c>
      <c r="H939">
        <f t="shared" si="259"/>
        <v>0.62897841789994813</v>
      </c>
      <c r="J939">
        <f t="shared" si="260"/>
        <v>25</v>
      </c>
      <c r="K939">
        <v>1</v>
      </c>
      <c r="L939">
        <v>10</v>
      </c>
      <c r="M939" s="12">
        <f t="shared" si="261"/>
        <v>0.37441810751800841</v>
      </c>
      <c r="N939">
        <f t="shared" si="257"/>
        <v>0.12237942760415385</v>
      </c>
      <c r="O939">
        <f t="shared" si="262"/>
        <v>0.61189713802076928</v>
      </c>
      <c r="P939" t="s">
        <v>957</v>
      </c>
      <c r="Q939" t="s">
        <v>527</v>
      </c>
      <c r="R939">
        <v>4.3460000000000001</v>
      </c>
      <c r="S939">
        <f t="shared" si="263"/>
        <v>4.3024799999999992</v>
      </c>
      <c r="U939">
        <v>30</v>
      </c>
      <c r="V939" t="s">
        <v>138</v>
      </c>
      <c r="W939">
        <f t="shared" si="264"/>
        <v>32.24</v>
      </c>
      <c r="Y939">
        <v>2015</v>
      </c>
      <c r="Z939">
        <f>2025-AVERAGE($Y$926:$Y$950)</f>
        <v>10.599999999999909</v>
      </c>
      <c r="AE939">
        <v>1</v>
      </c>
      <c r="AF939" t="str">
        <f t="shared" si="265"/>
        <v>US</v>
      </c>
      <c r="AG939">
        <v>4</v>
      </c>
      <c r="AH939">
        <v>2</v>
      </c>
      <c r="AI939">
        <f t="shared" si="266"/>
        <v>3.2</v>
      </c>
      <c r="AJ939">
        <f t="shared" si="267"/>
        <v>1.76</v>
      </c>
      <c r="AK939" t="s">
        <v>112</v>
      </c>
      <c r="AL939">
        <v>29</v>
      </c>
      <c r="AN939" t="s">
        <v>364</v>
      </c>
      <c r="AO939">
        <v>0.75800000000000001</v>
      </c>
    </row>
    <row r="940" spans="1:41" ht="15.6">
      <c r="A940">
        <v>20</v>
      </c>
      <c r="B940" t="s">
        <v>1197</v>
      </c>
      <c r="C940" t="s">
        <v>563</v>
      </c>
      <c r="D940" s="3">
        <f t="shared" si="258"/>
        <v>60</v>
      </c>
      <c r="F940">
        <v>2021</v>
      </c>
      <c r="G940">
        <f t="shared" si="256"/>
        <v>4</v>
      </c>
      <c r="H940">
        <f t="shared" si="259"/>
        <v>0.62897841789994813</v>
      </c>
      <c r="J940">
        <f t="shared" si="260"/>
        <v>25</v>
      </c>
      <c r="K940">
        <v>1</v>
      </c>
      <c r="L940">
        <v>10</v>
      </c>
      <c r="M940" s="12">
        <f t="shared" si="261"/>
        <v>0.37441810751800841</v>
      </c>
      <c r="N940">
        <f t="shared" si="257"/>
        <v>0.12237942760415385</v>
      </c>
      <c r="O940">
        <f t="shared" si="262"/>
        <v>0.61189713802076928</v>
      </c>
      <c r="P940" t="s">
        <v>958</v>
      </c>
      <c r="Q940" t="s">
        <v>527</v>
      </c>
      <c r="R940">
        <v>4.282</v>
      </c>
      <c r="S940">
        <f t="shared" si="263"/>
        <v>4.3024799999999992</v>
      </c>
      <c r="U940">
        <v>42</v>
      </c>
      <c r="V940" t="s">
        <v>138</v>
      </c>
      <c r="W940">
        <f t="shared" si="264"/>
        <v>32.24</v>
      </c>
      <c r="Y940">
        <v>2014</v>
      </c>
      <c r="Z940">
        <f>2025-AVERAGE($Y$926:$Y$950)</f>
        <v>10.599999999999909</v>
      </c>
      <c r="AE940">
        <v>1</v>
      </c>
      <c r="AF940" t="str">
        <f t="shared" si="265"/>
        <v>US</v>
      </c>
      <c r="AG940">
        <v>4</v>
      </c>
      <c r="AH940">
        <v>2</v>
      </c>
      <c r="AI940">
        <f t="shared" si="266"/>
        <v>3.2</v>
      </c>
      <c r="AJ940">
        <f t="shared" si="267"/>
        <v>1.76</v>
      </c>
      <c r="AK940" t="s">
        <v>112</v>
      </c>
      <c r="AL940">
        <v>29</v>
      </c>
      <c r="AN940" t="s">
        <v>364</v>
      </c>
      <c r="AO940">
        <v>0.75800000000000001</v>
      </c>
    </row>
    <row r="941" spans="1:41" ht="15.6">
      <c r="A941">
        <v>20</v>
      </c>
      <c r="B941" t="s">
        <v>1197</v>
      </c>
      <c r="C941" t="s">
        <v>563</v>
      </c>
      <c r="D941" s="3">
        <f t="shared" si="258"/>
        <v>60</v>
      </c>
      <c r="F941">
        <v>2021</v>
      </c>
      <c r="G941">
        <f t="shared" si="256"/>
        <v>4</v>
      </c>
      <c r="H941">
        <f t="shared" si="259"/>
        <v>0.62897841789994813</v>
      </c>
      <c r="J941">
        <f t="shared" si="260"/>
        <v>25</v>
      </c>
      <c r="K941">
        <v>1</v>
      </c>
      <c r="L941">
        <v>10</v>
      </c>
      <c r="M941" s="12">
        <f t="shared" si="261"/>
        <v>0.37441810751800841</v>
      </c>
      <c r="N941">
        <f t="shared" si="257"/>
        <v>0.12237942760415385</v>
      </c>
      <c r="O941">
        <f t="shared" si="262"/>
        <v>0.61189713802076928</v>
      </c>
      <c r="P941" t="s">
        <v>959</v>
      </c>
      <c r="Q941" t="s">
        <v>527</v>
      </c>
      <c r="R941">
        <v>4.3460000000000001</v>
      </c>
      <c r="S941">
        <f t="shared" si="263"/>
        <v>4.3024799999999992</v>
      </c>
      <c r="U941">
        <v>35</v>
      </c>
      <c r="V941" t="s">
        <v>138</v>
      </c>
      <c r="W941">
        <f t="shared" si="264"/>
        <v>32.24</v>
      </c>
      <c r="Y941">
        <v>2015</v>
      </c>
      <c r="Z941">
        <f>2025-AVERAGE($Y$926:$Y$950)</f>
        <v>10.599999999999909</v>
      </c>
      <c r="AE941">
        <v>1</v>
      </c>
      <c r="AF941" t="str">
        <f t="shared" si="265"/>
        <v>US</v>
      </c>
      <c r="AG941">
        <v>3</v>
      </c>
      <c r="AH941">
        <v>2</v>
      </c>
      <c r="AI941">
        <f t="shared" si="266"/>
        <v>3.2</v>
      </c>
      <c r="AJ941">
        <f t="shared" si="267"/>
        <v>1.76</v>
      </c>
      <c r="AK941" t="s">
        <v>112</v>
      </c>
      <c r="AL941">
        <v>29</v>
      </c>
      <c r="AN941" t="s">
        <v>364</v>
      </c>
      <c r="AO941">
        <v>0.75800000000000001</v>
      </c>
    </row>
    <row r="942" spans="1:41" ht="15.6">
      <c r="A942">
        <v>20</v>
      </c>
      <c r="B942" t="s">
        <v>1197</v>
      </c>
      <c r="C942" t="s">
        <v>563</v>
      </c>
      <c r="D942" s="3">
        <f t="shared" si="258"/>
        <v>60</v>
      </c>
      <c r="F942">
        <v>2021</v>
      </c>
      <c r="G942">
        <f t="shared" si="256"/>
        <v>4</v>
      </c>
      <c r="H942">
        <f t="shared" si="259"/>
        <v>0.62897841789994813</v>
      </c>
      <c r="J942">
        <f t="shared" si="260"/>
        <v>25</v>
      </c>
      <c r="K942">
        <v>1</v>
      </c>
      <c r="L942">
        <v>10</v>
      </c>
      <c r="M942" s="12">
        <f t="shared" si="261"/>
        <v>0.37441810751800841</v>
      </c>
      <c r="N942">
        <f t="shared" si="257"/>
        <v>0.12237942760415385</v>
      </c>
      <c r="O942">
        <f t="shared" si="262"/>
        <v>0.61189713802076928</v>
      </c>
      <c r="P942" t="s">
        <v>960</v>
      </c>
      <c r="Q942" t="s">
        <v>527</v>
      </c>
      <c r="R942">
        <v>4.3460000000000001</v>
      </c>
      <c r="S942">
        <f t="shared" si="263"/>
        <v>4.3024799999999992</v>
      </c>
      <c r="U942">
        <v>40</v>
      </c>
      <c r="V942" t="s">
        <v>138</v>
      </c>
      <c r="W942">
        <f t="shared" si="264"/>
        <v>32.24</v>
      </c>
      <c r="Y942">
        <v>2015</v>
      </c>
      <c r="Z942">
        <f>2025-AVERAGE($Y$926:$Y$950)</f>
        <v>10.599999999999909</v>
      </c>
      <c r="AE942">
        <v>1</v>
      </c>
      <c r="AF942" t="str">
        <f t="shared" si="265"/>
        <v>US</v>
      </c>
      <c r="AG942">
        <v>3</v>
      </c>
      <c r="AH942">
        <v>2</v>
      </c>
      <c r="AI942">
        <f t="shared" si="266"/>
        <v>3.2</v>
      </c>
      <c r="AJ942">
        <f t="shared" si="267"/>
        <v>1.76</v>
      </c>
      <c r="AK942" t="s">
        <v>112</v>
      </c>
      <c r="AL942">
        <v>29</v>
      </c>
      <c r="AN942" t="s">
        <v>364</v>
      </c>
      <c r="AO942">
        <v>0.75800000000000001</v>
      </c>
    </row>
    <row r="943" spans="1:41" ht="15.6">
      <c r="A943">
        <v>20</v>
      </c>
      <c r="B943" t="s">
        <v>1197</v>
      </c>
      <c r="C943" t="s">
        <v>563</v>
      </c>
      <c r="D943" s="3">
        <f t="shared" si="258"/>
        <v>60</v>
      </c>
      <c r="F943">
        <v>2021</v>
      </c>
      <c r="G943">
        <f t="shared" si="256"/>
        <v>4</v>
      </c>
      <c r="H943">
        <f t="shared" si="259"/>
        <v>0.62897841789994813</v>
      </c>
      <c r="J943">
        <f t="shared" si="260"/>
        <v>25</v>
      </c>
      <c r="K943">
        <v>1</v>
      </c>
      <c r="L943">
        <v>10</v>
      </c>
      <c r="M943" s="12">
        <f t="shared" si="261"/>
        <v>0.37441810751800841</v>
      </c>
      <c r="N943">
        <f t="shared" si="257"/>
        <v>0.12237942760415385</v>
      </c>
      <c r="O943">
        <f t="shared" si="262"/>
        <v>0.61189713802076928</v>
      </c>
      <c r="P943" t="s">
        <v>961</v>
      </c>
      <c r="Q943" t="s">
        <v>527</v>
      </c>
      <c r="R943">
        <v>4.282</v>
      </c>
      <c r="S943">
        <f t="shared" si="263"/>
        <v>4.3024799999999992</v>
      </c>
      <c r="U943">
        <v>23</v>
      </c>
      <c r="V943" t="s">
        <v>138</v>
      </c>
      <c r="W943">
        <f t="shared" si="264"/>
        <v>32.24</v>
      </c>
      <c r="Y943">
        <v>2014</v>
      </c>
      <c r="Z943">
        <f>2025-AVERAGE($Y$926:$Y$950)</f>
        <v>10.599999999999909</v>
      </c>
      <c r="AE943">
        <v>1</v>
      </c>
      <c r="AF943" t="str">
        <f t="shared" si="265"/>
        <v>US</v>
      </c>
      <c r="AG943">
        <v>2</v>
      </c>
      <c r="AH943">
        <v>2</v>
      </c>
      <c r="AI943">
        <f t="shared" si="266"/>
        <v>3.2</v>
      </c>
      <c r="AJ943">
        <f t="shared" si="267"/>
        <v>1.76</v>
      </c>
      <c r="AK943" t="s">
        <v>112</v>
      </c>
      <c r="AL943">
        <v>29</v>
      </c>
      <c r="AN943" t="s">
        <v>364</v>
      </c>
      <c r="AO943">
        <v>0.75800000000000001</v>
      </c>
    </row>
    <row r="944" spans="1:41" ht="15.6">
      <c r="A944">
        <v>20</v>
      </c>
      <c r="B944" t="s">
        <v>1197</v>
      </c>
      <c r="C944" t="s">
        <v>563</v>
      </c>
      <c r="D944" s="3">
        <f t="shared" si="258"/>
        <v>60</v>
      </c>
      <c r="F944">
        <v>2021</v>
      </c>
      <c r="G944">
        <f t="shared" si="256"/>
        <v>4</v>
      </c>
      <c r="H944">
        <f t="shared" si="259"/>
        <v>0.62897841789994813</v>
      </c>
      <c r="J944">
        <f t="shared" si="260"/>
        <v>25</v>
      </c>
      <c r="K944">
        <v>1</v>
      </c>
      <c r="L944">
        <v>10</v>
      </c>
      <c r="M944" s="12">
        <f t="shared" si="261"/>
        <v>0.37441810751800841</v>
      </c>
      <c r="N944">
        <f t="shared" si="257"/>
        <v>0.12237942760415385</v>
      </c>
      <c r="O944">
        <f t="shared" si="262"/>
        <v>0.61189713802076928</v>
      </c>
      <c r="P944" t="s">
        <v>962</v>
      </c>
      <c r="Q944" t="s">
        <v>527</v>
      </c>
      <c r="R944">
        <v>4.3460000000000001</v>
      </c>
      <c r="S944">
        <f t="shared" si="263"/>
        <v>4.3024799999999992</v>
      </c>
      <c r="U944">
        <v>35</v>
      </c>
      <c r="V944" t="s">
        <v>138</v>
      </c>
      <c r="W944">
        <f t="shared" si="264"/>
        <v>32.24</v>
      </c>
      <c r="Y944">
        <v>2015</v>
      </c>
      <c r="Z944">
        <f>2025-AVERAGE($Y$926:$Y$950)</f>
        <v>10.599999999999909</v>
      </c>
      <c r="AE944">
        <v>1</v>
      </c>
      <c r="AF944" t="str">
        <f t="shared" si="265"/>
        <v>US</v>
      </c>
      <c r="AG944">
        <v>2</v>
      </c>
      <c r="AH944">
        <v>2</v>
      </c>
      <c r="AI944">
        <f t="shared" si="266"/>
        <v>3.2</v>
      </c>
      <c r="AJ944">
        <f t="shared" si="267"/>
        <v>1.76</v>
      </c>
      <c r="AK944" t="s">
        <v>112</v>
      </c>
      <c r="AL944">
        <v>29</v>
      </c>
      <c r="AN944" t="s">
        <v>364</v>
      </c>
      <c r="AO944">
        <v>0.75800000000000001</v>
      </c>
    </row>
    <row r="945" spans="1:41" ht="15.6">
      <c r="A945">
        <v>20</v>
      </c>
      <c r="B945" t="s">
        <v>1197</v>
      </c>
      <c r="C945" t="s">
        <v>563</v>
      </c>
      <c r="D945" s="3">
        <f t="shared" si="258"/>
        <v>60</v>
      </c>
      <c r="F945">
        <v>2021</v>
      </c>
      <c r="G945">
        <f t="shared" si="256"/>
        <v>4</v>
      </c>
      <c r="H945">
        <f t="shared" si="259"/>
        <v>0.62897841789994813</v>
      </c>
      <c r="J945">
        <f t="shared" si="260"/>
        <v>25</v>
      </c>
      <c r="K945">
        <v>1</v>
      </c>
      <c r="L945">
        <v>10</v>
      </c>
      <c r="M945" s="12">
        <f t="shared" si="261"/>
        <v>0.37441810751800841</v>
      </c>
      <c r="N945">
        <f t="shared" si="257"/>
        <v>0.12237942760415385</v>
      </c>
      <c r="O945">
        <f t="shared" si="262"/>
        <v>0.61189713802076928</v>
      </c>
      <c r="P945" t="s">
        <v>963</v>
      </c>
      <c r="Q945" t="s">
        <v>527</v>
      </c>
      <c r="R945">
        <v>4.282</v>
      </c>
      <c r="S945">
        <f t="shared" si="263"/>
        <v>4.3024799999999992</v>
      </c>
      <c r="U945">
        <v>49</v>
      </c>
      <c r="V945" t="s">
        <v>138</v>
      </c>
      <c r="W945">
        <f t="shared" si="264"/>
        <v>32.24</v>
      </c>
      <c r="Y945">
        <v>2014</v>
      </c>
      <c r="Z945">
        <f>2025-AVERAGE($Y$926:$Y$950)</f>
        <v>10.599999999999909</v>
      </c>
      <c r="AC945">
        <v>0.26333333333333336</v>
      </c>
      <c r="AD945" s="3">
        <v>0.26</v>
      </c>
      <c r="AE945">
        <v>1</v>
      </c>
      <c r="AF945" t="str">
        <f t="shared" si="265"/>
        <v>US</v>
      </c>
      <c r="AG945">
        <v>5</v>
      </c>
      <c r="AH945">
        <v>1</v>
      </c>
      <c r="AI945">
        <f t="shared" si="266"/>
        <v>3.2</v>
      </c>
      <c r="AJ945">
        <f t="shared" si="267"/>
        <v>1.76</v>
      </c>
      <c r="AK945" t="s">
        <v>112</v>
      </c>
      <c r="AL945">
        <v>29</v>
      </c>
      <c r="AN945" t="s">
        <v>364</v>
      </c>
      <c r="AO945">
        <v>0.75800000000000001</v>
      </c>
    </row>
    <row r="946" spans="1:41" ht="15.6">
      <c r="A946">
        <v>20</v>
      </c>
      <c r="B946" t="s">
        <v>1197</v>
      </c>
      <c r="C946" t="s">
        <v>563</v>
      </c>
      <c r="D946" s="3">
        <f t="shared" si="258"/>
        <v>60</v>
      </c>
      <c r="F946">
        <v>2021</v>
      </c>
      <c r="G946">
        <f t="shared" si="256"/>
        <v>4</v>
      </c>
      <c r="H946">
        <f t="shared" si="259"/>
        <v>0.62897841789994813</v>
      </c>
      <c r="J946">
        <f t="shared" si="260"/>
        <v>25</v>
      </c>
      <c r="K946">
        <v>1</v>
      </c>
      <c r="L946">
        <v>10</v>
      </c>
      <c r="M946" s="12">
        <f t="shared" si="261"/>
        <v>0.37441810751800841</v>
      </c>
      <c r="N946">
        <f t="shared" si="257"/>
        <v>0.12237942760415385</v>
      </c>
      <c r="O946">
        <f t="shared" si="262"/>
        <v>0.61189713802076928</v>
      </c>
      <c r="P946" t="s">
        <v>964</v>
      </c>
      <c r="Q946" t="s">
        <v>527</v>
      </c>
      <c r="R946">
        <v>4.3460000000000001</v>
      </c>
      <c r="S946">
        <f t="shared" si="263"/>
        <v>4.3024799999999992</v>
      </c>
      <c r="U946">
        <v>33</v>
      </c>
      <c r="V946" t="s">
        <v>138</v>
      </c>
      <c r="W946">
        <f t="shared" si="264"/>
        <v>32.24</v>
      </c>
      <c r="Y946">
        <v>2015</v>
      </c>
      <c r="Z946">
        <f>2025-AVERAGE($Y$926:$Y$950)</f>
        <v>10.599999999999909</v>
      </c>
      <c r="AE946">
        <v>1</v>
      </c>
      <c r="AF946" t="str">
        <f t="shared" si="265"/>
        <v>US</v>
      </c>
      <c r="AG946">
        <v>3</v>
      </c>
      <c r="AH946">
        <v>1</v>
      </c>
      <c r="AI946">
        <f t="shared" si="266"/>
        <v>3.2</v>
      </c>
      <c r="AJ946">
        <f t="shared" si="267"/>
        <v>1.76</v>
      </c>
      <c r="AK946" t="s">
        <v>112</v>
      </c>
      <c r="AL946">
        <v>29</v>
      </c>
      <c r="AN946" t="s">
        <v>364</v>
      </c>
      <c r="AO946">
        <v>0.75800000000000001</v>
      </c>
    </row>
    <row r="947" spans="1:41" ht="15.6">
      <c r="A947">
        <v>20</v>
      </c>
      <c r="B947" t="s">
        <v>1197</v>
      </c>
      <c r="C947" t="s">
        <v>563</v>
      </c>
      <c r="D947" s="3">
        <f t="shared" si="258"/>
        <v>60</v>
      </c>
      <c r="F947">
        <v>2021</v>
      </c>
      <c r="G947">
        <f t="shared" si="256"/>
        <v>4</v>
      </c>
      <c r="H947">
        <f t="shared" si="259"/>
        <v>0.62897841789994813</v>
      </c>
      <c r="J947">
        <f t="shared" si="260"/>
        <v>25</v>
      </c>
      <c r="K947">
        <v>1</v>
      </c>
      <c r="L947">
        <v>10</v>
      </c>
      <c r="M947" s="12">
        <f t="shared" si="261"/>
        <v>0.37441810751800841</v>
      </c>
      <c r="N947">
        <f t="shared" si="257"/>
        <v>0.12237942760415385</v>
      </c>
      <c r="O947">
        <f t="shared" si="262"/>
        <v>0.61189713802076928</v>
      </c>
      <c r="P947" t="s">
        <v>965</v>
      </c>
      <c r="Q947" t="s">
        <v>527</v>
      </c>
      <c r="R947">
        <v>4.282</v>
      </c>
      <c r="S947">
        <f t="shared" si="263"/>
        <v>4.3024799999999992</v>
      </c>
      <c r="U947">
        <v>35</v>
      </c>
      <c r="V947" t="s">
        <v>138</v>
      </c>
      <c r="W947">
        <f t="shared" si="264"/>
        <v>32.24</v>
      </c>
      <c r="Y947">
        <v>2014</v>
      </c>
      <c r="Z947">
        <f>2025-AVERAGE($Y$926:$Y$950)</f>
        <v>10.599999999999909</v>
      </c>
      <c r="AC947">
        <v>0.69</v>
      </c>
      <c r="AD947" s="3">
        <v>0.67999999999999994</v>
      </c>
      <c r="AE947">
        <v>1</v>
      </c>
      <c r="AF947" t="str">
        <f t="shared" si="265"/>
        <v>US</v>
      </c>
      <c r="AG947">
        <v>3</v>
      </c>
      <c r="AH947">
        <v>2</v>
      </c>
      <c r="AI947">
        <f t="shared" si="266"/>
        <v>3.2</v>
      </c>
      <c r="AJ947">
        <f t="shared" si="267"/>
        <v>1.76</v>
      </c>
      <c r="AK947" t="s">
        <v>112</v>
      </c>
      <c r="AL947">
        <v>29</v>
      </c>
      <c r="AN947" t="s">
        <v>364</v>
      </c>
      <c r="AO947">
        <v>0.75800000000000001</v>
      </c>
    </row>
    <row r="948" spans="1:41" ht="15.6">
      <c r="A948">
        <v>20</v>
      </c>
      <c r="B948" t="s">
        <v>1197</v>
      </c>
      <c r="C948" t="s">
        <v>563</v>
      </c>
      <c r="D948" s="3">
        <f t="shared" si="258"/>
        <v>60</v>
      </c>
      <c r="F948">
        <v>2021</v>
      </c>
      <c r="G948">
        <f t="shared" si="256"/>
        <v>4</v>
      </c>
      <c r="H948">
        <f t="shared" si="259"/>
        <v>0.62897841789994813</v>
      </c>
      <c r="J948">
        <f t="shared" si="260"/>
        <v>25</v>
      </c>
      <c r="K948">
        <v>1</v>
      </c>
      <c r="L948">
        <v>10</v>
      </c>
      <c r="M948" s="12">
        <f t="shared" si="261"/>
        <v>0.37441810751800841</v>
      </c>
      <c r="N948">
        <f t="shared" si="257"/>
        <v>0.12237942760415385</v>
      </c>
      <c r="O948">
        <f t="shared" si="262"/>
        <v>0.61189713802076928</v>
      </c>
      <c r="P948" t="s">
        <v>966</v>
      </c>
      <c r="Q948" t="s">
        <v>527</v>
      </c>
      <c r="R948">
        <v>4.282</v>
      </c>
      <c r="S948">
        <f t="shared" si="263"/>
        <v>4.3024799999999992</v>
      </c>
      <c r="U948">
        <v>38</v>
      </c>
      <c r="V948" t="s">
        <v>138</v>
      </c>
      <c r="W948">
        <f t="shared" si="264"/>
        <v>32.24</v>
      </c>
      <c r="Y948">
        <v>2014</v>
      </c>
      <c r="Z948">
        <f>2025-AVERAGE($Y$926:$Y$950)</f>
        <v>10.599999999999909</v>
      </c>
      <c r="AE948">
        <v>1</v>
      </c>
      <c r="AF948" t="str">
        <f t="shared" si="265"/>
        <v>US</v>
      </c>
      <c r="AG948">
        <v>2</v>
      </c>
      <c r="AH948">
        <v>1</v>
      </c>
      <c r="AI948">
        <f t="shared" si="266"/>
        <v>3.2</v>
      </c>
      <c r="AJ948">
        <f t="shared" si="267"/>
        <v>1.76</v>
      </c>
      <c r="AK948" t="s">
        <v>112</v>
      </c>
      <c r="AL948">
        <v>29</v>
      </c>
      <c r="AN948" t="s">
        <v>364</v>
      </c>
      <c r="AO948">
        <v>0.75800000000000001</v>
      </c>
    </row>
    <row r="949" spans="1:41" ht="15.6">
      <c r="A949">
        <v>20</v>
      </c>
      <c r="B949" t="s">
        <v>1197</v>
      </c>
      <c r="C949" t="s">
        <v>563</v>
      </c>
      <c r="D949" s="3">
        <f t="shared" si="258"/>
        <v>60</v>
      </c>
      <c r="F949">
        <v>2021</v>
      </c>
      <c r="G949">
        <f t="shared" si="256"/>
        <v>4</v>
      </c>
      <c r="H949">
        <f t="shared" si="259"/>
        <v>0.62897841789994813</v>
      </c>
      <c r="J949">
        <f t="shared" si="260"/>
        <v>25</v>
      </c>
      <c r="K949">
        <v>1</v>
      </c>
      <c r="L949">
        <v>10</v>
      </c>
      <c r="M949" s="12">
        <f t="shared" si="261"/>
        <v>0.37441810751800841</v>
      </c>
      <c r="N949">
        <f t="shared" si="257"/>
        <v>0.12237942760415385</v>
      </c>
      <c r="O949">
        <f t="shared" si="262"/>
        <v>0.61189713802076928</v>
      </c>
      <c r="P949" t="s">
        <v>967</v>
      </c>
      <c r="Q949" t="s">
        <v>527</v>
      </c>
      <c r="R949">
        <v>4.3460000000000001</v>
      </c>
      <c r="S949">
        <f t="shared" si="263"/>
        <v>4.3024799999999992</v>
      </c>
      <c r="U949">
        <v>40</v>
      </c>
      <c r="V949" t="s">
        <v>138</v>
      </c>
      <c r="W949">
        <f t="shared" si="264"/>
        <v>32.24</v>
      </c>
      <c r="Y949">
        <v>2015</v>
      </c>
      <c r="Z949">
        <f>2025-AVERAGE($Y$926:$Y$950)</f>
        <v>10.599999999999909</v>
      </c>
      <c r="AE949">
        <v>1</v>
      </c>
      <c r="AF949" t="str">
        <f t="shared" si="265"/>
        <v>US</v>
      </c>
      <c r="AG949">
        <v>2</v>
      </c>
      <c r="AH949">
        <v>2</v>
      </c>
      <c r="AI949">
        <f t="shared" si="266"/>
        <v>3.2</v>
      </c>
      <c r="AJ949">
        <f t="shared" si="267"/>
        <v>1.76</v>
      </c>
      <c r="AK949" t="s">
        <v>112</v>
      </c>
      <c r="AL949">
        <v>29</v>
      </c>
      <c r="AN949" t="s">
        <v>364</v>
      </c>
      <c r="AO949">
        <v>0.75800000000000001</v>
      </c>
    </row>
    <row r="950" spans="1:41" ht="15.6">
      <c r="A950">
        <v>20</v>
      </c>
      <c r="B950" t="s">
        <v>1197</v>
      </c>
      <c r="C950" t="s">
        <v>563</v>
      </c>
      <c r="D950" s="3">
        <f t="shared" si="258"/>
        <v>60</v>
      </c>
      <c r="F950">
        <v>2021</v>
      </c>
      <c r="G950">
        <f t="shared" si="256"/>
        <v>4</v>
      </c>
      <c r="H950">
        <f t="shared" si="259"/>
        <v>0.62897841789994813</v>
      </c>
      <c r="J950">
        <f t="shared" si="260"/>
        <v>25</v>
      </c>
      <c r="K950">
        <v>1</v>
      </c>
      <c r="L950">
        <v>10</v>
      </c>
      <c r="M950" s="12">
        <f t="shared" si="261"/>
        <v>0.37441810751800841</v>
      </c>
      <c r="N950">
        <f t="shared" si="257"/>
        <v>0.12237942760415385</v>
      </c>
      <c r="O950">
        <f t="shared" si="262"/>
        <v>0.61189713802076928</v>
      </c>
      <c r="P950" t="s">
        <v>968</v>
      </c>
      <c r="Q950" t="s">
        <v>527</v>
      </c>
      <c r="R950">
        <v>4.282</v>
      </c>
      <c r="S950">
        <f t="shared" si="263"/>
        <v>4.3024799999999992</v>
      </c>
      <c r="U950">
        <v>30</v>
      </c>
      <c r="V950" t="s">
        <v>138</v>
      </c>
      <c r="W950">
        <f t="shared" si="264"/>
        <v>32.24</v>
      </c>
      <c r="Y950">
        <v>2014</v>
      </c>
      <c r="Z950">
        <f>2025-AVERAGE($Y$926:$Y$950)</f>
        <v>10.599999999999909</v>
      </c>
      <c r="AD950" s="3">
        <v>2.1928966716445206</v>
      </c>
      <c r="AE950">
        <v>1</v>
      </c>
      <c r="AF950" t="str">
        <f t="shared" si="265"/>
        <v>US</v>
      </c>
      <c r="AG950">
        <v>4</v>
      </c>
      <c r="AH950">
        <v>2</v>
      </c>
      <c r="AI950">
        <f t="shared" si="266"/>
        <v>3.2</v>
      </c>
      <c r="AJ950">
        <f t="shared" si="267"/>
        <v>1.76</v>
      </c>
      <c r="AK950" t="s">
        <v>112</v>
      </c>
      <c r="AL950">
        <v>29</v>
      </c>
      <c r="AN950" t="s">
        <v>364</v>
      </c>
      <c r="AO950">
        <v>0.75800000000000001</v>
      </c>
    </row>
    <row r="951" spans="1:41" ht="15.6">
      <c r="A951">
        <v>21</v>
      </c>
      <c r="B951" t="s">
        <v>1054</v>
      </c>
      <c r="C951" t="s">
        <v>564</v>
      </c>
      <c r="E951" s="3">
        <f>100*(71/92)</f>
        <v>77.173913043478265</v>
      </c>
      <c r="F951">
        <v>2016</v>
      </c>
      <c r="G951">
        <f t="shared" si="256"/>
        <v>9</v>
      </c>
      <c r="H951">
        <f>AVERAGE($AD$951:$AD$1050)</f>
        <v>0.13737906249999995</v>
      </c>
      <c r="J951">
        <f>COUNTA($P$951:$P$1050)</f>
        <v>100</v>
      </c>
      <c r="K951">
        <v>3</v>
      </c>
      <c r="L951">
        <v>3</v>
      </c>
      <c r="M951" s="12">
        <f>_xlfn.VAR.P($AD$951:$AD$1050)</f>
        <v>0.18191058592099621</v>
      </c>
      <c r="N951">
        <f t="shared" ref="N951:N982" si="268">$O$951/SQRT($J$951)</f>
        <v>4.2650977236283368E-2</v>
      </c>
      <c r="O951">
        <f>_xlfn.STDEV.P($AD$951:$AD$1050)</f>
        <v>0.42650977236283366</v>
      </c>
      <c r="P951" t="s">
        <v>56</v>
      </c>
      <c r="Q951" t="s">
        <v>757</v>
      </c>
      <c r="R951">
        <v>2.5790000000000002</v>
      </c>
      <c r="S951">
        <f>AVERAGE($R$951:$R$1050)</f>
        <v>4.1156400000000124</v>
      </c>
      <c r="U951">
        <v>46</v>
      </c>
      <c r="V951" t="s">
        <v>138</v>
      </c>
      <c r="W951">
        <f>AVERAGE($U$951:$U$1050)</f>
        <v>84.72</v>
      </c>
      <c r="Y951">
        <v>2008</v>
      </c>
      <c r="Z951">
        <f>2025-AVERAGE($Y$951:$Y$1050)</f>
        <v>17</v>
      </c>
      <c r="AA951">
        <v>0.02</v>
      </c>
      <c r="AB951">
        <v>0.435</v>
      </c>
      <c r="AC951">
        <v>0.35399999999999998</v>
      </c>
      <c r="AD951" s="3">
        <v>0.02</v>
      </c>
      <c r="AE951">
        <v>1</v>
      </c>
      <c r="AF951" t="str">
        <f t="shared" si="142"/>
        <v>US</v>
      </c>
      <c r="AG951">
        <v>1</v>
      </c>
      <c r="AH951">
        <v>1</v>
      </c>
      <c r="AI951">
        <f>AVERAGE($AG$951:$AG$1050)</f>
        <v>2.84</v>
      </c>
      <c r="AJ951">
        <f>AVERAGE($AH$951:$AH$1050)</f>
        <v>2.17</v>
      </c>
      <c r="AK951" t="s">
        <v>112</v>
      </c>
      <c r="AL951">
        <v>25</v>
      </c>
      <c r="AN951" t="s">
        <v>527</v>
      </c>
      <c r="AO951">
        <v>4.4050000000000002</v>
      </c>
    </row>
    <row r="952" spans="1:41" ht="15.6">
      <c r="A952">
        <v>21</v>
      </c>
      <c r="B952" t="s">
        <v>1054</v>
      </c>
      <c r="C952" t="s">
        <v>564</v>
      </c>
      <c r="E952" s="3">
        <f t="shared" ref="E952:E1015" si="269">100*(71/92)</f>
        <v>77.173913043478265</v>
      </c>
      <c r="F952">
        <v>2016</v>
      </c>
      <c r="G952">
        <f t="shared" si="256"/>
        <v>9</v>
      </c>
      <c r="H952">
        <f t="shared" ref="H952:H1015" si="270">AVERAGE($AD$951:$AD$1050)</f>
        <v>0.13737906249999995</v>
      </c>
      <c r="J952">
        <f t="shared" ref="J952:J1015" si="271">COUNTA($P$951:$P$1050)</f>
        <v>100</v>
      </c>
      <c r="K952">
        <v>3</v>
      </c>
      <c r="L952">
        <v>3</v>
      </c>
      <c r="M952" s="12">
        <f t="shared" ref="M952:M1015" si="272">_xlfn.VAR.P($AD$951:$AD$1050)</f>
        <v>0.18191058592099621</v>
      </c>
      <c r="N952">
        <f t="shared" si="268"/>
        <v>4.2650977236283368E-2</v>
      </c>
      <c r="O952">
        <f t="shared" ref="O952:O1015" si="273">_xlfn.STDEV.P($AD$951:$AD$1050)</f>
        <v>0.42650977236283366</v>
      </c>
      <c r="P952" t="s">
        <v>66</v>
      </c>
      <c r="Q952" t="s">
        <v>757</v>
      </c>
      <c r="R952">
        <v>2.5790000000000002</v>
      </c>
      <c r="S952">
        <f t="shared" ref="S952:S1015" si="274">AVERAGE($R$951:$R$1050)</f>
        <v>4.1156400000000124</v>
      </c>
      <c r="U952">
        <v>6</v>
      </c>
      <c r="V952" t="s">
        <v>138</v>
      </c>
      <c r="W952">
        <f t="shared" ref="W952:W1015" si="275">AVERAGE($U$951:$U$1050)</f>
        <v>84.72</v>
      </c>
      <c r="Y952">
        <v>2008</v>
      </c>
      <c r="Z952">
        <f>2025-AVERAGE($Y$951:$Y$1050)</f>
        <v>17</v>
      </c>
      <c r="AA952" t="s">
        <v>406</v>
      </c>
      <c r="AB952">
        <v>0.26900000000000002</v>
      </c>
      <c r="AC952">
        <v>0.374</v>
      </c>
      <c r="AD952" s="3">
        <v>5.0999999999999997E-2</v>
      </c>
      <c r="AE952">
        <v>1</v>
      </c>
      <c r="AF952" t="str">
        <f t="shared" ref="AF952:AF1015" si="276">IF(AE952=1,"US","Non-US")</f>
        <v>US</v>
      </c>
      <c r="AG952">
        <v>2</v>
      </c>
      <c r="AH952">
        <v>1</v>
      </c>
      <c r="AI952">
        <f t="shared" ref="AI952:AI1015" si="277">AVERAGE($AG$951:$AG$1050)</f>
        <v>2.84</v>
      </c>
      <c r="AJ952">
        <f t="shared" ref="AJ952:AJ1015" si="278">AVERAGE($AH$951:$AH$1050)</f>
        <v>2.17</v>
      </c>
      <c r="AK952" t="s">
        <v>112</v>
      </c>
      <c r="AL952">
        <v>25</v>
      </c>
      <c r="AN952" t="s">
        <v>527</v>
      </c>
      <c r="AO952">
        <v>4.4050000000000002</v>
      </c>
    </row>
    <row r="953" spans="1:41" ht="15.6">
      <c r="A953">
        <v>21</v>
      </c>
      <c r="B953" t="s">
        <v>1054</v>
      </c>
      <c r="C953" t="s">
        <v>564</v>
      </c>
      <c r="E953" s="3">
        <f t="shared" si="269"/>
        <v>77.173913043478265</v>
      </c>
      <c r="F953">
        <v>2016</v>
      </c>
      <c r="G953">
        <f t="shared" si="256"/>
        <v>9</v>
      </c>
      <c r="H953">
        <f t="shared" si="270"/>
        <v>0.13737906249999995</v>
      </c>
      <c r="J953">
        <f t="shared" si="271"/>
        <v>100</v>
      </c>
      <c r="K953">
        <v>3</v>
      </c>
      <c r="L953">
        <v>3</v>
      </c>
      <c r="M953" s="12">
        <f t="shared" si="272"/>
        <v>0.18191058592099621</v>
      </c>
      <c r="N953">
        <f t="shared" si="268"/>
        <v>4.2650977236283368E-2</v>
      </c>
      <c r="O953">
        <f t="shared" si="273"/>
        <v>0.42650977236283366</v>
      </c>
      <c r="P953" t="s">
        <v>7</v>
      </c>
      <c r="Q953" t="s">
        <v>757</v>
      </c>
      <c r="R953">
        <v>2.5790000000000002</v>
      </c>
      <c r="S953">
        <f t="shared" si="274"/>
        <v>4.1156400000000124</v>
      </c>
      <c r="U953">
        <v>55</v>
      </c>
      <c r="V953" t="s">
        <v>138</v>
      </c>
      <c r="W953">
        <f t="shared" si="275"/>
        <v>84.72</v>
      </c>
      <c r="Y953">
        <v>2008</v>
      </c>
      <c r="Z953">
        <f>2025-AVERAGE($Y$951:$Y$1050)</f>
        <v>17</v>
      </c>
      <c r="AA953" t="s">
        <v>390</v>
      </c>
      <c r="AB953">
        <v>0.22900000000000001</v>
      </c>
      <c r="AC953">
        <v>0.18099999999999999</v>
      </c>
      <c r="AD953" s="3">
        <v>4.5999999999999999E-2</v>
      </c>
      <c r="AE953">
        <v>1</v>
      </c>
      <c r="AF953" t="str">
        <f t="shared" si="276"/>
        <v>US</v>
      </c>
      <c r="AG953">
        <v>4</v>
      </c>
      <c r="AH953">
        <v>1</v>
      </c>
      <c r="AI953">
        <f t="shared" si="277"/>
        <v>2.84</v>
      </c>
      <c r="AJ953">
        <f t="shared" si="278"/>
        <v>2.17</v>
      </c>
      <c r="AK953" t="s">
        <v>112</v>
      </c>
      <c r="AL953">
        <v>25</v>
      </c>
      <c r="AN953" t="s">
        <v>527</v>
      </c>
      <c r="AO953">
        <v>4.4050000000000002</v>
      </c>
    </row>
    <row r="954" spans="1:41" ht="15.6">
      <c r="A954">
        <v>21</v>
      </c>
      <c r="B954" t="s">
        <v>1054</v>
      </c>
      <c r="C954" t="s">
        <v>564</v>
      </c>
      <c r="E954" s="3">
        <f t="shared" si="269"/>
        <v>77.173913043478265</v>
      </c>
      <c r="F954">
        <v>2016</v>
      </c>
      <c r="G954">
        <f t="shared" si="256"/>
        <v>9</v>
      </c>
      <c r="H954">
        <f t="shared" si="270"/>
        <v>0.13737906249999995</v>
      </c>
      <c r="J954">
        <f t="shared" si="271"/>
        <v>100</v>
      </c>
      <c r="K954">
        <v>3</v>
      </c>
      <c r="L954">
        <v>3</v>
      </c>
      <c r="M954" s="12">
        <f t="shared" si="272"/>
        <v>0.18191058592099621</v>
      </c>
      <c r="N954">
        <f t="shared" si="268"/>
        <v>4.2650977236283368E-2</v>
      </c>
      <c r="O954">
        <f t="shared" si="273"/>
        <v>0.42650977236283366</v>
      </c>
      <c r="P954" t="s">
        <v>20</v>
      </c>
      <c r="Q954" t="s">
        <v>757</v>
      </c>
      <c r="R954">
        <v>2.5790000000000002</v>
      </c>
      <c r="S954">
        <f t="shared" si="274"/>
        <v>4.1156400000000124</v>
      </c>
      <c r="U954">
        <v>39</v>
      </c>
      <c r="V954" t="s">
        <v>138</v>
      </c>
      <c r="W954">
        <f t="shared" si="275"/>
        <v>84.72</v>
      </c>
      <c r="Y954">
        <v>2008</v>
      </c>
      <c r="Z954">
        <f>2025-AVERAGE($Y$951:$Y$1050)</f>
        <v>17</v>
      </c>
      <c r="AA954" t="s">
        <v>396</v>
      </c>
      <c r="AB954">
        <v>0.94</v>
      </c>
      <c r="AC954">
        <v>5.1999999999999998E-2</v>
      </c>
      <c r="AD954" s="3">
        <v>3.0000000000000001E-5</v>
      </c>
      <c r="AE954">
        <v>1</v>
      </c>
      <c r="AF954" t="str">
        <f t="shared" si="276"/>
        <v>US</v>
      </c>
      <c r="AG954">
        <v>3</v>
      </c>
      <c r="AH954">
        <v>1</v>
      </c>
      <c r="AI954">
        <f t="shared" si="277"/>
        <v>2.84</v>
      </c>
      <c r="AJ954">
        <f t="shared" si="278"/>
        <v>2.17</v>
      </c>
      <c r="AK954" t="s">
        <v>112</v>
      </c>
      <c r="AL954">
        <v>25</v>
      </c>
      <c r="AN954" t="s">
        <v>527</v>
      </c>
      <c r="AO954">
        <v>4.4050000000000002</v>
      </c>
    </row>
    <row r="955" spans="1:41" ht="15.6">
      <c r="A955">
        <v>21</v>
      </c>
      <c r="B955" t="s">
        <v>1054</v>
      </c>
      <c r="C955" t="s">
        <v>564</v>
      </c>
      <c r="E955" s="3">
        <f t="shared" si="269"/>
        <v>77.173913043478265</v>
      </c>
      <c r="F955">
        <v>2016</v>
      </c>
      <c r="G955">
        <f t="shared" si="256"/>
        <v>9</v>
      </c>
      <c r="H955">
        <f t="shared" si="270"/>
        <v>0.13737906249999995</v>
      </c>
      <c r="J955">
        <f t="shared" si="271"/>
        <v>100</v>
      </c>
      <c r="K955">
        <v>3</v>
      </c>
      <c r="L955">
        <v>3</v>
      </c>
      <c r="M955" s="12">
        <f t="shared" si="272"/>
        <v>0.18191058592099621</v>
      </c>
      <c r="N955">
        <f t="shared" si="268"/>
        <v>4.2650977236283368E-2</v>
      </c>
      <c r="O955">
        <f t="shared" si="273"/>
        <v>0.42650977236283366</v>
      </c>
      <c r="P955" t="s">
        <v>54</v>
      </c>
      <c r="Q955" t="s">
        <v>757</v>
      </c>
      <c r="R955">
        <v>2.5790000000000002</v>
      </c>
      <c r="S955">
        <f t="shared" si="274"/>
        <v>4.1156400000000124</v>
      </c>
      <c r="U955">
        <v>36</v>
      </c>
      <c r="V955" t="s">
        <v>138</v>
      </c>
      <c r="W955">
        <f t="shared" si="275"/>
        <v>84.72</v>
      </c>
      <c r="Y955">
        <v>2008</v>
      </c>
      <c r="Z955">
        <f>2025-AVERAGE($Y$951:$Y$1050)</f>
        <v>17</v>
      </c>
      <c r="AA955" t="s">
        <v>384</v>
      </c>
      <c r="AB955">
        <v>0.33500000000000002</v>
      </c>
      <c r="AC955">
        <v>0.51</v>
      </c>
      <c r="AD955" s="3">
        <v>0.02</v>
      </c>
      <c r="AE955">
        <v>1</v>
      </c>
      <c r="AF955" t="str">
        <f t="shared" si="276"/>
        <v>US</v>
      </c>
      <c r="AG955">
        <v>3</v>
      </c>
      <c r="AH955">
        <v>1</v>
      </c>
      <c r="AI955">
        <f t="shared" si="277"/>
        <v>2.84</v>
      </c>
      <c r="AJ955">
        <f t="shared" si="278"/>
        <v>2.17</v>
      </c>
      <c r="AK955" t="s">
        <v>112</v>
      </c>
      <c r="AL955">
        <v>25</v>
      </c>
      <c r="AN955" t="s">
        <v>527</v>
      </c>
      <c r="AO955">
        <v>4.4050000000000002</v>
      </c>
    </row>
    <row r="956" spans="1:41" ht="15.6">
      <c r="A956">
        <v>21</v>
      </c>
      <c r="B956" t="s">
        <v>1054</v>
      </c>
      <c r="C956" t="s">
        <v>564</v>
      </c>
      <c r="E956" s="3">
        <f t="shared" si="269"/>
        <v>77.173913043478265</v>
      </c>
      <c r="F956">
        <v>2016</v>
      </c>
      <c r="G956">
        <f t="shared" si="256"/>
        <v>9</v>
      </c>
      <c r="H956">
        <f t="shared" si="270"/>
        <v>0.13737906249999995</v>
      </c>
      <c r="J956">
        <f t="shared" si="271"/>
        <v>100</v>
      </c>
      <c r="K956">
        <v>3</v>
      </c>
      <c r="L956">
        <v>3</v>
      </c>
      <c r="M956" s="12">
        <f t="shared" si="272"/>
        <v>0.18191058592099621</v>
      </c>
      <c r="N956">
        <f t="shared" si="268"/>
        <v>4.2650977236283368E-2</v>
      </c>
      <c r="O956">
        <f t="shared" si="273"/>
        <v>0.42650977236283366</v>
      </c>
      <c r="P956" t="s">
        <v>78</v>
      </c>
      <c r="Q956" t="s">
        <v>757</v>
      </c>
      <c r="R956">
        <v>2.5790000000000002</v>
      </c>
      <c r="S956">
        <f t="shared" si="274"/>
        <v>4.1156400000000124</v>
      </c>
      <c r="U956">
        <v>37</v>
      </c>
      <c r="V956" t="s">
        <v>138</v>
      </c>
      <c r="W956">
        <f t="shared" si="275"/>
        <v>84.72</v>
      </c>
      <c r="Y956">
        <v>2008</v>
      </c>
      <c r="Z956">
        <f>2025-AVERAGE($Y$951:$Y$1050)</f>
        <v>17</v>
      </c>
      <c r="AA956">
        <v>2E-3</v>
      </c>
      <c r="AB956">
        <v>2.3E-2</v>
      </c>
      <c r="AC956">
        <v>0.72399999999999998</v>
      </c>
      <c r="AD956" s="3">
        <v>0.42399999999999999</v>
      </c>
      <c r="AE956">
        <v>1</v>
      </c>
      <c r="AF956" t="str">
        <f t="shared" si="276"/>
        <v>US</v>
      </c>
      <c r="AG956">
        <v>3</v>
      </c>
      <c r="AH956">
        <v>2</v>
      </c>
      <c r="AI956">
        <f t="shared" si="277"/>
        <v>2.84</v>
      </c>
      <c r="AJ956">
        <f t="shared" si="278"/>
        <v>2.17</v>
      </c>
      <c r="AK956" t="s">
        <v>112</v>
      </c>
      <c r="AL956">
        <v>25</v>
      </c>
      <c r="AN956" t="s">
        <v>527</v>
      </c>
      <c r="AO956">
        <v>4.4050000000000002</v>
      </c>
    </row>
    <row r="957" spans="1:41" ht="15.6">
      <c r="A957">
        <v>21</v>
      </c>
      <c r="B957" t="s">
        <v>1054</v>
      </c>
      <c r="C957" t="s">
        <v>564</v>
      </c>
      <c r="E957" s="3">
        <f t="shared" si="269"/>
        <v>77.173913043478265</v>
      </c>
      <c r="F957">
        <v>2016</v>
      </c>
      <c r="G957">
        <f t="shared" si="256"/>
        <v>9</v>
      </c>
      <c r="H957">
        <f t="shared" si="270"/>
        <v>0.13737906249999995</v>
      </c>
      <c r="J957">
        <f t="shared" si="271"/>
        <v>100</v>
      </c>
      <c r="K957">
        <v>3</v>
      </c>
      <c r="L957">
        <v>3</v>
      </c>
      <c r="M957" s="12">
        <f t="shared" si="272"/>
        <v>0.18191058592099621</v>
      </c>
      <c r="N957">
        <f t="shared" si="268"/>
        <v>4.2650977236283368E-2</v>
      </c>
      <c r="O957">
        <f t="shared" si="273"/>
        <v>0.42650977236283366</v>
      </c>
      <c r="P957" t="s">
        <v>53</v>
      </c>
      <c r="Q957" t="s">
        <v>757</v>
      </c>
      <c r="R957">
        <v>2.5790000000000002</v>
      </c>
      <c r="S957">
        <f t="shared" si="274"/>
        <v>4.1156400000000124</v>
      </c>
      <c r="U957">
        <v>12</v>
      </c>
      <c r="V957" t="s">
        <v>138</v>
      </c>
      <c r="W957">
        <f t="shared" si="275"/>
        <v>84.72</v>
      </c>
      <c r="Y957">
        <v>2008</v>
      </c>
      <c r="Z957">
        <f>2025-AVERAGE($Y$951:$Y$1050)</f>
        <v>17</v>
      </c>
      <c r="AA957" t="s">
        <v>390</v>
      </c>
      <c r="AB957">
        <v>0.314</v>
      </c>
      <c r="AC957">
        <v>1.02</v>
      </c>
      <c r="AD957" s="3">
        <v>0.13</v>
      </c>
      <c r="AE957">
        <v>1</v>
      </c>
      <c r="AF957" t="str">
        <f t="shared" si="276"/>
        <v>US</v>
      </c>
      <c r="AG957">
        <v>3</v>
      </c>
      <c r="AH957">
        <v>2</v>
      </c>
      <c r="AI957">
        <f t="shared" si="277"/>
        <v>2.84</v>
      </c>
      <c r="AJ957">
        <f t="shared" si="278"/>
        <v>2.17</v>
      </c>
      <c r="AK957" t="s">
        <v>112</v>
      </c>
      <c r="AL957">
        <v>25</v>
      </c>
      <c r="AN957" t="s">
        <v>527</v>
      </c>
      <c r="AO957">
        <v>4.4050000000000002</v>
      </c>
    </row>
    <row r="958" spans="1:41" ht="15.6">
      <c r="A958">
        <v>21</v>
      </c>
      <c r="B958" t="s">
        <v>1054</v>
      </c>
      <c r="C958" t="s">
        <v>564</v>
      </c>
      <c r="E958" s="3">
        <f t="shared" si="269"/>
        <v>77.173913043478265</v>
      </c>
      <c r="F958">
        <v>2016</v>
      </c>
      <c r="G958">
        <f t="shared" si="256"/>
        <v>9</v>
      </c>
      <c r="H958">
        <f t="shared" si="270"/>
        <v>0.13737906249999995</v>
      </c>
      <c r="J958">
        <f t="shared" si="271"/>
        <v>100</v>
      </c>
      <c r="K958">
        <v>3</v>
      </c>
      <c r="L958">
        <v>3</v>
      </c>
      <c r="M958" s="12">
        <f t="shared" si="272"/>
        <v>0.18191058592099621</v>
      </c>
      <c r="N958">
        <f t="shared" si="268"/>
        <v>4.2650977236283368E-2</v>
      </c>
      <c r="O958">
        <f t="shared" si="273"/>
        <v>0.42650977236283366</v>
      </c>
      <c r="P958" t="s">
        <v>10</v>
      </c>
      <c r="Q958" t="s">
        <v>757</v>
      </c>
      <c r="R958">
        <v>2.5790000000000002</v>
      </c>
      <c r="S958">
        <f t="shared" si="274"/>
        <v>4.1156400000000124</v>
      </c>
      <c r="U958">
        <v>14</v>
      </c>
      <c r="V958" t="s">
        <v>138</v>
      </c>
      <c r="W958">
        <f t="shared" si="275"/>
        <v>84.72</v>
      </c>
      <c r="Y958">
        <v>2008</v>
      </c>
      <c r="Z958">
        <f>2025-AVERAGE($Y$951:$Y$1050)</f>
        <v>17</v>
      </c>
      <c r="AA958" t="s">
        <v>392</v>
      </c>
      <c r="AB958">
        <v>0.54</v>
      </c>
      <c r="AC958">
        <v>0.32</v>
      </c>
      <c r="AD958" s="3">
        <v>1.2E-2</v>
      </c>
      <c r="AE958">
        <v>1</v>
      </c>
      <c r="AF958" t="str">
        <f t="shared" si="276"/>
        <v>US</v>
      </c>
      <c r="AG958">
        <v>3</v>
      </c>
      <c r="AH958">
        <v>1</v>
      </c>
      <c r="AI958">
        <f t="shared" si="277"/>
        <v>2.84</v>
      </c>
      <c r="AJ958">
        <f t="shared" si="278"/>
        <v>2.17</v>
      </c>
      <c r="AK958" t="s">
        <v>112</v>
      </c>
      <c r="AL958">
        <v>25</v>
      </c>
      <c r="AN958" t="s">
        <v>527</v>
      </c>
      <c r="AO958">
        <v>4.4050000000000002</v>
      </c>
    </row>
    <row r="959" spans="1:41" ht="15.6">
      <c r="A959">
        <v>21</v>
      </c>
      <c r="B959" t="s">
        <v>1054</v>
      </c>
      <c r="C959" t="s">
        <v>564</v>
      </c>
      <c r="E959" s="3">
        <f t="shared" si="269"/>
        <v>77.173913043478265</v>
      </c>
      <c r="F959">
        <v>2016</v>
      </c>
      <c r="G959">
        <f t="shared" si="256"/>
        <v>9</v>
      </c>
      <c r="H959">
        <f t="shared" si="270"/>
        <v>0.13737906249999995</v>
      </c>
      <c r="J959">
        <f t="shared" si="271"/>
        <v>100</v>
      </c>
      <c r="K959">
        <v>3</v>
      </c>
      <c r="L959">
        <v>3</v>
      </c>
      <c r="M959" s="12">
        <f t="shared" si="272"/>
        <v>0.18191058592099621</v>
      </c>
      <c r="N959">
        <f t="shared" si="268"/>
        <v>4.2650977236283368E-2</v>
      </c>
      <c r="O959">
        <f t="shared" si="273"/>
        <v>0.42650977236283366</v>
      </c>
      <c r="P959" t="s">
        <v>97</v>
      </c>
      <c r="Q959" t="s">
        <v>757</v>
      </c>
      <c r="R959">
        <v>2.5790000000000002</v>
      </c>
      <c r="S959">
        <f t="shared" si="274"/>
        <v>4.1156400000000124</v>
      </c>
      <c r="U959">
        <v>51</v>
      </c>
      <c r="V959" t="s">
        <v>138</v>
      </c>
      <c r="W959">
        <f t="shared" si="275"/>
        <v>84.72</v>
      </c>
      <c r="Y959">
        <v>2008</v>
      </c>
      <c r="Z959">
        <f>2025-AVERAGE($Y$951:$Y$1050)</f>
        <v>17</v>
      </c>
      <c r="AA959" t="s">
        <v>392</v>
      </c>
      <c r="AB959">
        <v>1E-3</v>
      </c>
      <c r="AC959">
        <v>0.48799999999999999</v>
      </c>
      <c r="AD959" s="3" t="s">
        <v>261</v>
      </c>
      <c r="AE959">
        <v>1</v>
      </c>
      <c r="AF959" t="str">
        <f t="shared" si="276"/>
        <v>US</v>
      </c>
      <c r="AG959">
        <v>2</v>
      </c>
      <c r="AH959">
        <v>1</v>
      </c>
      <c r="AI959">
        <f t="shared" si="277"/>
        <v>2.84</v>
      </c>
      <c r="AJ959">
        <f t="shared" si="278"/>
        <v>2.17</v>
      </c>
      <c r="AK959" t="s">
        <v>112</v>
      </c>
      <c r="AL959">
        <v>25</v>
      </c>
      <c r="AN959" t="s">
        <v>527</v>
      </c>
      <c r="AO959">
        <v>4.4050000000000002</v>
      </c>
    </row>
    <row r="960" spans="1:41" ht="15.6">
      <c r="A960">
        <v>21</v>
      </c>
      <c r="B960" t="s">
        <v>1054</v>
      </c>
      <c r="C960" t="s">
        <v>564</v>
      </c>
      <c r="E960" s="3">
        <f t="shared" si="269"/>
        <v>77.173913043478265</v>
      </c>
      <c r="F960">
        <v>2016</v>
      </c>
      <c r="G960">
        <f t="shared" si="256"/>
        <v>9</v>
      </c>
      <c r="H960">
        <f t="shared" si="270"/>
        <v>0.13737906249999995</v>
      </c>
      <c r="J960">
        <f t="shared" si="271"/>
        <v>100</v>
      </c>
      <c r="K960">
        <v>3</v>
      </c>
      <c r="L960">
        <v>3</v>
      </c>
      <c r="M960" s="12">
        <f t="shared" si="272"/>
        <v>0.18191058592099621</v>
      </c>
      <c r="N960">
        <f t="shared" si="268"/>
        <v>4.2650977236283368E-2</v>
      </c>
      <c r="O960">
        <f t="shared" si="273"/>
        <v>0.42650977236283366</v>
      </c>
      <c r="P960" t="s">
        <v>83</v>
      </c>
      <c r="Q960" t="s">
        <v>757</v>
      </c>
      <c r="R960">
        <v>2.5790000000000002</v>
      </c>
      <c r="S960">
        <f t="shared" si="274"/>
        <v>4.1156400000000124</v>
      </c>
      <c r="U960">
        <v>56</v>
      </c>
      <c r="V960" t="s">
        <v>138</v>
      </c>
      <c r="W960">
        <f t="shared" si="275"/>
        <v>84.72</v>
      </c>
      <c r="Y960">
        <v>2008</v>
      </c>
      <c r="Z960">
        <f>2025-AVERAGE($Y$951:$Y$1050)</f>
        <v>17</v>
      </c>
      <c r="AA960" t="s">
        <v>392</v>
      </c>
      <c r="AB960">
        <v>8.0000000000000002E-3</v>
      </c>
      <c r="AC960">
        <v>0.45200000000000001</v>
      </c>
      <c r="AD960" s="3">
        <v>0.218</v>
      </c>
      <c r="AE960">
        <v>1</v>
      </c>
      <c r="AF960" t="str">
        <f t="shared" si="276"/>
        <v>US</v>
      </c>
      <c r="AG960">
        <v>2</v>
      </c>
      <c r="AH960">
        <v>2</v>
      </c>
      <c r="AI960">
        <f t="shared" si="277"/>
        <v>2.84</v>
      </c>
      <c r="AJ960">
        <f t="shared" si="278"/>
        <v>2.17</v>
      </c>
      <c r="AK960" t="s">
        <v>112</v>
      </c>
      <c r="AL960">
        <v>25</v>
      </c>
      <c r="AN960" t="s">
        <v>527</v>
      </c>
      <c r="AO960">
        <v>4.4050000000000002</v>
      </c>
    </row>
    <row r="961" spans="1:41" ht="15.6">
      <c r="A961">
        <v>21</v>
      </c>
      <c r="B961" t="s">
        <v>1054</v>
      </c>
      <c r="C961" t="s">
        <v>564</v>
      </c>
      <c r="E961" s="3">
        <f t="shared" si="269"/>
        <v>77.173913043478265</v>
      </c>
      <c r="F961">
        <v>2016</v>
      </c>
      <c r="G961">
        <f t="shared" si="256"/>
        <v>9</v>
      </c>
      <c r="H961">
        <f t="shared" si="270"/>
        <v>0.13737906249999995</v>
      </c>
      <c r="J961">
        <f t="shared" si="271"/>
        <v>100</v>
      </c>
      <c r="K961">
        <v>3</v>
      </c>
      <c r="L961">
        <v>3</v>
      </c>
      <c r="M961" s="12">
        <f t="shared" si="272"/>
        <v>0.18191058592099621</v>
      </c>
      <c r="N961">
        <f t="shared" si="268"/>
        <v>4.2650977236283368E-2</v>
      </c>
      <c r="O961">
        <f t="shared" si="273"/>
        <v>0.42650977236283366</v>
      </c>
      <c r="P961" t="s">
        <v>40</v>
      </c>
      <c r="Q961" t="s">
        <v>757</v>
      </c>
      <c r="R961">
        <v>2.5790000000000002</v>
      </c>
      <c r="S961">
        <f t="shared" si="274"/>
        <v>4.1156400000000124</v>
      </c>
      <c r="U961">
        <v>12</v>
      </c>
      <c r="V961" t="s">
        <v>138</v>
      </c>
      <c r="W961">
        <f t="shared" si="275"/>
        <v>84.72</v>
      </c>
      <c r="Y961">
        <v>2008</v>
      </c>
      <c r="Z961">
        <f>2025-AVERAGE($Y$951:$Y$1050)</f>
        <v>17</v>
      </c>
      <c r="AA961" t="s">
        <v>389</v>
      </c>
      <c r="AB961">
        <v>0.1986</v>
      </c>
      <c r="AC961" t="s">
        <v>973</v>
      </c>
      <c r="AD961" s="3">
        <v>1.4E-2</v>
      </c>
      <c r="AE961">
        <v>1</v>
      </c>
      <c r="AF961" t="str">
        <f t="shared" si="276"/>
        <v>US</v>
      </c>
      <c r="AG961">
        <v>3</v>
      </c>
      <c r="AH961">
        <v>1</v>
      </c>
      <c r="AI961">
        <f t="shared" si="277"/>
        <v>2.84</v>
      </c>
      <c r="AJ961">
        <f t="shared" si="278"/>
        <v>2.17</v>
      </c>
      <c r="AK961" t="s">
        <v>112</v>
      </c>
      <c r="AL961">
        <v>25</v>
      </c>
      <c r="AN961" t="s">
        <v>527</v>
      </c>
      <c r="AO961">
        <v>4.4050000000000002</v>
      </c>
    </row>
    <row r="962" spans="1:41" ht="15.6">
      <c r="A962">
        <v>21</v>
      </c>
      <c r="B962" t="s">
        <v>1054</v>
      </c>
      <c r="C962" t="s">
        <v>564</v>
      </c>
      <c r="E962" s="3">
        <f t="shared" si="269"/>
        <v>77.173913043478265</v>
      </c>
      <c r="F962">
        <v>2016</v>
      </c>
      <c r="G962">
        <f t="shared" si="256"/>
        <v>9</v>
      </c>
      <c r="H962">
        <f t="shared" si="270"/>
        <v>0.13737906249999995</v>
      </c>
      <c r="J962">
        <f t="shared" si="271"/>
        <v>100</v>
      </c>
      <c r="K962">
        <v>3</v>
      </c>
      <c r="L962">
        <v>3</v>
      </c>
      <c r="M962" s="12">
        <f t="shared" si="272"/>
        <v>0.18191058592099621</v>
      </c>
      <c r="N962">
        <f t="shared" si="268"/>
        <v>4.2650977236283368E-2</v>
      </c>
      <c r="O962">
        <f t="shared" si="273"/>
        <v>0.42650977236283366</v>
      </c>
      <c r="P962" t="s">
        <v>88</v>
      </c>
      <c r="Q962" t="s">
        <v>757</v>
      </c>
      <c r="R962">
        <v>2.5790000000000002</v>
      </c>
      <c r="S962">
        <f t="shared" si="274"/>
        <v>4.1156400000000124</v>
      </c>
      <c r="U962">
        <v>11</v>
      </c>
      <c r="V962" t="s">
        <v>138</v>
      </c>
      <c r="W962">
        <f t="shared" si="275"/>
        <v>84.72</v>
      </c>
      <c r="Y962">
        <v>2008</v>
      </c>
      <c r="Z962">
        <f>2025-AVERAGE($Y$951:$Y$1050)</f>
        <v>17</v>
      </c>
      <c r="AA962" t="s">
        <v>392</v>
      </c>
      <c r="AB962">
        <v>1E-4</v>
      </c>
      <c r="AC962" t="s">
        <v>974</v>
      </c>
      <c r="AD962" s="3">
        <v>0.55000000000000004</v>
      </c>
      <c r="AE962">
        <v>1</v>
      </c>
      <c r="AF962" t="str">
        <f t="shared" si="276"/>
        <v>US</v>
      </c>
      <c r="AG962">
        <v>2</v>
      </c>
      <c r="AH962">
        <v>1</v>
      </c>
      <c r="AI962">
        <f t="shared" si="277"/>
        <v>2.84</v>
      </c>
      <c r="AJ962">
        <f t="shared" si="278"/>
        <v>2.17</v>
      </c>
      <c r="AK962" t="s">
        <v>112</v>
      </c>
      <c r="AL962">
        <v>25</v>
      </c>
      <c r="AN962" t="s">
        <v>527</v>
      </c>
      <c r="AO962">
        <v>4.4050000000000002</v>
      </c>
    </row>
    <row r="963" spans="1:41" ht="15.6">
      <c r="A963">
        <v>21</v>
      </c>
      <c r="B963" t="s">
        <v>1054</v>
      </c>
      <c r="C963" t="s">
        <v>564</v>
      </c>
      <c r="E963" s="3">
        <f t="shared" si="269"/>
        <v>77.173913043478265</v>
      </c>
      <c r="F963">
        <v>2016</v>
      </c>
      <c r="G963">
        <f t="shared" si="256"/>
        <v>9</v>
      </c>
      <c r="H963">
        <f t="shared" si="270"/>
        <v>0.13737906249999995</v>
      </c>
      <c r="J963">
        <f t="shared" si="271"/>
        <v>100</v>
      </c>
      <c r="K963">
        <v>3</v>
      </c>
      <c r="L963">
        <v>3</v>
      </c>
      <c r="M963" s="12">
        <f t="shared" si="272"/>
        <v>0.18191058592099621</v>
      </c>
      <c r="N963">
        <f t="shared" si="268"/>
        <v>4.2650977236283368E-2</v>
      </c>
      <c r="O963">
        <f t="shared" si="273"/>
        <v>0.42650977236283366</v>
      </c>
      <c r="P963" t="s">
        <v>67</v>
      </c>
      <c r="Q963" t="s">
        <v>757</v>
      </c>
      <c r="R963">
        <v>2.5790000000000002</v>
      </c>
      <c r="S963">
        <f t="shared" si="274"/>
        <v>4.1156400000000124</v>
      </c>
      <c r="U963">
        <v>92</v>
      </c>
      <c r="V963" t="s">
        <v>138</v>
      </c>
      <c r="W963">
        <f t="shared" si="275"/>
        <v>84.72</v>
      </c>
      <c r="Y963">
        <v>2008</v>
      </c>
      <c r="Z963">
        <f>2025-AVERAGE($Y$951:$Y$1050)</f>
        <v>17</v>
      </c>
      <c r="AA963">
        <v>2.8000000000000001E-2</v>
      </c>
      <c r="AB963">
        <v>1E-4</v>
      </c>
      <c r="AC963" t="s">
        <v>975</v>
      </c>
      <c r="AD963" s="3">
        <v>0.255</v>
      </c>
      <c r="AE963">
        <v>1</v>
      </c>
      <c r="AF963" t="str">
        <f t="shared" si="276"/>
        <v>US</v>
      </c>
      <c r="AG963">
        <v>2</v>
      </c>
      <c r="AH963">
        <v>1</v>
      </c>
      <c r="AI963">
        <f t="shared" si="277"/>
        <v>2.84</v>
      </c>
      <c r="AJ963">
        <f t="shared" si="278"/>
        <v>2.17</v>
      </c>
      <c r="AK963" t="s">
        <v>112</v>
      </c>
      <c r="AL963">
        <v>25</v>
      </c>
      <c r="AN963" t="s">
        <v>527</v>
      </c>
      <c r="AO963">
        <v>4.4050000000000002</v>
      </c>
    </row>
    <row r="964" spans="1:41" ht="15.6">
      <c r="A964">
        <v>21</v>
      </c>
      <c r="B964" t="s">
        <v>1054</v>
      </c>
      <c r="C964" t="s">
        <v>564</v>
      </c>
      <c r="E964" s="3">
        <f t="shared" si="269"/>
        <v>77.173913043478265</v>
      </c>
      <c r="F964">
        <v>2016</v>
      </c>
      <c r="G964">
        <f t="shared" si="256"/>
        <v>9</v>
      </c>
      <c r="H964">
        <f t="shared" si="270"/>
        <v>0.13737906249999995</v>
      </c>
      <c r="J964">
        <f t="shared" si="271"/>
        <v>100</v>
      </c>
      <c r="K964">
        <v>3</v>
      </c>
      <c r="L964">
        <v>3</v>
      </c>
      <c r="M964" s="12">
        <f t="shared" si="272"/>
        <v>0.18191058592099621</v>
      </c>
      <c r="N964">
        <f t="shared" si="268"/>
        <v>4.2650977236283368E-2</v>
      </c>
      <c r="O964">
        <f t="shared" si="273"/>
        <v>0.42650977236283366</v>
      </c>
      <c r="P964" t="s">
        <v>82</v>
      </c>
      <c r="Q964" t="s">
        <v>757</v>
      </c>
      <c r="R964">
        <v>2.5790000000000002</v>
      </c>
      <c r="S964">
        <f t="shared" si="274"/>
        <v>4.1156400000000124</v>
      </c>
      <c r="U964">
        <v>28</v>
      </c>
      <c r="V964" t="s">
        <v>138</v>
      </c>
      <c r="W964">
        <f t="shared" si="275"/>
        <v>84.72</v>
      </c>
      <c r="Y964">
        <v>2008</v>
      </c>
      <c r="Z964">
        <f>2025-AVERAGE($Y$951:$Y$1050)</f>
        <v>17</v>
      </c>
      <c r="AA964" t="s">
        <v>392</v>
      </c>
      <c r="AB964">
        <v>3.0000000000000001E-5</v>
      </c>
      <c r="AC964" t="s">
        <v>976</v>
      </c>
      <c r="AD964" s="3">
        <v>0.28000000000000003</v>
      </c>
      <c r="AE964">
        <v>1</v>
      </c>
      <c r="AF964" t="str">
        <f t="shared" si="276"/>
        <v>US</v>
      </c>
      <c r="AG964">
        <v>1</v>
      </c>
      <c r="AH964">
        <v>2</v>
      </c>
      <c r="AI964">
        <f t="shared" si="277"/>
        <v>2.84</v>
      </c>
      <c r="AJ964">
        <f t="shared" si="278"/>
        <v>2.17</v>
      </c>
      <c r="AK964" t="s">
        <v>112</v>
      </c>
      <c r="AL964">
        <v>25</v>
      </c>
      <c r="AN964" t="s">
        <v>527</v>
      </c>
      <c r="AO964">
        <v>4.4050000000000002</v>
      </c>
    </row>
    <row r="965" spans="1:41" ht="15.6">
      <c r="A965">
        <v>21</v>
      </c>
      <c r="B965" t="s">
        <v>1054</v>
      </c>
      <c r="C965" t="s">
        <v>564</v>
      </c>
      <c r="E965" s="3">
        <f t="shared" si="269"/>
        <v>77.173913043478265</v>
      </c>
      <c r="F965">
        <v>2016</v>
      </c>
      <c r="G965">
        <f t="shared" si="256"/>
        <v>9</v>
      </c>
      <c r="H965">
        <f t="shared" si="270"/>
        <v>0.13737906249999995</v>
      </c>
      <c r="J965">
        <f t="shared" si="271"/>
        <v>100</v>
      </c>
      <c r="K965">
        <v>3</v>
      </c>
      <c r="L965">
        <v>3</v>
      </c>
      <c r="M965" s="12">
        <f t="shared" si="272"/>
        <v>0.18191058592099621</v>
      </c>
      <c r="N965">
        <f t="shared" si="268"/>
        <v>4.2650977236283368E-2</v>
      </c>
      <c r="O965">
        <f t="shared" si="273"/>
        <v>0.42650977236283366</v>
      </c>
      <c r="P965" t="s">
        <v>79</v>
      </c>
      <c r="Q965" t="s">
        <v>757</v>
      </c>
      <c r="R965">
        <v>2.5790000000000002</v>
      </c>
      <c r="S965">
        <f t="shared" si="274"/>
        <v>4.1156400000000124</v>
      </c>
      <c r="U965">
        <v>11</v>
      </c>
      <c r="V965" t="s">
        <v>138</v>
      </c>
      <c r="W965">
        <f t="shared" si="275"/>
        <v>84.72</v>
      </c>
      <c r="Y965">
        <v>2008</v>
      </c>
      <c r="Z965">
        <f>2025-AVERAGE($Y$951:$Y$1050)</f>
        <v>17</v>
      </c>
      <c r="AA965" t="s">
        <v>392</v>
      </c>
      <c r="AB965">
        <v>7.0999999999999994E-2</v>
      </c>
      <c r="AC965" t="s">
        <v>977</v>
      </c>
      <c r="AD965" s="3">
        <v>0.16200000000000001</v>
      </c>
      <c r="AE965">
        <v>1</v>
      </c>
      <c r="AF965" t="str">
        <f t="shared" si="276"/>
        <v>US</v>
      </c>
      <c r="AG965">
        <v>1</v>
      </c>
      <c r="AH965">
        <v>7</v>
      </c>
      <c r="AI965">
        <f t="shared" si="277"/>
        <v>2.84</v>
      </c>
      <c r="AJ965">
        <f t="shared" si="278"/>
        <v>2.17</v>
      </c>
      <c r="AK965" t="s">
        <v>112</v>
      </c>
      <c r="AL965">
        <v>25</v>
      </c>
      <c r="AN965" t="s">
        <v>527</v>
      </c>
      <c r="AO965">
        <v>4.4050000000000002</v>
      </c>
    </row>
    <row r="966" spans="1:41" ht="15.6">
      <c r="A966">
        <v>21</v>
      </c>
      <c r="B966" t="s">
        <v>1054</v>
      </c>
      <c r="C966" t="s">
        <v>564</v>
      </c>
      <c r="E966" s="3">
        <f t="shared" si="269"/>
        <v>77.173913043478265</v>
      </c>
      <c r="F966">
        <v>2016</v>
      </c>
      <c r="G966">
        <f t="shared" si="256"/>
        <v>9</v>
      </c>
      <c r="H966">
        <f t="shared" si="270"/>
        <v>0.13737906249999995</v>
      </c>
      <c r="J966">
        <f t="shared" si="271"/>
        <v>100</v>
      </c>
      <c r="K966">
        <v>3</v>
      </c>
      <c r="L966">
        <v>3</v>
      </c>
      <c r="M966" s="12">
        <f t="shared" si="272"/>
        <v>0.18191058592099621</v>
      </c>
      <c r="N966">
        <f t="shared" si="268"/>
        <v>4.2650977236283368E-2</v>
      </c>
      <c r="O966">
        <f t="shared" si="273"/>
        <v>0.42650977236283366</v>
      </c>
      <c r="P966" t="s">
        <v>28</v>
      </c>
      <c r="Q966" t="s">
        <v>757</v>
      </c>
      <c r="R966">
        <v>2.5790000000000002</v>
      </c>
      <c r="S966">
        <f t="shared" si="274"/>
        <v>4.1156400000000124</v>
      </c>
      <c r="U966">
        <v>21</v>
      </c>
      <c r="V966" t="s">
        <v>138</v>
      </c>
      <c r="W966">
        <f t="shared" si="275"/>
        <v>84.72</v>
      </c>
      <c r="Y966">
        <v>2008</v>
      </c>
      <c r="Z966">
        <f>2025-AVERAGE($Y$951:$Y$1050)</f>
        <v>17</v>
      </c>
      <c r="AA966" t="s">
        <v>389</v>
      </c>
      <c r="AB966">
        <v>0.84</v>
      </c>
      <c r="AC966" t="s">
        <v>978</v>
      </c>
      <c r="AD966" s="3">
        <v>4.0000000000000002E-4</v>
      </c>
      <c r="AE966">
        <v>1</v>
      </c>
      <c r="AF966" t="str">
        <f t="shared" si="276"/>
        <v>US</v>
      </c>
      <c r="AG966">
        <v>3</v>
      </c>
      <c r="AH966">
        <v>2</v>
      </c>
      <c r="AI966">
        <f t="shared" si="277"/>
        <v>2.84</v>
      </c>
      <c r="AJ966">
        <f t="shared" si="278"/>
        <v>2.17</v>
      </c>
      <c r="AK966" t="s">
        <v>112</v>
      </c>
      <c r="AL966">
        <v>25</v>
      </c>
      <c r="AN966" t="s">
        <v>527</v>
      </c>
      <c r="AO966">
        <v>4.4050000000000002</v>
      </c>
    </row>
    <row r="967" spans="1:41" ht="15.6">
      <c r="A967">
        <v>21</v>
      </c>
      <c r="B967" t="s">
        <v>1054</v>
      </c>
      <c r="C967" t="s">
        <v>564</v>
      </c>
      <c r="E967" s="3">
        <f t="shared" si="269"/>
        <v>77.173913043478265</v>
      </c>
      <c r="F967">
        <v>2016</v>
      </c>
      <c r="G967">
        <f t="shared" si="256"/>
        <v>9</v>
      </c>
      <c r="H967">
        <f t="shared" si="270"/>
        <v>0.13737906249999995</v>
      </c>
      <c r="J967">
        <f t="shared" si="271"/>
        <v>100</v>
      </c>
      <c r="K967">
        <v>3</v>
      </c>
      <c r="L967">
        <v>3</v>
      </c>
      <c r="M967" s="12">
        <f t="shared" si="272"/>
        <v>0.18191058592099621</v>
      </c>
      <c r="N967">
        <f t="shared" si="268"/>
        <v>4.2650977236283368E-2</v>
      </c>
      <c r="O967">
        <f t="shared" si="273"/>
        <v>0.42650977236283366</v>
      </c>
      <c r="P967" t="s">
        <v>35</v>
      </c>
      <c r="Q967" t="s">
        <v>757</v>
      </c>
      <c r="R967">
        <v>2.5790000000000002</v>
      </c>
      <c r="S967">
        <f t="shared" si="274"/>
        <v>4.1156400000000124</v>
      </c>
      <c r="U967">
        <v>176</v>
      </c>
      <c r="V967" t="s">
        <v>138</v>
      </c>
      <c r="W967">
        <f t="shared" si="275"/>
        <v>84.72</v>
      </c>
      <c r="Y967">
        <v>2008</v>
      </c>
      <c r="Z967">
        <f>2025-AVERAGE($Y$951:$Y$1050)</f>
        <v>17</v>
      </c>
      <c r="AA967">
        <v>2E-3</v>
      </c>
      <c r="AB967">
        <v>0.72</v>
      </c>
      <c r="AC967" t="s">
        <v>979</v>
      </c>
      <c r="AD967" s="3">
        <v>0.01</v>
      </c>
      <c r="AE967">
        <v>1</v>
      </c>
      <c r="AF967" t="str">
        <f t="shared" si="276"/>
        <v>US</v>
      </c>
      <c r="AG967">
        <v>7</v>
      </c>
      <c r="AH967">
        <v>1</v>
      </c>
      <c r="AI967">
        <f t="shared" si="277"/>
        <v>2.84</v>
      </c>
      <c r="AJ967">
        <f t="shared" si="278"/>
        <v>2.17</v>
      </c>
      <c r="AK967" t="s">
        <v>112</v>
      </c>
      <c r="AL967">
        <v>25</v>
      </c>
      <c r="AN967" t="s">
        <v>527</v>
      </c>
      <c r="AO967">
        <v>4.4050000000000002</v>
      </c>
    </row>
    <row r="968" spans="1:41" ht="15.6">
      <c r="A968">
        <v>21</v>
      </c>
      <c r="B968" t="s">
        <v>1054</v>
      </c>
      <c r="C968" t="s">
        <v>564</v>
      </c>
      <c r="E968" s="3">
        <f t="shared" si="269"/>
        <v>77.173913043478265</v>
      </c>
      <c r="F968">
        <v>2016</v>
      </c>
      <c r="G968">
        <f t="shared" si="256"/>
        <v>9</v>
      </c>
      <c r="H968">
        <f t="shared" si="270"/>
        <v>0.13737906249999995</v>
      </c>
      <c r="J968">
        <f t="shared" si="271"/>
        <v>100</v>
      </c>
      <c r="K968">
        <v>3</v>
      </c>
      <c r="L968">
        <v>3</v>
      </c>
      <c r="M968" s="12">
        <f t="shared" si="272"/>
        <v>0.18191058592099621</v>
      </c>
      <c r="N968">
        <f t="shared" si="268"/>
        <v>4.2650977236283368E-2</v>
      </c>
      <c r="O968">
        <f t="shared" si="273"/>
        <v>0.42650977236283366</v>
      </c>
      <c r="P968" t="s">
        <v>72</v>
      </c>
      <c r="Q968" t="s">
        <v>757</v>
      </c>
      <c r="R968">
        <v>2.5790000000000002</v>
      </c>
      <c r="S968">
        <f t="shared" si="274"/>
        <v>4.1156400000000124</v>
      </c>
      <c r="U968">
        <v>50</v>
      </c>
      <c r="V968" t="s">
        <v>138</v>
      </c>
      <c r="W968">
        <f t="shared" si="275"/>
        <v>84.72</v>
      </c>
      <c r="Y968">
        <v>2008</v>
      </c>
      <c r="Z968">
        <f>2025-AVERAGE($Y$951:$Y$1050)</f>
        <v>17</v>
      </c>
      <c r="AA968" t="s">
        <v>392</v>
      </c>
      <c r="AB968">
        <v>4.4999999999999998E-2</v>
      </c>
      <c r="AC968" t="s">
        <v>384</v>
      </c>
      <c r="AD968" s="3" t="s">
        <v>261</v>
      </c>
      <c r="AE968">
        <v>1</v>
      </c>
      <c r="AF968" t="str">
        <f t="shared" si="276"/>
        <v>US</v>
      </c>
      <c r="AG968">
        <v>3</v>
      </c>
      <c r="AH968">
        <v>3</v>
      </c>
      <c r="AI968">
        <f t="shared" si="277"/>
        <v>2.84</v>
      </c>
      <c r="AJ968">
        <f t="shared" si="278"/>
        <v>2.17</v>
      </c>
      <c r="AK968" t="s">
        <v>112</v>
      </c>
      <c r="AL968">
        <v>25</v>
      </c>
      <c r="AN968" t="s">
        <v>527</v>
      </c>
      <c r="AO968">
        <v>4.4050000000000002</v>
      </c>
    </row>
    <row r="969" spans="1:41" ht="15.6">
      <c r="A969">
        <v>21</v>
      </c>
      <c r="B969" t="s">
        <v>1054</v>
      </c>
      <c r="C969" t="s">
        <v>564</v>
      </c>
      <c r="E969" s="3">
        <f t="shared" si="269"/>
        <v>77.173913043478265</v>
      </c>
      <c r="F969">
        <v>2016</v>
      </c>
      <c r="G969">
        <f t="shared" si="256"/>
        <v>9</v>
      </c>
      <c r="H969">
        <f t="shared" si="270"/>
        <v>0.13737906249999995</v>
      </c>
      <c r="J969">
        <f t="shared" si="271"/>
        <v>100</v>
      </c>
      <c r="K969">
        <v>3</v>
      </c>
      <c r="L969">
        <v>3</v>
      </c>
      <c r="M969" s="12">
        <f t="shared" si="272"/>
        <v>0.18191058592099621</v>
      </c>
      <c r="N969">
        <f t="shared" si="268"/>
        <v>4.2650977236283368E-2</v>
      </c>
      <c r="O969">
        <f t="shared" si="273"/>
        <v>0.42650977236283366</v>
      </c>
      <c r="P969" t="s">
        <v>71</v>
      </c>
      <c r="Q969" t="s">
        <v>757</v>
      </c>
      <c r="R969">
        <v>2.5790000000000002</v>
      </c>
      <c r="S969">
        <f t="shared" si="274"/>
        <v>4.1156400000000124</v>
      </c>
      <c r="U969">
        <v>15</v>
      </c>
      <c r="V969" t="s">
        <v>138</v>
      </c>
      <c r="W969">
        <f t="shared" si="275"/>
        <v>84.72</v>
      </c>
      <c r="Y969">
        <v>2008</v>
      </c>
      <c r="Z969">
        <f>2025-AVERAGE($Y$951:$Y$1050)</f>
        <v>17</v>
      </c>
      <c r="AA969" t="s">
        <v>392</v>
      </c>
      <c r="AB969">
        <v>2E-3</v>
      </c>
      <c r="AC969" t="s">
        <v>980</v>
      </c>
      <c r="AD969" s="3">
        <v>0.224</v>
      </c>
      <c r="AE969">
        <v>1</v>
      </c>
      <c r="AF969" t="str">
        <f t="shared" si="276"/>
        <v>US</v>
      </c>
      <c r="AG969">
        <v>3</v>
      </c>
      <c r="AH969">
        <v>3</v>
      </c>
      <c r="AI969">
        <f t="shared" si="277"/>
        <v>2.84</v>
      </c>
      <c r="AJ969">
        <f t="shared" si="278"/>
        <v>2.17</v>
      </c>
      <c r="AK969" t="s">
        <v>112</v>
      </c>
      <c r="AL969">
        <v>25</v>
      </c>
      <c r="AN969" t="s">
        <v>527</v>
      </c>
      <c r="AO969">
        <v>4.4050000000000002</v>
      </c>
    </row>
    <row r="970" spans="1:41" ht="15.6">
      <c r="A970">
        <v>21</v>
      </c>
      <c r="B970" t="s">
        <v>1054</v>
      </c>
      <c r="C970" t="s">
        <v>564</v>
      </c>
      <c r="E970" s="3">
        <f t="shared" si="269"/>
        <v>77.173913043478265</v>
      </c>
      <c r="F970">
        <v>2016</v>
      </c>
      <c r="G970">
        <f t="shared" si="256"/>
        <v>9</v>
      </c>
      <c r="H970">
        <f t="shared" si="270"/>
        <v>0.13737906249999995</v>
      </c>
      <c r="J970">
        <f t="shared" si="271"/>
        <v>100</v>
      </c>
      <c r="K970">
        <v>3</v>
      </c>
      <c r="L970">
        <v>3</v>
      </c>
      <c r="M970" s="12">
        <f t="shared" si="272"/>
        <v>0.18191058592099621</v>
      </c>
      <c r="N970">
        <f t="shared" si="268"/>
        <v>4.2650977236283368E-2</v>
      </c>
      <c r="O970">
        <f t="shared" si="273"/>
        <v>0.42650977236283366</v>
      </c>
      <c r="P970" t="s">
        <v>55</v>
      </c>
      <c r="Q970" t="s">
        <v>757</v>
      </c>
      <c r="R970">
        <v>2.5790000000000002</v>
      </c>
      <c r="S970">
        <f t="shared" si="274"/>
        <v>4.1156400000000124</v>
      </c>
      <c r="U970">
        <v>16</v>
      </c>
      <c r="V970" t="s">
        <v>138</v>
      </c>
      <c r="W970">
        <f t="shared" si="275"/>
        <v>84.72</v>
      </c>
      <c r="Y970">
        <v>2008</v>
      </c>
      <c r="Z970">
        <f>2025-AVERAGE($Y$951:$Y$1050)</f>
        <v>17</v>
      </c>
      <c r="AA970" t="s">
        <v>402</v>
      </c>
      <c r="AB970">
        <v>0.17</v>
      </c>
      <c r="AC970" t="s">
        <v>981</v>
      </c>
      <c r="AD970" s="3">
        <v>2.1000000000000001E-2</v>
      </c>
      <c r="AE970">
        <v>1</v>
      </c>
      <c r="AF970" t="str">
        <f t="shared" si="276"/>
        <v>US</v>
      </c>
      <c r="AG970">
        <v>2</v>
      </c>
      <c r="AH970">
        <v>2</v>
      </c>
      <c r="AI970">
        <f t="shared" si="277"/>
        <v>2.84</v>
      </c>
      <c r="AJ970">
        <f t="shared" si="278"/>
        <v>2.17</v>
      </c>
      <c r="AK970" t="s">
        <v>112</v>
      </c>
      <c r="AL970">
        <v>25</v>
      </c>
      <c r="AN970" t="s">
        <v>527</v>
      </c>
      <c r="AO970">
        <v>4.4050000000000002</v>
      </c>
    </row>
    <row r="971" spans="1:41" ht="15.6">
      <c r="A971">
        <v>21</v>
      </c>
      <c r="B971" t="s">
        <v>1054</v>
      </c>
      <c r="C971" t="s">
        <v>564</v>
      </c>
      <c r="E971" s="3">
        <f t="shared" si="269"/>
        <v>77.173913043478265</v>
      </c>
      <c r="F971">
        <v>2016</v>
      </c>
      <c r="G971">
        <f t="shared" si="256"/>
        <v>9</v>
      </c>
      <c r="H971">
        <f t="shared" si="270"/>
        <v>0.13737906249999995</v>
      </c>
      <c r="J971">
        <f t="shared" si="271"/>
        <v>100</v>
      </c>
      <c r="K971">
        <v>3</v>
      </c>
      <c r="L971">
        <v>3</v>
      </c>
      <c r="M971" s="12">
        <f t="shared" si="272"/>
        <v>0.18191058592099621</v>
      </c>
      <c r="N971">
        <f t="shared" si="268"/>
        <v>4.2650977236283368E-2</v>
      </c>
      <c r="O971">
        <f t="shared" si="273"/>
        <v>0.42650977236283366</v>
      </c>
      <c r="P971" t="s">
        <v>77</v>
      </c>
      <c r="Q971" t="s">
        <v>757</v>
      </c>
      <c r="R971">
        <v>2.5790000000000002</v>
      </c>
      <c r="S971">
        <f t="shared" si="274"/>
        <v>4.1156400000000124</v>
      </c>
      <c r="U971">
        <v>50</v>
      </c>
      <c r="V971" t="s">
        <v>138</v>
      </c>
      <c r="W971">
        <f t="shared" si="275"/>
        <v>84.72</v>
      </c>
      <c r="Y971">
        <v>2008</v>
      </c>
      <c r="Z971">
        <f>2025-AVERAGE($Y$951:$Y$1050)</f>
        <v>17</v>
      </c>
      <c r="AA971">
        <v>0.03</v>
      </c>
      <c r="AB971">
        <v>1E-3</v>
      </c>
      <c r="AC971" t="s">
        <v>982</v>
      </c>
      <c r="AD971" s="3">
        <v>0.14399999999999999</v>
      </c>
      <c r="AE971">
        <v>1</v>
      </c>
      <c r="AF971" t="str">
        <f t="shared" si="276"/>
        <v>US</v>
      </c>
      <c r="AG971">
        <v>4</v>
      </c>
      <c r="AH971">
        <v>1</v>
      </c>
      <c r="AI971">
        <f t="shared" si="277"/>
        <v>2.84</v>
      </c>
      <c r="AJ971">
        <f t="shared" si="278"/>
        <v>2.17</v>
      </c>
      <c r="AK971" t="s">
        <v>112</v>
      </c>
      <c r="AL971">
        <v>25</v>
      </c>
      <c r="AN971" t="s">
        <v>527</v>
      </c>
      <c r="AO971">
        <v>4.4050000000000002</v>
      </c>
    </row>
    <row r="972" spans="1:41" ht="15.6">
      <c r="A972">
        <v>21</v>
      </c>
      <c r="B972" t="s">
        <v>1054</v>
      </c>
      <c r="C972" t="s">
        <v>564</v>
      </c>
      <c r="E972" s="3">
        <f t="shared" si="269"/>
        <v>77.173913043478265</v>
      </c>
      <c r="F972">
        <v>2016</v>
      </c>
      <c r="G972">
        <f t="shared" si="256"/>
        <v>9</v>
      </c>
      <c r="H972">
        <f t="shared" si="270"/>
        <v>0.13737906249999995</v>
      </c>
      <c r="J972">
        <f t="shared" si="271"/>
        <v>100</v>
      </c>
      <c r="K972">
        <v>3</v>
      </c>
      <c r="L972">
        <v>3</v>
      </c>
      <c r="M972" s="12">
        <f t="shared" si="272"/>
        <v>0.18191058592099621</v>
      </c>
      <c r="N972">
        <f t="shared" si="268"/>
        <v>4.2650977236283368E-2</v>
      </c>
      <c r="O972">
        <f t="shared" si="273"/>
        <v>0.42650977236283366</v>
      </c>
      <c r="P972" t="s">
        <v>45</v>
      </c>
      <c r="Q972" t="s">
        <v>757</v>
      </c>
      <c r="R972">
        <v>2.5790000000000002</v>
      </c>
      <c r="S972">
        <f t="shared" si="274"/>
        <v>4.1156400000000124</v>
      </c>
      <c r="U972">
        <v>72</v>
      </c>
      <c r="V972" t="s">
        <v>138</v>
      </c>
      <c r="W972">
        <f t="shared" si="275"/>
        <v>84.72</v>
      </c>
      <c r="Y972">
        <v>2008</v>
      </c>
      <c r="Z972">
        <f>2025-AVERAGE($Y$951:$Y$1050)</f>
        <v>17</v>
      </c>
      <c r="AA972" t="s">
        <v>399</v>
      </c>
      <c r="AB972">
        <v>0.33</v>
      </c>
      <c r="AC972" t="s">
        <v>983</v>
      </c>
      <c r="AD972" s="3">
        <v>1.0999999999999999E-2</v>
      </c>
      <c r="AE972">
        <v>1</v>
      </c>
      <c r="AF972" t="str">
        <f t="shared" si="276"/>
        <v>US</v>
      </c>
      <c r="AG972">
        <v>4</v>
      </c>
      <c r="AH972">
        <v>2</v>
      </c>
      <c r="AI972">
        <f t="shared" si="277"/>
        <v>2.84</v>
      </c>
      <c r="AJ972">
        <f t="shared" si="278"/>
        <v>2.17</v>
      </c>
      <c r="AK972" t="s">
        <v>112</v>
      </c>
      <c r="AL972">
        <v>25</v>
      </c>
      <c r="AN972" t="s">
        <v>527</v>
      </c>
      <c r="AO972">
        <v>4.4050000000000002</v>
      </c>
    </row>
    <row r="973" spans="1:41" ht="15.6">
      <c r="A973">
        <v>21</v>
      </c>
      <c r="B973" t="s">
        <v>1054</v>
      </c>
      <c r="C973" t="s">
        <v>564</v>
      </c>
      <c r="E973" s="3">
        <f t="shared" si="269"/>
        <v>77.173913043478265</v>
      </c>
      <c r="F973">
        <v>2016</v>
      </c>
      <c r="G973">
        <f t="shared" si="256"/>
        <v>9</v>
      </c>
      <c r="H973">
        <f t="shared" si="270"/>
        <v>0.13737906249999995</v>
      </c>
      <c r="J973">
        <f t="shared" si="271"/>
        <v>100</v>
      </c>
      <c r="K973">
        <v>3</v>
      </c>
      <c r="L973">
        <v>3</v>
      </c>
      <c r="M973" s="12">
        <f t="shared" si="272"/>
        <v>0.18191058592099621</v>
      </c>
      <c r="N973">
        <f t="shared" si="268"/>
        <v>4.2650977236283368E-2</v>
      </c>
      <c r="O973">
        <f t="shared" si="273"/>
        <v>0.42650977236283366</v>
      </c>
      <c r="P973" t="s">
        <v>94</v>
      </c>
      <c r="Q973" t="s">
        <v>757</v>
      </c>
      <c r="R973">
        <v>2.5790000000000002</v>
      </c>
      <c r="S973">
        <f t="shared" si="274"/>
        <v>4.1156400000000124</v>
      </c>
      <c r="U973">
        <v>61</v>
      </c>
      <c r="V973" t="s">
        <v>138</v>
      </c>
      <c r="W973">
        <f t="shared" si="275"/>
        <v>84.72</v>
      </c>
      <c r="Y973">
        <v>2008</v>
      </c>
      <c r="Z973">
        <f>2025-AVERAGE($Y$951:$Y$1050)</f>
        <v>17</v>
      </c>
      <c r="AA973">
        <v>2.3E-2</v>
      </c>
      <c r="AB973">
        <v>2E-3</v>
      </c>
      <c r="AC973" t="s">
        <v>984</v>
      </c>
      <c r="AD973" s="3">
        <v>0.95699999999999996</v>
      </c>
      <c r="AE973">
        <v>1</v>
      </c>
      <c r="AF973" t="str">
        <f t="shared" si="276"/>
        <v>US</v>
      </c>
      <c r="AG973">
        <v>4</v>
      </c>
      <c r="AH973">
        <v>2</v>
      </c>
      <c r="AI973">
        <f t="shared" si="277"/>
        <v>2.84</v>
      </c>
      <c r="AJ973">
        <f t="shared" si="278"/>
        <v>2.17</v>
      </c>
      <c r="AK973" t="s">
        <v>112</v>
      </c>
      <c r="AL973">
        <v>25</v>
      </c>
      <c r="AN973" t="s">
        <v>527</v>
      </c>
      <c r="AO973">
        <v>4.4050000000000002</v>
      </c>
    </row>
    <row r="974" spans="1:41" ht="15.6">
      <c r="A974">
        <v>21</v>
      </c>
      <c r="B974" t="s">
        <v>1054</v>
      </c>
      <c r="C974" t="s">
        <v>564</v>
      </c>
      <c r="E974" s="3">
        <f t="shared" si="269"/>
        <v>77.173913043478265</v>
      </c>
      <c r="F974">
        <v>2016</v>
      </c>
      <c r="G974">
        <f t="shared" si="256"/>
        <v>9</v>
      </c>
      <c r="H974">
        <f t="shared" si="270"/>
        <v>0.13737906249999995</v>
      </c>
      <c r="J974">
        <f t="shared" si="271"/>
        <v>100</v>
      </c>
      <c r="K974">
        <v>3</v>
      </c>
      <c r="L974">
        <v>3</v>
      </c>
      <c r="M974" s="12">
        <f t="shared" si="272"/>
        <v>0.18191058592099621</v>
      </c>
      <c r="N974">
        <f t="shared" si="268"/>
        <v>4.2650977236283368E-2</v>
      </c>
      <c r="O974">
        <f t="shared" si="273"/>
        <v>0.42650977236283366</v>
      </c>
      <c r="P974" t="s">
        <v>84</v>
      </c>
      <c r="Q974" t="s">
        <v>757</v>
      </c>
      <c r="R974">
        <v>2.5790000000000002</v>
      </c>
      <c r="S974">
        <f t="shared" si="274"/>
        <v>4.1156400000000124</v>
      </c>
      <c r="U974">
        <v>11</v>
      </c>
      <c r="V974" t="s">
        <v>138</v>
      </c>
      <c r="W974">
        <f t="shared" si="275"/>
        <v>84.72</v>
      </c>
      <c r="Y974">
        <v>2008</v>
      </c>
      <c r="Z974">
        <f>2025-AVERAGE($Y$951:$Y$1050)</f>
        <v>17</v>
      </c>
      <c r="AA974" t="s">
        <v>392</v>
      </c>
      <c r="AB974">
        <v>2E-3</v>
      </c>
      <c r="AC974" t="s">
        <v>985</v>
      </c>
      <c r="AD974" s="3">
        <v>0.15</v>
      </c>
      <c r="AE974">
        <v>1</v>
      </c>
      <c r="AF974" t="str">
        <f t="shared" si="276"/>
        <v>US</v>
      </c>
      <c r="AG974">
        <v>1</v>
      </c>
      <c r="AH974">
        <v>2</v>
      </c>
      <c r="AI974">
        <f t="shared" si="277"/>
        <v>2.84</v>
      </c>
      <c r="AJ974">
        <f t="shared" si="278"/>
        <v>2.17</v>
      </c>
      <c r="AK974" t="s">
        <v>112</v>
      </c>
      <c r="AL974">
        <v>25</v>
      </c>
      <c r="AN974" t="s">
        <v>527</v>
      </c>
      <c r="AO974">
        <v>4.4050000000000002</v>
      </c>
    </row>
    <row r="975" spans="1:41" ht="15.6">
      <c r="A975">
        <v>21</v>
      </c>
      <c r="B975" t="s">
        <v>1054</v>
      </c>
      <c r="C975" t="s">
        <v>564</v>
      </c>
      <c r="E975" s="3">
        <f t="shared" si="269"/>
        <v>77.173913043478265</v>
      </c>
      <c r="F975">
        <v>2016</v>
      </c>
      <c r="G975">
        <f t="shared" si="256"/>
        <v>9</v>
      </c>
      <c r="H975">
        <f t="shared" si="270"/>
        <v>0.13737906249999995</v>
      </c>
      <c r="J975">
        <f t="shared" si="271"/>
        <v>100</v>
      </c>
      <c r="K975">
        <v>3</v>
      </c>
      <c r="L975">
        <v>3</v>
      </c>
      <c r="M975" s="12">
        <f t="shared" si="272"/>
        <v>0.18191058592099621</v>
      </c>
      <c r="N975">
        <f t="shared" si="268"/>
        <v>4.2650977236283368E-2</v>
      </c>
      <c r="O975">
        <f t="shared" si="273"/>
        <v>0.42650977236283366</v>
      </c>
      <c r="P975" t="s">
        <v>74</v>
      </c>
      <c r="Q975" t="s">
        <v>757</v>
      </c>
      <c r="R975">
        <v>2.5790000000000002</v>
      </c>
      <c r="S975">
        <f t="shared" si="274"/>
        <v>4.1156400000000124</v>
      </c>
      <c r="U975">
        <v>27</v>
      </c>
      <c r="V975" t="s">
        <v>138</v>
      </c>
      <c r="W975">
        <f t="shared" si="275"/>
        <v>84.72</v>
      </c>
      <c r="Y975">
        <v>2008</v>
      </c>
      <c r="Z975">
        <f>2025-AVERAGE($Y$951:$Y$1050)</f>
        <v>17</v>
      </c>
      <c r="AA975">
        <v>1E-3</v>
      </c>
      <c r="AB975">
        <v>4.3999999999999997E-2</v>
      </c>
      <c r="AC975" t="s">
        <v>986</v>
      </c>
      <c r="AD975" s="3">
        <v>0.37</v>
      </c>
      <c r="AE975">
        <v>1</v>
      </c>
      <c r="AF975" t="str">
        <f t="shared" si="276"/>
        <v>US</v>
      </c>
      <c r="AG975">
        <v>1</v>
      </c>
      <c r="AH975">
        <v>2</v>
      </c>
      <c r="AI975">
        <f t="shared" si="277"/>
        <v>2.84</v>
      </c>
      <c r="AJ975">
        <f t="shared" si="278"/>
        <v>2.17</v>
      </c>
      <c r="AK975" t="s">
        <v>112</v>
      </c>
      <c r="AL975">
        <v>25</v>
      </c>
      <c r="AN975" t="s">
        <v>527</v>
      </c>
      <c r="AO975">
        <v>4.4050000000000002</v>
      </c>
    </row>
    <row r="976" spans="1:41" ht="15.6">
      <c r="A976">
        <v>21</v>
      </c>
      <c r="B976" t="s">
        <v>1054</v>
      </c>
      <c r="C976" t="s">
        <v>564</v>
      </c>
      <c r="E976" s="3">
        <f t="shared" si="269"/>
        <v>77.173913043478265</v>
      </c>
      <c r="F976">
        <v>2016</v>
      </c>
      <c r="G976">
        <f t="shared" si="256"/>
        <v>9</v>
      </c>
      <c r="H976">
        <f t="shared" si="270"/>
        <v>0.13737906249999995</v>
      </c>
      <c r="J976">
        <f t="shared" si="271"/>
        <v>100</v>
      </c>
      <c r="K976">
        <v>3</v>
      </c>
      <c r="L976">
        <v>3</v>
      </c>
      <c r="M976" s="12">
        <f t="shared" si="272"/>
        <v>0.18191058592099621</v>
      </c>
      <c r="N976">
        <f t="shared" si="268"/>
        <v>4.2650977236283368E-2</v>
      </c>
      <c r="O976">
        <f t="shared" si="273"/>
        <v>0.42650977236283366</v>
      </c>
      <c r="P976" t="s">
        <v>93</v>
      </c>
      <c r="Q976" t="s">
        <v>757</v>
      </c>
      <c r="R976">
        <v>2.5790000000000002</v>
      </c>
      <c r="S976">
        <f t="shared" si="274"/>
        <v>4.1156400000000124</v>
      </c>
      <c r="U976">
        <v>72</v>
      </c>
      <c r="V976" t="s">
        <v>138</v>
      </c>
      <c r="W976">
        <f t="shared" si="275"/>
        <v>84.72</v>
      </c>
      <c r="Y976">
        <v>2008</v>
      </c>
      <c r="Z976">
        <f>2025-AVERAGE($Y$951:$Y$1050)</f>
        <v>17</v>
      </c>
      <c r="AA976" t="s">
        <v>391</v>
      </c>
      <c r="AB976">
        <v>4.8000000000000001E-4</v>
      </c>
      <c r="AC976" t="s">
        <v>987</v>
      </c>
      <c r="AD976" s="3">
        <v>0.46</v>
      </c>
      <c r="AE976">
        <v>1</v>
      </c>
      <c r="AF976" t="str">
        <f t="shared" si="276"/>
        <v>US</v>
      </c>
      <c r="AG976">
        <v>2</v>
      </c>
      <c r="AH976">
        <v>1</v>
      </c>
      <c r="AI976">
        <f t="shared" si="277"/>
        <v>2.84</v>
      </c>
      <c r="AJ976">
        <f t="shared" si="278"/>
        <v>2.17</v>
      </c>
      <c r="AK976" t="s">
        <v>112</v>
      </c>
      <c r="AL976">
        <v>25</v>
      </c>
      <c r="AN976" t="s">
        <v>527</v>
      </c>
      <c r="AO976">
        <v>4.4050000000000002</v>
      </c>
    </row>
    <row r="977" spans="1:41" ht="15.6">
      <c r="A977">
        <v>21</v>
      </c>
      <c r="B977" t="s">
        <v>1054</v>
      </c>
      <c r="C977" t="s">
        <v>564</v>
      </c>
      <c r="E977" s="3">
        <f t="shared" si="269"/>
        <v>77.173913043478265</v>
      </c>
      <c r="F977">
        <v>2016</v>
      </c>
      <c r="G977">
        <f t="shared" si="256"/>
        <v>9</v>
      </c>
      <c r="H977">
        <f t="shared" si="270"/>
        <v>0.13737906249999995</v>
      </c>
      <c r="J977">
        <f t="shared" si="271"/>
        <v>100</v>
      </c>
      <c r="K977">
        <v>3</v>
      </c>
      <c r="L977">
        <v>3</v>
      </c>
      <c r="M977" s="12">
        <f t="shared" si="272"/>
        <v>0.18191058592099621</v>
      </c>
      <c r="N977">
        <f t="shared" si="268"/>
        <v>4.2650977236283368E-2</v>
      </c>
      <c r="O977">
        <f t="shared" si="273"/>
        <v>0.42650977236283366</v>
      </c>
      <c r="P977" t="s">
        <v>76</v>
      </c>
      <c r="Q977" t="s">
        <v>757</v>
      </c>
      <c r="R977">
        <v>2.5790000000000002</v>
      </c>
      <c r="S977">
        <f t="shared" si="274"/>
        <v>4.1156400000000124</v>
      </c>
      <c r="U977">
        <v>116</v>
      </c>
      <c r="V977" t="s">
        <v>138</v>
      </c>
      <c r="W977">
        <f t="shared" si="275"/>
        <v>84.72</v>
      </c>
      <c r="Y977">
        <v>2008</v>
      </c>
      <c r="Z977">
        <f>2025-AVERAGE($Y$951:$Y$1050)</f>
        <v>17</v>
      </c>
      <c r="AA977" t="s">
        <v>389</v>
      </c>
      <c r="AB977">
        <v>0.14199999999999999</v>
      </c>
      <c r="AC977" t="s">
        <v>988</v>
      </c>
      <c r="AD977" s="3">
        <v>0.122</v>
      </c>
      <c r="AE977">
        <v>1</v>
      </c>
      <c r="AF977" t="str">
        <f t="shared" si="276"/>
        <v>US</v>
      </c>
      <c r="AG977">
        <v>3</v>
      </c>
      <c r="AH977">
        <v>1</v>
      </c>
      <c r="AI977">
        <f t="shared" si="277"/>
        <v>2.84</v>
      </c>
      <c r="AJ977">
        <f t="shared" si="278"/>
        <v>2.17</v>
      </c>
      <c r="AK977" t="s">
        <v>112</v>
      </c>
      <c r="AL977">
        <v>25</v>
      </c>
      <c r="AN977" t="s">
        <v>527</v>
      </c>
      <c r="AO977">
        <v>4.4050000000000002</v>
      </c>
    </row>
    <row r="978" spans="1:41" ht="15.6">
      <c r="A978">
        <v>21</v>
      </c>
      <c r="B978" t="s">
        <v>1054</v>
      </c>
      <c r="C978" t="s">
        <v>564</v>
      </c>
      <c r="E978" s="3">
        <f t="shared" si="269"/>
        <v>77.173913043478265</v>
      </c>
      <c r="F978">
        <v>2016</v>
      </c>
      <c r="G978">
        <f t="shared" ref="G978:G1041" si="279">2025-F978</f>
        <v>9</v>
      </c>
      <c r="H978">
        <f t="shared" si="270"/>
        <v>0.13737906249999995</v>
      </c>
      <c r="J978">
        <f t="shared" si="271"/>
        <v>100</v>
      </c>
      <c r="K978">
        <v>3</v>
      </c>
      <c r="L978">
        <v>3</v>
      </c>
      <c r="M978" s="12">
        <f t="shared" si="272"/>
        <v>0.18191058592099621</v>
      </c>
      <c r="N978">
        <f t="shared" si="268"/>
        <v>4.2650977236283368E-2</v>
      </c>
      <c r="O978">
        <f t="shared" si="273"/>
        <v>0.42650977236283366</v>
      </c>
      <c r="P978" t="s">
        <v>43</v>
      </c>
      <c r="Q978" t="s">
        <v>757</v>
      </c>
      <c r="R978">
        <v>2.5790000000000002</v>
      </c>
      <c r="S978">
        <f t="shared" si="274"/>
        <v>4.1156400000000124</v>
      </c>
      <c r="U978">
        <v>40</v>
      </c>
      <c r="V978" t="s">
        <v>138</v>
      </c>
      <c r="W978">
        <f t="shared" si="275"/>
        <v>84.72</v>
      </c>
      <c r="Y978">
        <v>2008</v>
      </c>
      <c r="Z978">
        <f>2025-AVERAGE($Y$951:$Y$1050)</f>
        <v>17</v>
      </c>
      <c r="AA978" t="s">
        <v>389</v>
      </c>
      <c r="AB978">
        <v>0.21</v>
      </c>
      <c r="AC978" t="s">
        <v>384</v>
      </c>
      <c r="AD978" s="3" t="s">
        <v>261</v>
      </c>
      <c r="AE978">
        <v>1</v>
      </c>
      <c r="AF978" t="str">
        <f t="shared" si="276"/>
        <v>US</v>
      </c>
      <c r="AG978">
        <v>1</v>
      </c>
      <c r="AH978">
        <v>4</v>
      </c>
      <c r="AI978">
        <f t="shared" si="277"/>
        <v>2.84</v>
      </c>
      <c r="AJ978">
        <f t="shared" si="278"/>
        <v>2.17</v>
      </c>
      <c r="AK978" t="s">
        <v>112</v>
      </c>
      <c r="AL978">
        <v>25</v>
      </c>
      <c r="AN978" t="s">
        <v>527</v>
      </c>
      <c r="AO978">
        <v>4.4050000000000002</v>
      </c>
    </row>
    <row r="979" spans="1:41" ht="15.6">
      <c r="A979">
        <v>21</v>
      </c>
      <c r="B979" t="s">
        <v>1054</v>
      </c>
      <c r="C979" t="s">
        <v>564</v>
      </c>
      <c r="E979" s="3">
        <f t="shared" si="269"/>
        <v>77.173913043478265</v>
      </c>
      <c r="F979">
        <v>2016</v>
      </c>
      <c r="G979">
        <f t="shared" si="279"/>
        <v>9</v>
      </c>
      <c r="H979">
        <f t="shared" si="270"/>
        <v>0.13737906249999995</v>
      </c>
      <c r="J979">
        <f t="shared" si="271"/>
        <v>100</v>
      </c>
      <c r="K979">
        <v>3</v>
      </c>
      <c r="L979">
        <v>3</v>
      </c>
      <c r="M979" s="12">
        <f t="shared" si="272"/>
        <v>0.18191058592099621</v>
      </c>
      <c r="N979">
        <f t="shared" si="268"/>
        <v>4.2650977236283368E-2</v>
      </c>
      <c r="O979">
        <f t="shared" si="273"/>
        <v>0.42650977236283366</v>
      </c>
      <c r="P979" t="s">
        <v>59</v>
      </c>
      <c r="Q979" t="s">
        <v>529</v>
      </c>
      <c r="R979">
        <v>6.0960000000000001</v>
      </c>
      <c r="S979">
        <f t="shared" si="274"/>
        <v>4.1156400000000124</v>
      </c>
      <c r="U979">
        <v>88</v>
      </c>
      <c r="V979" t="s">
        <v>138</v>
      </c>
      <c r="W979">
        <f t="shared" si="275"/>
        <v>84.72</v>
      </c>
      <c r="Y979">
        <v>2008</v>
      </c>
      <c r="Z979">
        <f>2025-AVERAGE($Y$951:$Y$1050)</f>
        <v>17</v>
      </c>
      <c r="AA979" t="s">
        <v>391</v>
      </c>
      <c r="AB979">
        <v>0.1469</v>
      </c>
      <c r="AC979" t="s">
        <v>989</v>
      </c>
      <c r="AD979" s="3">
        <v>5.1999999999999998E-2</v>
      </c>
      <c r="AE979">
        <v>1</v>
      </c>
      <c r="AF979" t="str">
        <f t="shared" si="276"/>
        <v>US</v>
      </c>
      <c r="AG979">
        <v>3</v>
      </c>
      <c r="AH979">
        <v>2</v>
      </c>
      <c r="AI979">
        <f t="shared" si="277"/>
        <v>2.84</v>
      </c>
      <c r="AJ979">
        <f t="shared" si="278"/>
        <v>2.17</v>
      </c>
      <c r="AK979" t="s">
        <v>112</v>
      </c>
      <c r="AL979">
        <v>25</v>
      </c>
      <c r="AN979" t="s">
        <v>527</v>
      </c>
      <c r="AO979">
        <v>4.4050000000000002</v>
      </c>
    </row>
    <row r="980" spans="1:41" ht="15.6">
      <c r="A980">
        <v>21</v>
      </c>
      <c r="B980" t="s">
        <v>1054</v>
      </c>
      <c r="C980" t="s">
        <v>564</v>
      </c>
      <c r="E980" s="3">
        <f t="shared" si="269"/>
        <v>77.173913043478265</v>
      </c>
      <c r="F980">
        <v>2016</v>
      </c>
      <c r="G980">
        <f t="shared" si="279"/>
        <v>9</v>
      </c>
      <c r="H980">
        <f t="shared" si="270"/>
        <v>0.13737906249999995</v>
      </c>
      <c r="J980">
        <f t="shared" si="271"/>
        <v>100</v>
      </c>
      <c r="K980">
        <v>3</v>
      </c>
      <c r="L980">
        <v>3</v>
      </c>
      <c r="M980" s="12">
        <f t="shared" si="272"/>
        <v>0.18191058592099621</v>
      </c>
      <c r="N980">
        <f t="shared" si="268"/>
        <v>4.2650977236283368E-2</v>
      </c>
      <c r="O980">
        <f t="shared" si="273"/>
        <v>0.42650977236283366</v>
      </c>
      <c r="P980" t="s">
        <v>57</v>
      </c>
      <c r="Q980" t="s">
        <v>529</v>
      </c>
      <c r="R980">
        <v>6.0960000000000001</v>
      </c>
      <c r="S980">
        <f t="shared" si="274"/>
        <v>4.1156400000000124</v>
      </c>
      <c r="U980">
        <v>165</v>
      </c>
      <c r="V980" t="s">
        <v>138</v>
      </c>
      <c r="W980">
        <f t="shared" si="275"/>
        <v>84.72</v>
      </c>
      <c r="Y980">
        <v>2008</v>
      </c>
      <c r="Z980">
        <f>2025-AVERAGE($Y$951:$Y$1050)</f>
        <v>17</v>
      </c>
      <c r="AA980" t="s">
        <v>391</v>
      </c>
      <c r="AB980">
        <v>4.4999999999999998E-2</v>
      </c>
      <c r="AC980" t="s">
        <v>990</v>
      </c>
      <c r="AD980" s="3">
        <v>1.6E-2</v>
      </c>
      <c r="AE980">
        <v>1</v>
      </c>
      <c r="AF980" t="str">
        <f t="shared" si="276"/>
        <v>US</v>
      </c>
      <c r="AG980">
        <v>3</v>
      </c>
      <c r="AH980">
        <v>1</v>
      </c>
      <c r="AI980">
        <f t="shared" si="277"/>
        <v>2.84</v>
      </c>
      <c r="AJ980">
        <f t="shared" si="278"/>
        <v>2.17</v>
      </c>
      <c r="AK980" t="s">
        <v>112</v>
      </c>
      <c r="AL980">
        <v>25</v>
      </c>
      <c r="AN980" t="s">
        <v>527</v>
      </c>
      <c r="AO980">
        <v>4.4050000000000002</v>
      </c>
    </row>
    <row r="981" spans="1:41" ht="15.6">
      <c r="A981">
        <v>21</v>
      </c>
      <c r="B981" t="s">
        <v>1054</v>
      </c>
      <c r="C981" t="s">
        <v>564</v>
      </c>
      <c r="E981" s="3">
        <f t="shared" si="269"/>
        <v>77.173913043478265</v>
      </c>
      <c r="F981">
        <v>2016</v>
      </c>
      <c r="G981">
        <f t="shared" si="279"/>
        <v>9</v>
      </c>
      <c r="H981">
        <f t="shared" si="270"/>
        <v>0.13737906249999995</v>
      </c>
      <c r="J981">
        <f t="shared" si="271"/>
        <v>100</v>
      </c>
      <c r="K981">
        <v>3</v>
      </c>
      <c r="L981">
        <v>3</v>
      </c>
      <c r="M981" s="12">
        <f t="shared" si="272"/>
        <v>0.18191058592099621</v>
      </c>
      <c r="N981">
        <f t="shared" si="268"/>
        <v>4.2650977236283368E-2</v>
      </c>
      <c r="O981">
        <f t="shared" si="273"/>
        <v>0.42650977236283366</v>
      </c>
      <c r="P981" t="s">
        <v>29</v>
      </c>
      <c r="Q981" t="s">
        <v>529</v>
      </c>
      <c r="R981">
        <v>6.0960000000000001</v>
      </c>
      <c r="S981">
        <f t="shared" si="274"/>
        <v>4.1156400000000124</v>
      </c>
      <c r="U981">
        <v>132</v>
      </c>
      <c r="V981" t="s">
        <v>138</v>
      </c>
      <c r="W981">
        <f t="shared" si="275"/>
        <v>84.72</v>
      </c>
      <c r="Y981">
        <v>2008</v>
      </c>
      <c r="Z981">
        <f>2025-AVERAGE($Y$951:$Y$1050)</f>
        <v>17</v>
      </c>
      <c r="AA981" t="s">
        <v>392</v>
      </c>
      <c r="AB981" t="s">
        <v>383</v>
      </c>
      <c r="AC981" t="s">
        <v>384</v>
      </c>
      <c r="AD981" s="3" t="s">
        <v>261</v>
      </c>
      <c r="AE981">
        <v>1</v>
      </c>
      <c r="AF981" t="str">
        <f t="shared" si="276"/>
        <v>US</v>
      </c>
      <c r="AG981">
        <v>4</v>
      </c>
      <c r="AH981">
        <v>1</v>
      </c>
      <c r="AI981">
        <f t="shared" si="277"/>
        <v>2.84</v>
      </c>
      <c r="AJ981">
        <f t="shared" si="278"/>
        <v>2.17</v>
      </c>
      <c r="AK981" t="s">
        <v>112</v>
      </c>
      <c r="AL981">
        <v>25</v>
      </c>
      <c r="AN981" t="s">
        <v>527</v>
      </c>
      <c r="AO981">
        <v>4.4050000000000002</v>
      </c>
    </row>
    <row r="982" spans="1:41" ht="15.6">
      <c r="A982">
        <v>21</v>
      </c>
      <c r="B982" t="s">
        <v>1054</v>
      </c>
      <c r="C982" t="s">
        <v>564</v>
      </c>
      <c r="E982" s="3">
        <f t="shared" si="269"/>
        <v>77.173913043478265</v>
      </c>
      <c r="F982">
        <v>2016</v>
      </c>
      <c r="G982">
        <f t="shared" si="279"/>
        <v>9</v>
      </c>
      <c r="H982">
        <f t="shared" si="270"/>
        <v>0.13737906249999995</v>
      </c>
      <c r="J982">
        <f t="shared" si="271"/>
        <v>100</v>
      </c>
      <c r="K982">
        <v>3</v>
      </c>
      <c r="L982">
        <v>3</v>
      </c>
      <c r="M982" s="12">
        <f t="shared" si="272"/>
        <v>0.18191058592099621</v>
      </c>
      <c r="N982">
        <f t="shared" si="268"/>
        <v>4.2650977236283368E-2</v>
      </c>
      <c r="O982">
        <f t="shared" si="273"/>
        <v>0.42650977236283366</v>
      </c>
      <c r="P982" t="s">
        <v>12</v>
      </c>
      <c r="Q982" t="s">
        <v>529</v>
      </c>
      <c r="R982">
        <v>6.0960000000000001</v>
      </c>
      <c r="S982">
        <f t="shared" si="274"/>
        <v>4.1156400000000124</v>
      </c>
      <c r="U982">
        <v>74</v>
      </c>
      <c r="V982" t="s">
        <v>138</v>
      </c>
      <c r="W982">
        <f t="shared" si="275"/>
        <v>84.72</v>
      </c>
      <c r="Y982">
        <v>2008</v>
      </c>
      <c r="Z982">
        <f>2025-AVERAGE($Y$951:$Y$1050)</f>
        <v>17</v>
      </c>
      <c r="AA982">
        <v>0.03</v>
      </c>
      <c r="AB982">
        <v>0.47</v>
      </c>
      <c r="AC982" t="s">
        <v>991</v>
      </c>
      <c r="AD982" s="3">
        <v>0.05</v>
      </c>
      <c r="AE982">
        <v>1</v>
      </c>
      <c r="AF982" t="str">
        <f t="shared" si="276"/>
        <v>US</v>
      </c>
      <c r="AG982">
        <v>6</v>
      </c>
      <c r="AH982">
        <v>6</v>
      </c>
      <c r="AI982">
        <f t="shared" si="277"/>
        <v>2.84</v>
      </c>
      <c r="AJ982">
        <f t="shared" si="278"/>
        <v>2.17</v>
      </c>
      <c r="AK982" t="s">
        <v>112</v>
      </c>
      <c r="AL982">
        <v>25</v>
      </c>
      <c r="AN982" t="s">
        <v>527</v>
      </c>
      <c r="AO982">
        <v>4.4050000000000002</v>
      </c>
    </row>
    <row r="983" spans="1:41" ht="15.6">
      <c r="A983">
        <v>21</v>
      </c>
      <c r="B983" t="s">
        <v>1054</v>
      </c>
      <c r="C983" t="s">
        <v>564</v>
      </c>
      <c r="E983" s="3">
        <f t="shared" si="269"/>
        <v>77.173913043478265</v>
      </c>
      <c r="F983">
        <v>2016</v>
      </c>
      <c r="G983">
        <f t="shared" si="279"/>
        <v>9</v>
      </c>
      <c r="H983">
        <f t="shared" si="270"/>
        <v>0.13737906249999995</v>
      </c>
      <c r="J983">
        <f t="shared" si="271"/>
        <v>100</v>
      </c>
      <c r="K983">
        <v>3</v>
      </c>
      <c r="L983">
        <v>3</v>
      </c>
      <c r="M983" s="12">
        <f t="shared" si="272"/>
        <v>0.18191058592099621</v>
      </c>
      <c r="N983">
        <f t="shared" ref="N983:N1014" si="280">$O$951/SQRT($J$951)</f>
        <v>4.2650977236283368E-2</v>
      </c>
      <c r="O983">
        <f t="shared" si="273"/>
        <v>0.42650977236283366</v>
      </c>
      <c r="P983" t="s">
        <v>18</v>
      </c>
      <c r="Q983" t="s">
        <v>529</v>
      </c>
      <c r="R983">
        <v>6.0960000000000001</v>
      </c>
      <c r="S983">
        <f t="shared" si="274"/>
        <v>4.1156400000000124</v>
      </c>
      <c r="U983">
        <v>46</v>
      </c>
      <c r="V983" t="s">
        <v>138</v>
      </c>
      <c r="W983">
        <f t="shared" si="275"/>
        <v>84.72</v>
      </c>
      <c r="Y983">
        <v>2008</v>
      </c>
      <c r="Z983">
        <f>2025-AVERAGE($Y$951:$Y$1050)</f>
        <v>17</v>
      </c>
      <c r="AA983">
        <v>0.02</v>
      </c>
      <c r="AB983">
        <v>0.77</v>
      </c>
      <c r="AC983" t="s">
        <v>992</v>
      </c>
      <c r="AD983" s="3">
        <v>9.6000000000000002E-4</v>
      </c>
      <c r="AE983">
        <v>1</v>
      </c>
      <c r="AF983" t="str">
        <f t="shared" si="276"/>
        <v>US</v>
      </c>
      <c r="AG983">
        <v>9</v>
      </c>
      <c r="AH983">
        <v>3</v>
      </c>
      <c r="AI983">
        <f t="shared" si="277"/>
        <v>2.84</v>
      </c>
      <c r="AJ983">
        <f t="shared" si="278"/>
        <v>2.17</v>
      </c>
      <c r="AK983" t="s">
        <v>112</v>
      </c>
      <c r="AL983">
        <v>25</v>
      </c>
      <c r="AN983" t="s">
        <v>527</v>
      </c>
      <c r="AO983">
        <v>4.4050000000000002</v>
      </c>
    </row>
    <row r="984" spans="1:41" ht="15.6">
      <c r="A984">
        <v>21</v>
      </c>
      <c r="B984" t="s">
        <v>1054</v>
      </c>
      <c r="C984" t="s">
        <v>564</v>
      </c>
      <c r="E984" s="3">
        <f t="shared" si="269"/>
        <v>77.173913043478265</v>
      </c>
      <c r="F984">
        <v>2016</v>
      </c>
      <c r="G984">
        <f t="shared" si="279"/>
        <v>9</v>
      </c>
      <c r="H984">
        <f t="shared" si="270"/>
        <v>0.13737906249999995</v>
      </c>
      <c r="J984">
        <f t="shared" si="271"/>
        <v>100</v>
      </c>
      <c r="K984">
        <v>3</v>
      </c>
      <c r="L984">
        <v>3</v>
      </c>
      <c r="M984" s="12">
        <f t="shared" si="272"/>
        <v>0.18191058592099621</v>
      </c>
      <c r="N984">
        <f t="shared" si="280"/>
        <v>4.2650977236283368E-2</v>
      </c>
      <c r="O984">
        <f t="shared" si="273"/>
        <v>0.42650977236283366</v>
      </c>
      <c r="P984" t="s">
        <v>18</v>
      </c>
      <c r="Q984" t="s">
        <v>529</v>
      </c>
      <c r="R984">
        <v>6.0960000000000001</v>
      </c>
      <c r="S984">
        <f t="shared" si="274"/>
        <v>4.1156400000000124</v>
      </c>
      <c r="U984">
        <v>46</v>
      </c>
      <c r="V984" t="s">
        <v>138</v>
      </c>
      <c r="W984">
        <f t="shared" si="275"/>
        <v>84.72</v>
      </c>
      <c r="Y984">
        <v>2008</v>
      </c>
      <c r="Z984">
        <f>2025-AVERAGE($Y$951:$Y$1050)</f>
        <v>17</v>
      </c>
      <c r="AA984">
        <v>0.02</v>
      </c>
      <c r="AB984">
        <v>8.5000000000000006E-2</v>
      </c>
      <c r="AC984" t="s">
        <v>993</v>
      </c>
      <c r="AD984" s="3">
        <v>4.9000000000000002E-2</v>
      </c>
      <c r="AE984">
        <v>1</v>
      </c>
      <c r="AF984" t="str">
        <f t="shared" si="276"/>
        <v>US</v>
      </c>
      <c r="AG984">
        <v>9</v>
      </c>
      <c r="AH984">
        <v>2</v>
      </c>
      <c r="AI984">
        <f t="shared" si="277"/>
        <v>2.84</v>
      </c>
      <c r="AJ984">
        <f t="shared" si="278"/>
        <v>2.17</v>
      </c>
      <c r="AK984" t="s">
        <v>112</v>
      </c>
      <c r="AL984">
        <v>25</v>
      </c>
      <c r="AN984" t="s">
        <v>527</v>
      </c>
      <c r="AO984">
        <v>4.4050000000000002</v>
      </c>
    </row>
    <row r="985" spans="1:41" ht="15.6">
      <c r="A985">
        <v>21</v>
      </c>
      <c r="B985" t="s">
        <v>1054</v>
      </c>
      <c r="C985" t="s">
        <v>564</v>
      </c>
      <c r="E985" s="3">
        <f t="shared" si="269"/>
        <v>77.173913043478265</v>
      </c>
      <c r="F985">
        <v>2016</v>
      </c>
      <c r="G985">
        <f t="shared" si="279"/>
        <v>9</v>
      </c>
      <c r="H985">
        <f t="shared" si="270"/>
        <v>0.13737906249999995</v>
      </c>
      <c r="J985">
        <f t="shared" si="271"/>
        <v>100</v>
      </c>
      <c r="K985">
        <v>3</v>
      </c>
      <c r="L985">
        <v>3</v>
      </c>
      <c r="M985" s="12">
        <f t="shared" si="272"/>
        <v>0.18191058592099621</v>
      </c>
      <c r="N985">
        <f t="shared" si="280"/>
        <v>4.2650977236283368E-2</v>
      </c>
      <c r="O985">
        <f t="shared" si="273"/>
        <v>0.42650977236283366</v>
      </c>
      <c r="P985" t="s">
        <v>42</v>
      </c>
      <c r="Q985" t="s">
        <v>529</v>
      </c>
      <c r="R985">
        <v>6.0960000000000001</v>
      </c>
      <c r="S985">
        <f t="shared" si="274"/>
        <v>4.1156400000000124</v>
      </c>
      <c r="U985">
        <v>35</v>
      </c>
      <c r="V985" t="s">
        <v>138</v>
      </c>
      <c r="W985">
        <f t="shared" si="275"/>
        <v>84.72</v>
      </c>
      <c r="Y985">
        <v>2008</v>
      </c>
      <c r="Z985">
        <f>2025-AVERAGE($Y$951:$Y$1050)</f>
        <v>17</v>
      </c>
      <c r="AA985" t="s">
        <v>398</v>
      </c>
      <c r="AB985">
        <v>0.32200000000000001</v>
      </c>
      <c r="AC985" t="s">
        <v>994</v>
      </c>
      <c r="AD985" s="3">
        <v>1.4E-2</v>
      </c>
      <c r="AE985">
        <v>1</v>
      </c>
      <c r="AF985" t="str">
        <f t="shared" si="276"/>
        <v>US</v>
      </c>
      <c r="AG985">
        <v>4</v>
      </c>
      <c r="AH985">
        <v>7</v>
      </c>
      <c r="AI985">
        <f t="shared" si="277"/>
        <v>2.84</v>
      </c>
      <c r="AJ985">
        <f t="shared" si="278"/>
        <v>2.17</v>
      </c>
      <c r="AK985" t="s">
        <v>112</v>
      </c>
      <c r="AL985">
        <v>25</v>
      </c>
      <c r="AN985" t="s">
        <v>527</v>
      </c>
      <c r="AO985">
        <v>4.4050000000000002</v>
      </c>
    </row>
    <row r="986" spans="1:41" ht="15.6">
      <c r="A986">
        <v>21</v>
      </c>
      <c r="B986" t="s">
        <v>1054</v>
      </c>
      <c r="C986" t="s">
        <v>564</v>
      </c>
      <c r="E986" s="3">
        <f t="shared" si="269"/>
        <v>77.173913043478265</v>
      </c>
      <c r="F986">
        <v>2016</v>
      </c>
      <c r="G986">
        <f t="shared" si="279"/>
        <v>9</v>
      </c>
      <c r="H986">
        <f t="shared" si="270"/>
        <v>0.13737906249999995</v>
      </c>
      <c r="J986">
        <f t="shared" si="271"/>
        <v>100</v>
      </c>
      <c r="K986">
        <v>3</v>
      </c>
      <c r="L986">
        <v>3</v>
      </c>
      <c r="M986" s="12">
        <f t="shared" si="272"/>
        <v>0.18191058592099621</v>
      </c>
      <c r="N986">
        <f t="shared" si="280"/>
        <v>4.2650977236283368E-2</v>
      </c>
      <c r="O986">
        <f t="shared" si="273"/>
        <v>0.42650977236283366</v>
      </c>
      <c r="P986" t="s">
        <v>39</v>
      </c>
      <c r="Q986" t="s">
        <v>529</v>
      </c>
      <c r="R986">
        <v>6.0960000000000001</v>
      </c>
      <c r="S986">
        <f t="shared" si="274"/>
        <v>4.1156400000000124</v>
      </c>
      <c r="U986">
        <v>136</v>
      </c>
      <c r="V986" t="s">
        <v>138</v>
      </c>
      <c r="W986">
        <f t="shared" si="275"/>
        <v>84.72</v>
      </c>
      <c r="Y986">
        <v>2008</v>
      </c>
      <c r="Z986">
        <f>2025-AVERAGE($Y$951:$Y$1050)</f>
        <v>17</v>
      </c>
      <c r="AA986">
        <v>0.03</v>
      </c>
      <c r="AB986">
        <v>0.51300000000000001</v>
      </c>
      <c r="AC986" t="s">
        <v>995</v>
      </c>
      <c r="AD986" s="3">
        <v>6.0000000000000001E-3</v>
      </c>
      <c r="AE986">
        <v>1</v>
      </c>
      <c r="AF986" t="str">
        <f t="shared" si="276"/>
        <v>US</v>
      </c>
      <c r="AG986">
        <v>3</v>
      </c>
      <c r="AH986">
        <v>3</v>
      </c>
      <c r="AI986">
        <f t="shared" si="277"/>
        <v>2.84</v>
      </c>
      <c r="AJ986">
        <f t="shared" si="278"/>
        <v>2.17</v>
      </c>
      <c r="AK986" t="s">
        <v>112</v>
      </c>
      <c r="AL986">
        <v>25</v>
      </c>
      <c r="AN986" t="s">
        <v>527</v>
      </c>
      <c r="AO986">
        <v>4.4050000000000002</v>
      </c>
    </row>
    <row r="987" spans="1:41" ht="15.6">
      <c r="A987">
        <v>21</v>
      </c>
      <c r="B987" t="s">
        <v>1054</v>
      </c>
      <c r="C987" t="s">
        <v>564</v>
      </c>
      <c r="E987" s="3">
        <f t="shared" si="269"/>
        <v>77.173913043478265</v>
      </c>
      <c r="F987">
        <v>2016</v>
      </c>
      <c r="G987">
        <f t="shared" si="279"/>
        <v>9</v>
      </c>
      <c r="H987">
        <f t="shared" si="270"/>
        <v>0.13737906249999995</v>
      </c>
      <c r="J987">
        <f t="shared" si="271"/>
        <v>100</v>
      </c>
      <c r="K987">
        <v>3</v>
      </c>
      <c r="L987">
        <v>3</v>
      </c>
      <c r="M987" s="12">
        <f t="shared" si="272"/>
        <v>0.18191058592099621</v>
      </c>
      <c r="N987">
        <f t="shared" si="280"/>
        <v>4.2650977236283368E-2</v>
      </c>
      <c r="O987">
        <f t="shared" si="273"/>
        <v>0.42650977236283366</v>
      </c>
      <c r="P987" t="s">
        <v>36</v>
      </c>
      <c r="Q987" t="s">
        <v>529</v>
      </c>
      <c r="R987">
        <v>6.0960000000000001</v>
      </c>
      <c r="S987">
        <f t="shared" si="274"/>
        <v>4.1156400000000124</v>
      </c>
      <c r="U987">
        <v>103</v>
      </c>
      <c r="V987" t="s">
        <v>138</v>
      </c>
      <c r="W987">
        <f t="shared" si="275"/>
        <v>84.72</v>
      </c>
      <c r="Y987">
        <v>2008</v>
      </c>
      <c r="Z987">
        <f>2025-AVERAGE($Y$951:$Y$1050)</f>
        <v>17</v>
      </c>
      <c r="AA987" t="s">
        <v>389</v>
      </c>
      <c r="AB987">
        <v>0.74</v>
      </c>
      <c r="AC987" t="s">
        <v>996</v>
      </c>
      <c r="AD987" s="3">
        <v>0.01</v>
      </c>
      <c r="AE987">
        <v>1</v>
      </c>
      <c r="AF987" t="str">
        <f t="shared" si="276"/>
        <v>US</v>
      </c>
      <c r="AG987">
        <v>5</v>
      </c>
      <c r="AH987">
        <v>2</v>
      </c>
      <c r="AI987">
        <f t="shared" si="277"/>
        <v>2.84</v>
      </c>
      <c r="AJ987">
        <f t="shared" si="278"/>
        <v>2.17</v>
      </c>
      <c r="AK987" t="s">
        <v>112</v>
      </c>
      <c r="AL987">
        <v>25</v>
      </c>
      <c r="AN987" t="s">
        <v>527</v>
      </c>
      <c r="AO987">
        <v>4.4050000000000002</v>
      </c>
    </row>
    <row r="988" spans="1:41" ht="15.6">
      <c r="A988">
        <v>21</v>
      </c>
      <c r="B988" t="s">
        <v>1054</v>
      </c>
      <c r="C988" t="s">
        <v>564</v>
      </c>
      <c r="E988" s="3">
        <f t="shared" si="269"/>
        <v>77.173913043478265</v>
      </c>
      <c r="F988">
        <v>2016</v>
      </c>
      <c r="G988">
        <f t="shared" si="279"/>
        <v>9</v>
      </c>
      <c r="H988">
        <f t="shared" si="270"/>
        <v>0.13737906249999995</v>
      </c>
      <c r="J988">
        <f t="shared" si="271"/>
        <v>100</v>
      </c>
      <c r="K988">
        <v>3</v>
      </c>
      <c r="L988">
        <v>3</v>
      </c>
      <c r="M988" s="12">
        <f t="shared" si="272"/>
        <v>0.18191058592099621</v>
      </c>
      <c r="N988">
        <f t="shared" si="280"/>
        <v>4.2650977236283368E-2</v>
      </c>
      <c r="O988">
        <f t="shared" si="273"/>
        <v>0.42650977236283366</v>
      </c>
      <c r="P988" t="s">
        <v>14</v>
      </c>
      <c r="Q988" t="s">
        <v>529</v>
      </c>
      <c r="R988">
        <v>6.0960000000000001</v>
      </c>
      <c r="S988">
        <f t="shared" si="274"/>
        <v>4.1156400000000124</v>
      </c>
      <c r="U988">
        <v>97</v>
      </c>
      <c r="V988" t="s">
        <v>138</v>
      </c>
      <c r="W988">
        <f t="shared" si="275"/>
        <v>84.72</v>
      </c>
      <c r="Y988">
        <v>2008</v>
      </c>
      <c r="Z988">
        <f>2025-AVERAGE($Y$951:$Y$1050)</f>
        <v>17</v>
      </c>
      <c r="AA988" t="s">
        <v>394</v>
      </c>
      <c r="AB988">
        <v>0.79600000000000004</v>
      </c>
      <c r="AC988" t="s">
        <v>997</v>
      </c>
      <c r="AD988" s="3">
        <v>8.2000000000000003E-2</v>
      </c>
      <c r="AE988">
        <v>1</v>
      </c>
      <c r="AF988" t="str">
        <f t="shared" si="276"/>
        <v>US</v>
      </c>
      <c r="AG988">
        <v>4</v>
      </c>
      <c r="AH988">
        <v>2</v>
      </c>
      <c r="AI988">
        <f t="shared" si="277"/>
        <v>2.84</v>
      </c>
      <c r="AJ988">
        <f t="shared" si="278"/>
        <v>2.17</v>
      </c>
      <c r="AK988" t="s">
        <v>112</v>
      </c>
      <c r="AL988">
        <v>25</v>
      </c>
      <c r="AN988" t="s">
        <v>527</v>
      </c>
      <c r="AO988">
        <v>4.4050000000000002</v>
      </c>
    </row>
    <row r="989" spans="1:41" ht="15.6">
      <c r="A989">
        <v>21</v>
      </c>
      <c r="B989" t="s">
        <v>1054</v>
      </c>
      <c r="C989" t="s">
        <v>564</v>
      </c>
      <c r="E989" s="3">
        <f t="shared" si="269"/>
        <v>77.173913043478265</v>
      </c>
      <c r="F989">
        <v>2016</v>
      </c>
      <c r="G989">
        <f t="shared" si="279"/>
        <v>9</v>
      </c>
      <c r="H989">
        <f t="shared" si="270"/>
        <v>0.13737906249999995</v>
      </c>
      <c r="J989">
        <f t="shared" si="271"/>
        <v>100</v>
      </c>
      <c r="K989">
        <v>3</v>
      </c>
      <c r="L989">
        <v>3</v>
      </c>
      <c r="M989" s="12">
        <f t="shared" si="272"/>
        <v>0.18191058592099621</v>
      </c>
      <c r="N989">
        <f t="shared" si="280"/>
        <v>4.2650977236283368E-2</v>
      </c>
      <c r="O989">
        <f t="shared" si="273"/>
        <v>0.42650977236283366</v>
      </c>
      <c r="P989" t="s">
        <v>31</v>
      </c>
      <c r="Q989" t="s">
        <v>529</v>
      </c>
      <c r="R989">
        <v>6.0960000000000001</v>
      </c>
      <c r="S989">
        <f t="shared" si="274"/>
        <v>4.1156400000000124</v>
      </c>
      <c r="U989">
        <v>40</v>
      </c>
      <c r="V989" t="s">
        <v>138</v>
      </c>
      <c r="W989">
        <f t="shared" si="275"/>
        <v>84.72</v>
      </c>
      <c r="Y989">
        <v>2008</v>
      </c>
      <c r="Z989">
        <f>2025-AVERAGE($Y$951:$Y$1050)</f>
        <v>17</v>
      </c>
      <c r="AA989" t="s">
        <v>389</v>
      </c>
      <c r="AB989">
        <v>0.54</v>
      </c>
      <c r="AC989" t="s">
        <v>998</v>
      </c>
      <c r="AD989" s="3">
        <v>1E-3</v>
      </c>
      <c r="AE989">
        <v>1</v>
      </c>
      <c r="AF989" t="str">
        <f t="shared" si="276"/>
        <v>US</v>
      </c>
      <c r="AG989">
        <v>2</v>
      </c>
      <c r="AH989">
        <v>1</v>
      </c>
      <c r="AI989">
        <f t="shared" si="277"/>
        <v>2.84</v>
      </c>
      <c r="AJ989">
        <f t="shared" si="278"/>
        <v>2.17</v>
      </c>
      <c r="AK989" t="s">
        <v>112</v>
      </c>
      <c r="AL989">
        <v>25</v>
      </c>
      <c r="AN989" t="s">
        <v>527</v>
      </c>
      <c r="AO989">
        <v>4.4050000000000002</v>
      </c>
    </row>
    <row r="990" spans="1:41" ht="15.6">
      <c r="A990">
        <v>21</v>
      </c>
      <c r="B990" t="s">
        <v>1054</v>
      </c>
      <c r="C990" t="s">
        <v>564</v>
      </c>
      <c r="E990" s="3">
        <f t="shared" si="269"/>
        <v>77.173913043478265</v>
      </c>
      <c r="F990">
        <v>2016</v>
      </c>
      <c r="G990">
        <f t="shared" si="279"/>
        <v>9</v>
      </c>
      <c r="H990">
        <f t="shared" si="270"/>
        <v>0.13737906249999995</v>
      </c>
      <c r="J990">
        <f t="shared" si="271"/>
        <v>100</v>
      </c>
      <c r="K990">
        <v>3</v>
      </c>
      <c r="L990">
        <v>3</v>
      </c>
      <c r="M990" s="12">
        <f t="shared" si="272"/>
        <v>0.18191058592099621</v>
      </c>
      <c r="N990">
        <f t="shared" si="280"/>
        <v>4.2650977236283368E-2</v>
      </c>
      <c r="O990">
        <f t="shared" si="273"/>
        <v>0.42650977236283366</v>
      </c>
      <c r="P990" t="s">
        <v>969</v>
      </c>
      <c r="Q990" t="s">
        <v>529</v>
      </c>
      <c r="R990">
        <v>6.0960000000000001</v>
      </c>
      <c r="S990">
        <f t="shared" si="274"/>
        <v>4.1156400000000124</v>
      </c>
      <c r="U990">
        <v>66</v>
      </c>
      <c r="V990" t="s">
        <v>138</v>
      </c>
      <c r="W990">
        <f t="shared" si="275"/>
        <v>84.72</v>
      </c>
      <c r="Y990">
        <v>2008</v>
      </c>
      <c r="Z990">
        <f>2025-AVERAGE($Y$951:$Y$1050)</f>
        <v>17</v>
      </c>
      <c r="AA990" t="s">
        <v>392</v>
      </c>
      <c r="AB990">
        <v>1E-4</v>
      </c>
      <c r="AC990" t="s">
        <v>999</v>
      </c>
      <c r="AD990" s="3">
        <v>0.72</v>
      </c>
      <c r="AE990">
        <v>1</v>
      </c>
      <c r="AF990" t="str">
        <f t="shared" si="276"/>
        <v>US</v>
      </c>
      <c r="AG990">
        <v>2</v>
      </c>
      <c r="AH990">
        <v>3</v>
      </c>
      <c r="AI990">
        <f t="shared" si="277"/>
        <v>2.84</v>
      </c>
      <c r="AJ990">
        <f t="shared" si="278"/>
        <v>2.17</v>
      </c>
      <c r="AK990" t="s">
        <v>112</v>
      </c>
      <c r="AL990">
        <v>25</v>
      </c>
      <c r="AN990" t="s">
        <v>527</v>
      </c>
      <c r="AO990">
        <v>4.4050000000000002</v>
      </c>
    </row>
    <row r="991" spans="1:41" ht="15.6">
      <c r="A991">
        <v>21</v>
      </c>
      <c r="B991" t="s">
        <v>1054</v>
      </c>
      <c r="C991" t="s">
        <v>564</v>
      </c>
      <c r="E991" s="3">
        <f t="shared" si="269"/>
        <v>77.173913043478265</v>
      </c>
      <c r="F991">
        <v>2016</v>
      </c>
      <c r="G991">
        <f t="shared" si="279"/>
        <v>9</v>
      </c>
      <c r="H991">
        <f t="shared" si="270"/>
        <v>0.13737906249999995</v>
      </c>
      <c r="J991">
        <f t="shared" si="271"/>
        <v>100</v>
      </c>
      <c r="K991">
        <v>3</v>
      </c>
      <c r="L991">
        <v>3</v>
      </c>
      <c r="M991" s="12">
        <f t="shared" si="272"/>
        <v>0.18191058592099621</v>
      </c>
      <c r="N991">
        <f t="shared" si="280"/>
        <v>4.2650977236283368E-2</v>
      </c>
      <c r="O991">
        <f t="shared" si="273"/>
        <v>0.42650977236283366</v>
      </c>
      <c r="P991" t="s">
        <v>21</v>
      </c>
      <c r="Q991" t="s">
        <v>529</v>
      </c>
      <c r="R991">
        <v>6.0960000000000001</v>
      </c>
      <c r="S991">
        <f t="shared" si="274"/>
        <v>4.1156400000000124</v>
      </c>
      <c r="U991">
        <v>80</v>
      </c>
      <c r="V991" t="s">
        <v>138</v>
      </c>
      <c r="W991">
        <f t="shared" si="275"/>
        <v>84.72</v>
      </c>
      <c r="Y991">
        <v>2008</v>
      </c>
      <c r="Z991">
        <f>2025-AVERAGE($Y$951:$Y$1050)</f>
        <v>17</v>
      </c>
      <c r="AA991" t="s">
        <v>389</v>
      </c>
      <c r="AB991">
        <v>0.94</v>
      </c>
      <c r="AC991" t="s">
        <v>1000</v>
      </c>
      <c r="AD991" s="3">
        <v>-0.01</v>
      </c>
      <c r="AE991">
        <v>1</v>
      </c>
      <c r="AF991" t="str">
        <f t="shared" si="276"/>
        <v>US</v>
      </c>
      <c r="AG991">
        <v>4</v>
      </c>
      <c r="AH991">
        <v>3</v>
      </c>
      <c r="AI991">
        <f t="shared" si="277"/>
        <v>2.84</v>
      </c>
      <c r="AJ991">
        <f t="shared" si="278"/>
        <v>2.17</v>
      </c>
      <c r="AK991" t="s">
        <v>112</v>
      </c>
      <c r="AL991">
        <v>25</v>
      </c>
      <c r="AN991" t="s">
        <v>527</v>
      </c>
      <c r="AO991">
        <v>4.4050000000000002</v>
      </c>
    </row>
    <row r="992" spans="1:41" ht="15.6">
      <c r="A992">
        <v>21</v>
      </c>
      <c r="B992" t="s">
        <v>1054</v>
      </c>
      <c r="C992" t="s">
        <v>564</v>
      </c>
      <c r="E992" s="3">
        <f t="shared" si="269"/>
        <v>77.173913043478265</v>
      </c>
      <c r="F992">
        <v>2016</v>
      </c>
      <c r="G992">
        <f t="shared" si="279"/>
        <v>9</v>
      </c>
      <c r="H992">
        <f t="shared" si="270"/>
        <v>0.13737906249999995</v>
      </c>
      <c r="J992">
        <f t="shared" si="271"/>
        <v>100</v>
      </c>
      <c r="K992">
        <v>3</v>
      </c>
      <c r="L992">
        <v>3</v>
      </c>
      <c r="M992" s="12">
        <f t="shared" si="272"/>
        <v>0.18191058592099621</v>
      </c>
      <c r="N992">
        <f t="shared" si="280"/>
        <v>4.2650977236283368E-2</v>
      </c>
      <c r="O992">
        <f t="shared" si="273"/>
        <v>0.42650977236283366</v>
      </c>
      <c r="P992" t="s">
        <v>38</v>
      </c>
      <c r="Q992" t="s">
        <v>529</v>
      </c>
      <c r="R992">
        <v>6.0960000000000001</v>
      </c>
      <c r="S992">
        <f t="shared" si="274"/>
        <v>4.1156400000000124</v>
      </c>
      <c r="U992">
        <v>42</v>
      </c>
      <c r="V992" t="s">
        <v>138</v>
      </c>
      <c r="W992">
        <f t="shared" si="275"/>
        <v>84.72</v>
      </c>
      <c r="Y992">
        <v>2008</v>
      </c>
      <c r="Z992">
        <f>2025-AVERAGE($Y$951:$Y$1050)</f>
        <v>17</v>
      </c>
      <c r="AA992" t="s">
        <v>398</v>
      </c>
      <c r="AB992">
        <v>0.374</v>
      </c>
      <c r="AC992" t="s">
        <v>1001</v>
      </c>
      <c r="AD992" s="3">
        <v>0.16</v>
      </c>
      <c r="AE992">
        <v>1</v>
      </c>
      <c r="AF992" t="str">
        <f t="shared" si="276"/>
        <v>US</v>
      </c>
      <c r="AG992">
        <v>1</v>
      </c>
      <c r="AH992">
        <v>1</v>
      </c>
      <c r="AI992">
        <f t="shared" si="277"/>
        <v>2.84</v>
      </c>
      <c r="AJ992">
        <f t="shared" si="278"/>
        <v>2.17</v>
      </c>
      <c r="AK992" t="s">
        <v>112</v>
      </c>
      <c r="AL992">
        <v>25</v>
      </c>
      <c r="AN992" t="s">
        <v>527</v>
      </c>
      <c r="AO992">
        <v>4.4050000000000002</v>
      </c>
    </row>
    <row r="993" spans="1:41" ht="15.6">
      <c r="A993">
        <v>21</v>
      </c>
      <c r="B993" t="s">
        <v>1054</v>
      </c>
      <c r="C993" t="s">
        <v>564</v>
      </c>
      <c r="E993" s="3">
        <f t="shared" si="269"/>
        <v>77.173913043478265</v>
      </c>
      <c r="F993">
        <v>2016</v>
      </c>
      <c r="G993">
        <f t="shared" si="279"/>
        <v>9</v>
      </c>
      <c r="H993">
        <f t="shared" si="270"/>
        <v>0.13737906249999995</v>
      </c>
      <c r="J993">
        <f t="shared" si="271"/>
        <v>100</v>
      </c>
      <c r="K993">
        <v>3</v>
      </c>
      <c r="L993">
        <v>3</v>
      </c>
      <c r="M993" s="12">
        <f t="shared" si="272"/>
        <v>0.18191058592099621</v>
      </c>
      <c r="N993">
        <f t="shared" si="280"/>
        <v>4.2650977236283368E-2</v>
      </c>
      <c r="O993">
        <f t="shared" si="273"/>
        <v>0.42650977236283366</v>
      </c>
      <c r="P993" t="s">
        <v>49</v>
      </c>
      <c r="Q993" t="s">
        <v>529</v>
      </c>
      <c r="R993">
        <v>6.0960000000000001</v>
      </c>
      <c r="S993">
        <f t="shared" si="274"/>
        <v>4.1156400000000124</v>
      </c>
      <c r="U993">
        <v>113</v>
      </c>
      <c r="V993" t="s">
        <v>138</v>
      </c>
      <c r="W993">
        <f t="shared" si="275"/>
        <v>84.72</v>
      </c>
      <c r="Y993">
        <v>2008</v>
      </c>
      <c r="Z993">
        <f>2025-AVERAGE($Y$951:$Y$1050)</f>
        <v>17</v>
      </c>
      <c r="AA993" t="s">
        <v>394</v>
      </c>
      <c r="AB993">
        <v>0.42599999999999999</v>
      </c>
      <c r="AC993" t="s">
        <v>1002</v>
      </c>
      <c r="AD993" s="3">
        <v>2.5899999999999999E-2</v>
      </c>
      <c r="AE993">
        <v>1</v>
      </c>
      <c r="AF993" t="str">
        <f t="shared" si="276"/>
        <v>US</v>
      </c>
      <c r="AG993">
        <v>3</v>
      </c>
      <c r="AH993">
        <v>1</v>
      </c>
      <c r="AI993">
        <f t="shared" si="277"/>
        <v>2.84</v>
      </c>
      <c r="AJ993">
        <f t="shared" si="278"/>
        <v>2.17</v>
      </c>
      <c r="AK993" t="s">
        <v>112</v>
      </c>
      <c r="AL993">
        <v>25</v>
      </c>
      <c r="AN993" t="s">
        <v>527</v>
      </c>
      <c r="AO993">
        <v>4.4050000000000002</v>
      </c>
    </row>
    <row r="994" spans="1:41" ht="15.6">
      <c r="A994">
        <v>21</v>
      </c>
      <c r="B994" t="s">
        <v>1054</v>
      </c>
      <c r="C994" t="s">
        <v>564</v>
      </c>
      <c r="E994" s="3">
        <f t="shared" si="269"/>
        <v>77.173913043478265</v>
      </c>
      <c r="F994">
        <v>2016</v>
      </c>
      <c r="G994">
        <f t="shared" si="279"/>
        <v>9</v>
      </c>
      <c r="H994">
        <f t="shared" si="270"/>
        <v>0.13737906249999995</v>
      </c>
      <c r="J994">
        <f t="shared" si="271"/>
        <v>100</v>
      </c>
      <c r="K994">
        <v>3</v>
      </c>
      <c r="L994">
        <v>3</v>
      </c>
      <c r="M994" s="12">
        <f t="shared" si="272"/>
        <v>0.18191058592099621</v>
      </c>
      <c r="N994">
        <f t="shared" si="280"/>
        <v>4.2650977236283368E-2</v>
      </c>
      <c r="O994">
        <f t="shared" si="273"/>
        <v>0.42650977236283366</v>
      </c>
      <c r="P994" t="s">
        <v>24</v>
      </c>
      <c r="Q994" t="s">
        <v>529</v>
      </c>
      <c r="R994">
        <v>6.0960000000000001</v>
      </c>
      <c r="S994">
        <f t="shared" si="274"/>
        <v>4.1156400000000124</v>
      </c>
      <c r="U994">
        <v>81</v>
      </c>
      <c r="V994" t="s">
        <v>138</v>
      </c>
      <c r="W994">
        <f t="shared" si="275"/>
        <v>84.72</v>
      </c>
      <c r="Y994">
        <v>2008</v>
      </c>
      <c r="Z994">
        <f>2025-AVERAGE($Y$951:$Y$1050)</f>
        <v>17</v>
      </c>
      <c r="AA994" t="s">
        <v>391</v>
      </c>
      <c r="AB994">
        <v>0.89</v>
      </c>
      <c r="AC994" t="s">
        <v>1003</v>
      </c>
      <c r="AD994" s="3">
        <v>1E-3</v>
      </c>
      <c r="AE994">
        <v>1</v>
      </c>
      <c r="AF994" t="str">
        <f t="shared" si="276"/>
        <v>US</v>
      </c>
      <c r="AG994">
        <v>5</v>
      </c>
      <c r="AH994">
        <v>2</v>
      </c>
      <c r="AI994">
        <f t="shared" si="277"/>
        <v>2.84</v>
      </c>
      <c r="AJ994">
        <f t="shared" si="278"/>
        <v>2.17</v>
      </c>
      <c r="AK994" t="s">
        <v>112</v>
      </c>
      <c r="AL994">
        <v>25</v>
      </c>
      <c r="AN994" t="s">
        <v>527</v>
      </c>
      <c r="AO994">
        <v>4.4050000000000002</v>
      </c>
    </row>
    <row r="995" spans="1:41" ht="15.6">
      <c r="A995">
        <v>21</v>
      </c>
      <c r="B995" t="s">
        <v>1054</v>
      </c>
      <c r="C995" t="s">
        <v>564</v>
      </c>
      <c r="E995" s="3">
        <f t="shared" si="269"/>
        <v>77.173913043478265</v>
      </c>
      <c r="F995">
        <v>2016</v>
      </c>
      <c r="G995">
        <f t="shared" si="279"/>
        <v>9</v>
      </c>
      <c r="H995">
        <f t="shared" si="270"/>
        <v>0.13737906249999995</v>
      </c>
      <c r="J995">
        <f t="shared" si="271"/>
        <v>100</v>
      </c>
      <c r="K995">
        <v>3</v>
      </c>
      <c r="L995">
        <v>3</v>
      </c>
      <c r="M995" s="12">
        <f t="shared" si="272"/>
        <v>0.18191058592099621</v>
      </c>
      <c r="N995">
        <f t="shared" si="280"/>
        <v>4.2650977236283368E-2</v>
      </c>
      <c r="O995">
        <f t="shared" si="273"/>
        <v>0.42650977236283366</v>
      </c>
      <c r="P995" t="s">
        <v>23</v>
      </c>
      <c r="Q995" t="s">
        <v>529</v>
      </c>
      <c r="R995">
        <v>6.0960000000000001</v>
      </c>
      <c r="S995">
        <f t="shared" si="274"/>
        <v>4.1156400000000124</v>
      </c>
      <c r="U995">
        <v>59</v>
      </c>
      <c r="V995" t="s">
        <v>138</v>
      </c>
      <c r="W995">
        <f t="shared" si="275"/>
        <v>84.72</v>
      </c>
      <c r="Y995">
        <v>2008</v>
      </c>
      <c r="Z995">
        <f>2025-AVERAGE($Y$951:$Y$1050)</f>
        <v>17</v>
      </c>
      <c r="AA995" t="s">
        <v>389</v>
      </c>
      <c r="AB995">
        <v>0.96099999999999997</v>
      </c>
      <c r="AC995" t="s">
        <v>1004</v>
      </c>
      <c r="AD995" s="3">
        <v>0</v>
      </c>
      <c r="AE995">
        <v>1</v>
      </c>
      <c r="AF995" t="str">
        <f t="shared" si="276"/>
        <v>US</v>
      </c>
      <c r="AG995">
        <v>2</v>
      </c>
      <c r="AH995">
        <v>2</v>
      </c>
      <c r="AI995">
        <f t="shared" si="277"/>
        <v>2.84</v>
      </c>
      <c r="AJ995">
        <f t="shared" si="278"/>
        <v>2.17</v>
      </c>
      <c r="AK995" t="s">
        <v>112</v>
      </c>
      <c r="AL995">
        <v>25</v>
      </c>
      <c r="AN995" t="s">
        <v>527</v>
      </c>
      <c r="AO995">
        <v>4.4050000000000002</v>
      </c>
    </row>
    <row r="996" spans="1:41" ht="15.6">
      <c r="A996">
        <v>21</v>
      </c>
      <c r="B996" t="s">
        <v>1054</v>
      </c>
      <c r="C996" t="s">
        <v>564</v>
      </c>
      <c r="E996" s="3">
        <f t="shared" si="269"/>
        <v>77.173913043478265</v>
      </c>
      <c r="F996">
        <v>2016</v>
      </c>
      <c r="G996">
        <f t="shared" si="279"/>
        <v>9</v>
      </c>
      <c r="H996">
        <f t="shared" si="270"/>
        <v>0.13737906249999995</v>
      </c>
      <c r="J996">
        <f t="shared" si="271"/>
        <v>100</v>
      </c>
      <c r="K996">
        <v>3</v>
      </c>
      <c r="L996">
        <v>3</v>
      </c>
      <c r="M996" s="12">
        <f t="shared" si="272"/>
        <v>0.18191058592099621</v>
      </c>
      <c r="N996">
        <f t="shared" si="280"/>
        <v>4.2650977236283368E-2</v>
      </c>
      <c r="O996">
        <f t="shared" si="273"/>
        <v>0.42650977236283366</v>
      </c>
      <c r="P996" t="s">
        <v>970</v>
      </c>
      <c r="Q996" t="s">
        <v>529</v>
      </c>
      <c r="R996">
        <v>6.0960000000000001</v>
      </c>
      <c r="S996">
        <f t="shared" si="274"/>
        <v>4.1156400000000124</v>
      </c>
      <c r="U996">
        <v>131</v>
      </c>
      <c r="V996" t="s">
        <v>138</v>
      </c>
      <c r="W996">
        <f t="shared" si="275"/>
        <v>84.72</v>
      </c>
      <c r="Y996">
        <v>2008</v>
      </c>
      <c r="Z996">
        <f>2025-AVERAGE($Y$951:$Y$1050)</f>
        <v>17</v>
      </c>
      <c r="AA996" t="s">
        <v>389</v>
      </c>
      <c r="AB996">
        <v>0.05</v>
      </c>
      <c r="AC996" t="s">
        <v>1005</v>
      </c>
      <c r="AD996" s="3">
        <v>0.77</v>
      </c>
      <c r="AE996">
        <v>1</v>
      </c>
      <c r="AF996" t="str">
        <f t="shared" si="276"/>
        <v>US</v>
      </c>
      <c r="AG996">
        <v>2</v>
      </c>
      <c r="AH996">
        <v>1</v>
      </c>
      <c r="AI996">
        <f t="shared" si="277"/>
        <v>2.84</v>
      </c>
      <c r="AJ996">
        <f t="shared" si="278"/>
        <v>2.17</v>
      </c>
      <c r="AK996" t="s">
        <v>112</v>
      </c>
      <c r="AL996">
        <v>25</v>
      </c>
      <c r="AN996" t="s">
        <v>527</v>
      </c>
      <c r="AO996">
        <v>4.4050000000000002</v>
      </c>
    </row>
    <row r="997" spans="1:41" ht="15.6">
      <c r="A997">
        <v>21</v>
      </c>
      <c r="B997" t="s">
        <v>1054</v>
      </c>
      <c r="C997" t="s">
        <v>564</v>
      </c>
      <c r="E997" s="3">
        <f t="shared" si="269"/>
        <v>77.173913043478265</v>
      </c>
      <c r="F997">
        <v>2016</v>
      </c>
      <c r="G997">
        <f t="shared" si="279"/>
        <v>9</v>
      </c>
      <c r="H997">
        <f t="shared" si="270"/>
        <v>0.13737906249999995</v>
      </c>
      <c r="J997">
        <f t="shared" si="271"/>
        <v>100</v>
      </c>
      <c r="K997">
        <v>3</v>
      </c>
      <c r="L997">
        <v>3</v>
      </c>
      <c r="M997" s="12">
        <f t="shared" si="272"/>
        <v>0.18191058592099621</v>
      </c>
      <c r="N997">
        <f t="shared" si="280"/>
        <v>4.2650977236283368E-2</v>
      </c>
      <c r="O997">
        <f t="shared" si="273"/>
        <v>0.42650977236283366</v>
      </c>
      <c r="P997" t="s">
        <v>37</v>
      </c>
      <c r="Q997" t="s">
        <v>529</v>
      </c>
      <c r="R997">
        <v>6.0960000000000001</v>
      </c>
      <c r="S997">
        <f t="shared" si="274"/>
        <v>4.1156400000000124</v>
      </c>
      <c r="U997">
        <v>291</v>
      </c>
      <c r="V997" t="s">
        <v>138</v>
      </c>
      <c r="W997">
        <f t="shared" si="275"/>
        <v>84.72</v>
      </c>
      <c r="Y997">
        <v>2008</v>
      </c>
      <c r="Z997">
        <f>2025-AVERAGE($Y$951:$Y$1050)</f>
        <v>17</v>
      </c>
      <c r="AA997" t="s">
        <v>392</v>
      </c>
      <c r="AB997">
        <v>0.33200000000000002</v>
      </c>
      <c r="AC997" t="s">
        <v>1006</v>
      </c>
      <c r="AD997" s="3">
        <v>0.15</v>
      </c>
      <c r="AE997">
        <v>1</v>
      </c>
      <c r="AF997" t="str">
        <f t="shared" si="276"/>
        <v>US</v>
      </c>
      <c r="AG997">
        <v>2</v>
      </c>
      <c r="AH997">
        <v>1</v>
      </c>
      <c r="AI997">
        <f t="shared" si="277"/>
        <v>2.84</v>
      </c>
      <c r="AJ997">
        <f t="shared" si="278"/>
        <v>2.17</v>
      </c>
      <c r="AK997" t="s">
        <v>112</v>
      </c>
      <c r="AL997">
        <v>25</v>
      </c>
      <c r="AN997" t="s">
        <v>527</v>
      </c>
      <c r="AO997">
        <v>4.4050000000000002</v>
      </c>
    </row>
    <row r="998" spans="1:41" ht="15.6">
      <c r="A998">
        <v>21</v>
      </c>
      <c r="B998" t="s">
        <v>1054</v>
      </c>
      <c r="C998" t="s">
        <v>564</v>
      </c>
      <c r="E998" s="3">
        <f t="shared" si="269"/>
        <v>77.173913043478265</v>
      </c>
      <c r="F998">
        <v>2016</v>
      </c>
      <c r="G998">
        <f t="shared" si="279"/>
        <v>9</v>
      </c>
      <c r="H998">
        <f t="shared" si="270"/>
        <v>0.13737906249999995</v>
      </c>
      <c r="J998">
        <f t="shared" si="271"/>
        <v>100</v>
      </c>
      <c r="K998">
        <v>3</v>
      </c>
      <c r="L998">
        <v>3</v>
      </c>
      <c r="M998" s="12">
        <f t="shared" si="272"/>
        <v>0.18191058592099621</v>
      </c>
      <c r="N998">
        <f t="shared" si="280"/>
        <v>4.2650977236283368E-2</v>
      </c>
      <c r="O998">
        <f t="shared" si="273"/>
        <v>0.42650977236283366</v>
      </c>
      <c r="P998" t="s">
        <v>33</v>
      </c>
      <c r="Q998" t="s">
        <v>529</v>
      </c>
      <c r="R998">
        <v>6.0960000000000001</v>
      </c>
      <c r="S998">
        <f t="shared" si="274"/>
        <v>4.1156400000000124</v>
      </c>
      <c r="U998">
        <v>37</v>
      </c>
      <c r="V998" t="s">
        <v>138</v>
      </c>
      <c r="W998">
        <f t="shared" si="275"/>
        <v>84.72</v>
      </c>
      <c r="Y998">
        <v>2008</v>
      </c>
      <c r="Z998">
        <f>2025-AVERAGE($Y$951:$Y$1050)</f>
        <v>17</v>
      </c>
      <c r="AA998">
        <v>2E-3</v>
      </c>
      <c r="AB998">
        <v>0.49</v>
      </c>
      <c r="AC998" t="s">
        <v>1007</v>
      </c>
      <c r="AD998" s="3">
        <v>2E-3</v>
      </c>
      <c r="AE998">
        <v>1</v>
      </c>
      <c r="AF998" t="str">
        <f t="shared" si="276"/>
        <v>US</v>
      </c>
      <c r="AG998">
        <v>2</v>
      </c>
      <c r="AH998">
        <v>1</v>
      </c>
      <c r="AI998">
        <f t="shared" si="277"/>
        <v>2.84</v>
      </c>
      <c r="AJ998">
        <f t="shared" si="278"/>
        <v>2.17</v>
      </c>
      <c r="AK998" t="s">
        <v>112</v>
      </c>
      <c r="AL998">
        <v>25</v>
      </c>
      <c r="AN998" t="s">
        <v>527</v>
      </c>
      <c r="AO998">
        <v>4.4050000000000002</v>
      </c>
    </row>
    <row r="999" spans="1:41" ht="15.6">
      <c r="A999">
        <v>21</v>
      </c>
      <c r="B999" t="s">
        <v>1054</v>
      </c>
      <c r="C999" t="s">
        <v>564</v>
      </c>
      <c r="E999" s="3">
        <f t="shared" si="269"/>
        <v>77.173913043478265</v>
      </c>
      <c r="F999">
        <v>2016</v>
      </c>
      <c r="G999">
        <f t="shared" si="279"/>
        <v>9</v>
      </c>
      <c r="H999">
        <f t="shared" si="270"/>
        <v>0.13737906249999995</v>
      </c>
      <c r="J999">
        <f t="shared" si="271"/>
        <v>100</v>
      </c>
      <c r="K999">
        <v>3</v>
      </c>
      <c r="L999">
        <v>3</v>
      </c>
      <c r="M999" s="12">
        <f t="shared" si="272"/>
        <v>0.18191058592099621</v>
      </c>
      <c r="N999">
        <f t="shared" si="280"/>
        <v>4.2650977236283368E-2</v>
      </c>
      <c r="O999">
        <f t="shared" si="273"/>
        <v>0.42650977236283366</v>
      </c>
      <c r="P999" t="s">
        <v>62</v>
      </c>
      <c r="Q999" t="s">
        <v>529</v>
      </c>
      <c r="R999">
        <v>6.0960000000000001</v>
      </c>
      <c r="S999">
        <f t="shared" si="274"/>
        <v>4.1156400000000124</v>
      </c>
      <c r="U999">
        <v>25</v>
      </c>
      <c r="V999" t="s">
        <v>138</v>
      </c>
      <c r="W999">
        <f t="shared" si="275"/>
        <v>84.72</v>
      </c>
      <c r="Y999">
        <v>2008</v>
      </c>
      <c r="Z999">
        <f>2025-AVERAGE($Y$951:$Y$1050)</f>
        <v>17</v>
      </c>
      <c r="AA999" t="s">
        <v>389</v>
      </c>
      <c r="AB999">
        <v>2.8000000000000001E-2</v>
      </c>
      <c r="AC999" t="s">
        <v>1008</v>
      </c>
      <c r="AD999" s="3">
        <v>0.2</v>
      </c>
      <c r="AE999">
        <v>1</v>
      </c>
      <c r="AF999" t="str">
        <f t="shared" si="276"/>
        <v>US</v>
      </c>
      <c r="AG999">
        <v>2</v>
      </c>
      <c r="AH999">
        <v>1</v>
      </c>
      <c r="AI999">
        <f t="shared" si="277"/>
        <v>2.84</v>
      </c>
      <c r="AJ999">
        <f t="shared" si="278"/>
        <v>2.17</v>
      </c>
      <c r="AK999" t="s">
        <v>112</v>
      </c>
      <c r="AL999">
        <v>25</v>
      </c>
      <c r="AN999" t="s">
        <v>527</v>
      </c>
      <c r="AO999">
        <v>4.4050000000000002</v>
      </c>
    </row>
    <row r="1000" spans="1:41" ht="15.6">
      <c r="A1000">
        <v>21</v>
      </c>
      <c r="B1000" t="s">
        <v>1054</v>
      </c>
      <c r="C1000" t="s">
        <v>564</v>
      </c>
      <c r="E1000" s="3">
        <f t="shared" si="269"/>
        <v>77.173913043478265</v>
      </c>
      <c r="F1000">
        <v>2016</v>
      </c>
      <c r="G1000">
        <f t="shared" si="279"/>
        <v>9</v>
      </c>
      <c r="H1000">
        <f t="shared" si="270"/>
        <v>0.13737906249999995</v>
      </c>
      <c r="J1000">
        <f t="shared" si="271"/>
        <v>100</v>
      </c>
      <c r="K1000">
        <v>3</v>
      </c>
      <c r="L1000">
        <v>3</v>
      </c>
      <c r="M1000" s="12">
        <f t="shared" si="272"/>
        <v>0.18191058592099621</v>
      </c>
      <c r="N1000">
        <f t="shared" si="280"/>
        <v>4.2650977236283368E-2</v>
      </c>
      <c r="O1000">
        <f t="shared" si="273"/>
        <v>0.42650977236283366</v>
      </c>
      <c r="P1000" t="s">
        <v>971</v>
      </c>
      <c r="Q1000" t="s">
        <v>529</v>
      </c>
      <c r="R1000">
        <v>6.0960000000000001</v>
      </c>
      <c r="S1000">
        <f t="shared" si="274"/>
        <v>4.1156400000000124</v>
      </c>
      <c r="U1000">
        <v>124</v>
      </c>
      <c r="V1000" t="s">
        <v>138</v>
      </c>
      <c r="W1000">
        <f t="shared" si="275"/>
        <v>84.72</v>
      </c>
      <c r="Y1000">
        <v>2008</v>
      </c>
      <c r="Z1000">
        <f>2025-AVERAGE($Y$951:$Y$1050)</f>
        <v>17</v>
      </c>
      <c r="AA1000" t="s">
        <v>391</v>
      </c>
      <c r="AB1000">
        <v>0.75800000000000001</v>
      </c>
      <c r="AC1000" t="s">
        <v>1009</v>
      </c>
      <c r="AD1000" s="3">
        <v>0.159</v>
      </c>
      <c r="AE1000">
        <v>1</v>
      </c>
      <c r="AF1000" t="str">
        <f t="shared" si="276"/>
        <v>US</v>
      </c>
      <c r="AG1000">
        <v>2</v>
      </c>
      <c r="AH1000">
        <v>1</v>
      </c>
      <c r="AI1000">
        <f t="shared" si="277"/>
        <v>2.84</v>
      </c>
      <c r="AJ1000">
        <f t="shared" si="278"/>
        <v>2.17</v>
      </c>
      <c r="AK1000" t="s">
        <v>112</v>
      </c>
      <c r="AL1000">
        <v>25</v>
      </c>
      <c r="AN1000" t="s">
        <v>527</v>
      </c>
      <c r="AO1000">
        <v>4.4050000000000002</v>
      </c>
    </row>
    <row r="1001" spans="1:41" ht="15.6">
      <c r="A1001">
        <v>21</v>
      </c>
      <c r="B1001" t="s">
        <v>1054</v>
      </c>
      <c r="C1001" t="s">
        <v>564</v>
      </c>
      <c r="E1001" s="3">
        <f t="shared" si="269"/>
        <v>77.173913043478265</v>
      </c>
      <c r="F1001">
        <v>2016</v>
      </c>
      <c r="G1001">
        <f t="shared" si="279"/>
        <v>9</v>
      </c>
      <c r="H1001">
        <f t="shared" si="270"/>
        <v>0.13737906249999995</v>
      </c>
      <c r="J1001">
        <f t="shared" si="271"/>
        <v>100</v>
      </c>
      <c r="K1001">
        <v>3</v>
      </c>
      <c r="L1001">
        <v>3</v>
      </c>
      <c r="M1001" s="12">
        <f t="shared" si="272"/>
        <v>0.18191058592099621</v>
      </c>
      <c r="N1001">
        <f t="shared" si="280"/>
        <v>4.2650977236283368E-2</v>
      </c>
      <c r="O1001">
        <f t="shared" si="273"/>
        <v>0.42650977236283366</v>
      </c>
      <c r="P1001" t="s">
        <v>58</v>
      </c>
      <c r="Q1001" t="s">
        <v>529</v>
      </c>
      <c r="R1001">
        <v>6.0960000000000001</v>
      </c>
      <c r="S1001">
        <f t="shared" si="274"/>
        <v>4.1156400000000124</v>
      </c>
      <c r="U1001">
        <v>27</v>
      </c>
      <c r="V1001" t="s">
        <v>138</v>
      </c>
      <c r="W1001">
        <f t="shared" si="275"/>
        <v>84.72</v>
      </c>
      <c r="Y1001">
        <v>2008</v>
      </c>
      <c r="Z1001">
        <f>2025-AVERAGE($Y$951:$Y$1050)</f>
        <v>17</v>
      </c>
      <c r="AA1001" t="s">
        <v>389</v>
      </c>
      <c r="AB1001">
        <v>0.19</v>
      </c>
      <c r="AC1001" t="s">
        <v>1010</v>
      </c>
      <c r="AD1001" s="3">
        <v>4.8000000000000001E-2</v>
      </c>
      <c r="AE1001">
        <v>1</v>
      </c>
      <c r="AF1001" t="str">
        <f t="shared" si="276"/>
        <v>US</v>
      </c>
      <c r="AG1001">
        <v>3</v>
      </c>
      <c r="AH1001">
        <v>2</v>
      </c>
      <c r="AI1001">
        <f t="shared" si="277"/>
        <v>2.84</v>
      </c>
      <c r="AJ1001">
        <f t="shared" si="278"/>
        <v>2.17</v>
      </c>
      <c r="AK1001" t="s">
        <v>112</v>
      </c>
      <c r="AL1001">
        <v>25</v>
      </c>
      <c r="AN1001" t="s">
        <v>527</v>
      </c>
      <c r="AO1001">
        <v>4.4050000000000002</v>
      </c>
    </row>
    <row r="1002" spans="1:41" ht="15.6">
      <c r="A1002">
        <v>21</v>
      </c>
      <c r="B1002" t="s">
        <v>1054</v>
      </c>
      <c r="C1002" t="s">
        <v>564</v>
      </c>
      <c r="E1002" s="3">
        <f t="shared" si="269"/>
        <v>77.173913043478265</v>
      </c>
      <c r="F1002">
        <v>2016</v>
      </c>
      <c r="G1002">
        <f t="shared" si="279"/>
        <v>9</v>
      </c>
      <c r="H1002">
        <f t="shared" si="270"/>
        <v>0.13737906249999995</v>
      </c>
      <c r="J1002">
        <f t="shared" si="271"/>
        <v>100</v>
      </c>
      <c r="K1002">
        <v>3</v>
      </c>
      <c r="L1002">
        <v>3</v>
      </c>
      <c r="M1002" s="12">
        <f t="shared" si="272"/>
        <v>0.18191058592099621</v>
      </c>
      <c r="N1002">
        <f t="shared" si="280"/>
        <v>4.2650977236283368E-2</v>
      </c>
      <c r="O1002">
        <f t="shared" si="273"/>
        <v>0.42650977236283366</v>
      </c>
      <c r="P1002" t="s">
        <v>11</v>
      </c>
      <c r="Q1002" t="s">
        <v>529</v>
      </c>
      <c r="R1002">
        <v>6.0960000000000001</v>
      </c>
      <c r="S1002">
        <f t="shared" si="274"/>
        <v>4.1156400000000124</v>
      </c>
      <c r="U1002">
        <v>138</v>
      </c>
      <c r="V1002" t="s">
        <v>138</v>
      </c>
      <c r="W1002">
        <f t="shared" si="275"/>
        <v>84.72</v>
      </c>
      <c r="Y1002">
        <v>2008</v>
      </c>
      <c r="Z1002">
        <f>2025-AVERAGE($Y$951:$Y$1050)</f>
        <v>17</v>
      </c>
      <c r="AA1002" t="s">
        <v>389</v>
      </c>
      <c r="AB1002">
        <v>0.23499999999999999</v>
      </c>
      <c r="AC1002" t="s">
        <v>1011</v>
      </c>
      <c r="AD1002" s="3">
        <v>0.01</v>
      </c>
      <c r="AE1002">
        <v>1</v>
      </c>
      <c r="AF1002" t="str">
        <f t="shared" si="276"/>
        <v>US</v>
      </c>
      <c r="AG1002">
        <v>2</v>
      </c>
      <c r="AH1002">
        <v>1</v>
      </c>
      <c r="AI1002">
        <f t="shared" si="277"/>
        <v>2.84</v>
      </c>
      <c r="AJ1002">
        <f t="shared" si="278"/>
        <v>2.17</v>
      </c>
      <c r="AK1002" t="s">
        <v>112</v>
      </c>
      <c r="AL1002">
        <v>25</v>
      </c>
      <c r="AN1002" t="s">
        <v>527</v>
      </c>
      <c r="AO1002">
        <v>4.4050000000000002</v>
      </c>
    </row>
    <row r="1003" spans="1:41" ht="15.6">
      <c r="A1003">
        <v>21</v>
      </c>
      <c r="B1003" t="s">
        <v>1054</v>
      </c>
      <c r="C1003" t="s">
        <v>564</v>
      </c>
      <c r="E1003" s="3">
        <f t="shared" si="269"/>
        <v>77.173913043478265</v>
      </c>
      <c r="F1003">
        <v>2016</v>
      </c>
      <c r="G1003">
        <f t="shared" si="279"/>
        <v>9</v>
      </c>
      <c r="H1003">
        <f t="shared" si="270"/>
        <v>0.13737906249999995</v>
      </c>
      <c r="J1003">
        <f t="shared" si="271"/>
        <v>100</v>
      </c>
      <c r="K1003">
        <v>3</v>
      </c>
      <c r="L1003">
        <v>3</v>
      </c>
      <c r="M1003" s="12">
        <f t="shared" si="272"/>
        <v>0.18191058592099621</v>
      </c>
      <c r="N1003">
        <f t="shared" si="280"/>
        <v>4.2650977236283368E-2</v>
      </c>
      <c r="O1003">
        <f t="shared" si="273"/>
        <v>0.42650977236283366</v>
      </c>
      <c r="P1003" t="s">
        <v>70</v>
      </c>
      <c r="Q1003" t="s">
        <v>529</v>
      </c>
      <c r="R1003">
        <v>6.0960000000000001</v>
      </c>
      <c r="S1003">
        <f t="shared" si="274"/>
        <v>4.1156400000000124</v>
      </c>
      <c r="U1003">
        <v>141</v>
      </c>
      <c r="V1003" t="s">
        <v>138</v>
      </c>
      <c r="W1003">
        <f t="shared" si="275"/>
        <v>84.72</v>
      </c>
      <c r="Y1003">
        <v>2008</v>
      </c>
      <c r="Z1003">
        <f>2025-AVERAGE($Y$951:$Y$1050)</f>
        <v>17</v>
      </c>
      <c r="AA1003" t="s">
        <v>389</v>
      </c>
      <c r="AB1003">
        <v>8.5999999999999993E-2</v>
      </c>
      <c r="AC1003" t="s">
        <v>1012</v>
      </c>
      <c r="AD1003" s="3">
        <v>0.27</v>
      </c>
      <c r="AE1003">
        <v>1</v>
      </c>
      <c r="AF1003" t="str">
        <f t="shared" si="276"/>
        <v>US</v>
      </c>
      <c r="AG1003">
        <v>2</v>
      </c>
      <c r="AH1003">
        <v>3</v>
      </c>
      <c r="AI1003">
        <f t="shared" si="277"/>
        <v>2.84</v>
      </c>
      <c r="AJ1003">
        <f t="shared" si="278"/>
        <v>2.17</v>
      </c>
      <c r="AK1003" t="s">
        <v>112</v>
      </c>
      <c r="AL1003">
        <v>25</v>
      </c>
      <c r="AN1003" t="s">
        <v>527</v>
      </c>
      <c r="AO1003">
        <v>4.4050000000000002</v>
      </c>
    </row>
    <row r="1004" spans="1:41" ht="15.6">
      <c r="A1004">
        <v>21</v>
      </c>
      <c r="B1004" t="s">
        <v>1054</v>
      </c>
      <c r="C1004" t="s">
        <v>564</v>
      </c>
      <c r="E1004" s="3">
        <f t="shared" si="269"/>
        <v>77.173913043478265</v>
      </c>
      <c r="F1004">
        <v>2016</v>
      </c>
      <c r="G1004">
        <f t="shared" si="279"/>
        <v>9</v>
      </c>
      <c r="H1004">
        <f t="shared" si="270"/>
        <v>0.13737906249999995</v>
      </c>
      <c r="J1004">
        <f t="shared" si="271"/>
        <v>100</v>
      </c>
      <c r="K1004">
        <v>3</v>
      </c>
      <c r="L1004">
        <v>3</v>
      </c>
      <c r="M1004" s="12">
        <f t="shared" si="272"/>
        <v>0.18191058592099621</v>
      </c>
      <c r="N1004">
        <f t="shared" si="280"/>
        <v>4.2650977236283368E-2</v>
      </c>
      <c r="O1004">
        <f t="shared" si="273"/>
        <v>0.42650977236283366</v>
      </c>
      <c r="P1004" t="s">
        <v>64</v>
      </c>
      <c r="Q1004" t="s">
        <v>529</v>
      </c>
      <c r="R1004">
        <v>6.0960000000000001</v>
      </c>
      <c r="S1004">
        <f t="shared" si="274"/>
        <v>4.1156400000000124</v>
      </c>
      <c r="U1004">
        <v>65</v>
      </c>
      <c r="V1004" t="s">
        <v>138</v>
      </c>
      <c r="W1004">
        <f t="shared" si="275"/>
        <v>84.72</v>
      </c>
      <c r="Y1004">
        <v>2008</v>
      </c>
      <c r="Z1004">
        <f>2025-AVERAGE($Y$951:$Y$1050)</f>
        <v>17</v>
      </c>
      <c r="AA1004">
        <v>1E-3</v>
      </c>
      <c r="AB1004">
        <v>8.0000000000000002E-3</v>
      </c>
      <c r="AC1004" t="s">
        <v>1013</v>
      </c>
      <c r="AD1004" s="3">
        <v>0.46</v>
      </c>
      <c r="AE1004">
        <v>1</v>
      </c>
      <c r="AF1004" t="str">
        <f t="shared" si="276"/>
        <v>US</v>
      </c>
      <c r="AG1004">
        <v>3</v>
      </c>
      <c r="AH1004">
        <v>1</v>
      </c>
      <c r="AI1004">
        <f t="shared" si="277"/>
        <v>2.84</v>
      </c>
      <c r="AJ1004">
        <f t="shared" si="278"/>
        <v>2.17</v>
      </c>
      <c r="AK1004" t="s">
        <v>112</v>
      </c>
      <c r="AL1004">
        <v>25</v>
      </c>
      <c r="AN1004" t="s">
        <v>527</v>
      </c>
      <c r="AO1004">
        <v>4.4050000000000002</v>
      </c>
    </row>
    <row r="1005" spans="1:41" ht="15.6">
      <c r="A1005">
        <v>21</v>
      </c>
      <c r="B1005" t="s">
        <v>1054</v>
      </c>
      <c r="C1005" t="s">
        <v>564</v>
      </c>
      <c r="E1005" s="3">
        <f t="shared" si="269"/>
        <v>77.173913043478265</v>
      </c>
      <c r="F1005">
        <v>2016</v>
      </c>
      <c r="G1005">
        <f t="shared" si="279"/>
        <v>9</v>
      </c>
      <c r="H1005">
        <f t="shared" si="270"/>
        <v>0.13737906249999995</v>
      </c>
      <c r="J1005">
        <f t="shared" si="271"/>
        <v>100</v>
      </c>
      <c r="K1005">
        <v>3</v>
      </c>
      <c r="L1005">
        <v>3</v>
      </c>
      <c r="M1005" s="12">
        <f t="shared" si="272"/>
        <v>0.18191058592099621</v>
      </c>
      <c r="N1005">
        <f t="shared" si="280"/>
        <v>4.2650977236283368E-2</v>
      </c>
      <c r="O1005">
        <f t="shared" si="273"/>
        <v>0.42650977236283366</v>
      </c>
      <c r="P1005" t="s">
        <v>50</v>
      </c>
      <c r="Q1005" t="s">
        <v>529</v>
      </c>
      <c r="R1005">
        <v>6.0960000000000001</v>
      </c>
      <c r="S1005">
        <f t="shared" si="274"/>
        <v>4.1156400000000124</v>
      </c>
      <c r="U1005">
        <v>86</v>
      </c>
      <c r="V1005" t="s">
        <v>138</v>
      </c>
      <c r="W1005">
        <f t="shared" si="275"/>
        <v>84.72</v>
      </c>
      <c r="Y1005">
        <v>2008</v>
      </c>
      <c r="Z1005">
        <f>2025-AVERAGE($Y$951:$Y$1050)</f>
        <v>17</v>
      </c>
      <c r="AA1005">
        <v>0.02</v>
      </c>
      <c r="AB1005">
        <v>0.14000000000000001</v>
      </c>
      <c r="AC1005" t="s">
        <v>1014</v>
      </c>
      <c r="AD1005" s="3">
        <v>0.03</v>
      </c>
      <c r="AE1005">
        <v>1</v>
      </c>
      <c r="AF1005" t="str">
        <f t="shared" si="276"/>
        <v>US</v>
      </c>
      <c r="AG1005">
        <v>3</v>
      </c>
      <c r="AH1005">
        <v>1</v>
      </c>
      <c r="AI1005">
        <f t="shared" si="277"/>
        <v>2.84</v>
      </c>
      <c r="AJ1005">
        <f t="shared" si="278"/>
        <v>2.17</v>
      </c>
      <c r="AK1005" t="s">
        <v>112</v>
      </c>
      <c r="AL1005">
        <v>25</v>
      </c>
      <c r="AN1005" t="s">
        <v>527</v>
      </c>
      <c r="AO1005">
        <v>4.4050000000000002</v>
      </c>
    </row>
    <row r="1006" spans="1:41" ht="15.6">
      <c r="A1006">
        <v>21</v>
      </c>
      <c r="B1006" t="s">
        <v>1054</v>
      </c>
      <c r="C1006" t="s">
        <v>564</v>
      </c>
      <c r="E1006" s="3">
        <f t="shared" si="269"/>
        <v>77.173913043478265</v>
      </c>
      <c r="F1006">
        <v>2016</v>
      </c>
      <c r="G1006">
        <f t="shared" si="279"/>
        <v>9</v>
      </c>
      <c r="H1006">
        <f t="shared" si="270"/>
        <v>0.13737906249999995</v>
      </c>
      <c r="J1006">
        <f t="shared" si="271"/>
        <v>100</v>
      </c>
      <c r="K1006">
        <v>3</v>
      </c>
      <c r="L1006">
        <v>3</v>
      </c>
      <c r="M1006" s="12">
        <f t="shared" si="272"/>
        <v>0.18191058592099621</v>
      </c>
      <c r="N1006">
        <f t="shared" si="280"/>
        <v>4.2650977236283368E-2</v>
      </c>
      <c r="O1006">
        <f t="shared" si="273"/>
        <v>0.42650977236283366</v>
      </c>
      <c r="P1006" t="s">
        <v>25</v>
      </c>
      <c r="Q1006" t="s">
        <v>529</v>
      </c>
      <c r="R1006">
        <v>6.0960000000000001</v>
      </c>
      <c r="S1006">
        <f t="shared" si="274"/>
        <v>4.1156400000000124</v>
      </c>
      <c r="U1006">
        <v>165</v>
      </c>
      <c r="V1006" t="s">
        <v>138</v>
      </c>
      <c r="W1006">
        <f t="shared" si="275"/>
        <v>84.72</v>
      </c>
      <c r="Y1006">
        <v>2008</v>
      </c>
      <c r="Z1006">
        <f>2025-AVERAGE($Y$951:$Y$1050)</f>
        <v>17</v>
      </c>
      <c r="AA1006" t="s">
        <v>391</v>
      </c>
      <c r="AB1006">
        <v>0.92800000000000005</v>
      </c>
      <c r="AC1006" t="s">
        <v>995</v>
      </c>
      <c r="AD1006" s="3">
        <v>2E-3</v>
      </c>
      <c r="AE1006">
        <v>1</v>
      </c>
      <c r="AF1006" t="str">
        <f t="shared" si="276"/>
        <v>US</v>
      </c>
      <c r="AG1006">
        <v>3</v>
      </c>
      <c r="AH1006">
        <v>5</v>
      </c>
      <c r="AI1006">
        <f t="shared" si="277"/>
        <v>2.84</v>
      </c>
      <c r="AJ1006">
        <f t="shared" si="278"/>
        <v>2.17</v>
      </c>
      <c r="AK1006" t="s">
        <v>112</v>
      </c>
      <c r="AL1006">
        <v>25</v>
      </c>
      <c r="AN1006" t="s">
        <v>527</v>
      </c>
      <c r="AO1006">
        <v>4.4050000000000002</v>
      </c>
    </row>
    <row r="1007" spans="1:41" ht="15.6">
      <c r="A1007">
        <v>21</v>
      </c>
      <c r="B1007" t="s">
        <v>1054</v>
      </c>
      <c r="C1007" t="s">
        <v>564</v>
      </c>
      <c r="E1007" s="3">
        <f t="shared" si="269"/>
        <v>77.173913043478265</v>
      </c>
      <c r="F1007">
        <v>2016</v>
      </c>
      <c r="G1007">
        <f t="shared" si="279"/>
        <v>9</v>
      </c>
      <c r="H1007">
        <f t="shared" si="270"/>
        <v>0.13737906249999995</v>
      </c>
      <c r="J1007">
        <f t="shared" si="271"/>
        <v>100</v>
      </c>
      <c r="K1007">
        <v>3</v>
      </c>
      <c r="L1007">
        <v>3</v>
      </c>
      <c r="M1007" s="12">
        <f t="shared" si="272"/>
        <v>0.18191058592099621</v>
      </c>
      <c r="N1007">
        <f t="shared" si="280"/>
        <v>4.2650977236283368E-2</v>
      </c>
      <c r="O1007">
        <f t="shared" si="273"/>
        <v>0.42650977236283366</v>
      </c>
      <c r="P1007" t="s">
        <v>30</v>
      </c>
      <c r="Q1007" t="s">
        <v>529</v>
      </c>
      <c r="R1007">
        <v>6.0960000000000001</v>
      </c>
      <c r="S1007">
        <f t="shared" si="274"/>
        <v>4.1156400000000124</v>
      </c>
      <c r="U1007">
        <v>202</v>
      </c>
      <c r="V1007" t="s">
        <v>138</v>
      </c>
      <c r="W1007">
        <f t="shared" si="275"/>
        <v>84.72</v>
      </c>
      <c r="Y1007">
        <v>2008</v>
      </c>
      <c r="Z1007">
        <f>2025-AVERAGE($Y$951:$Y$1050)</f>
        <v>17</v>
      </c>
      <c r="AA1007">
        <v>0.48</v>
      </c>
      <c r="AB1007">
        <v>0.87</v>
      </c>
      <c r="AC1007" t="s">
        <v>1015</v>
      </c>
      <c r="AD1007" s="3">
        <v>0.01</v>
      </c>
      <c r="AE1007">
        <v>1</v>
      </c>
      <c r="AF1007" t="str">
        <f t="shared" si="276"/>
        <v>US</v>
      </c>
      <c r="AG1007">
        <v>2</v>
      </c>
      <c r="AH1007">
        <v>2</v>
      </c>
      <c r="AI1007">
        <f t="shared" si="277"/>
        <v>2.84</v>
      </c>
      <c r="AJ1007">
        <f t="shared" si="278"/>
        <v>2.17</v>
      </c>
      <c r="AK1007" t="s">
        <v>112</v>
      </c>
      <c r="AL1007">
        <v>25</v>
      </c>
      <c r="AN1007" t="s">
        <v>527</v>
      </c>
      <c r="AO1007">
        <v>4.4050000000000002</v>
      </c>
    </row>
    <row r="1008" spans="1:41" ht="15.6">
      <c r="A1008">
        <v>21</v>
      </c>
      <c r="B1008" t="s">
        <v>1054</v>
      </c>
      <c r="C1008" t="s">
        <v>564</v>
      </c>
      <c r="E1008" s="3">
        <f t="shared" si="269"/>
        <v>77.173913043478265</v>
      </c>
      <c r="F1008">
        <v>2016</v>
      </c>
      <c r="G1008">
        <f t="shared" si="279"/>
        <v>9</v>
      </c>
      <c r="H1008">
        <f t="shared" si="270"/>
        <v>0.13737906249999995</v>
      </c>
      <c r="J1008">
        <f t="shared" si="271"/>
        <v>100</v>
      </c>
      <c r="K1008">
        <v>3</v>
      </c>
      <c r="L1008">
        <v>3</v>
      </c>
      <c r="M1008" s="12">
        <f t="shared" si="272"/>
        <v>0.18191058592099621</v>
      </c>
      <c r="N1008">
        <f t="shared" si="280"/>
        <v>4.2650977236283368E-2</v>
      </c>
      <c r="O1008">
        <f t="shared" si="273"/>
        <v>0.42650977236283366</v>
      </c>
      <c r="P1008" t="s">
        <v>9</v>
      </c>
      <c r="Q1008" t="s">
        <v>529</v>
      </c>
      <c r="R1008">
        <v>6.0960000000000001</v>
      </c>
      <c r="S1008">
        <f t="shared" si="274"/>
        <v>4.1156400000000124</v>
      </c>
      <c r="U1008">
        <v>117</v>
      </c>
      <c r="V1008" t="s">
        <v>138</v>
      </c>
      <c r="W1008">
        <f t="shared" si="275"/>
        <v>84.72</v>
      </c>
      <c r="Y1008">
        <v>2008</v>
      </c>
      <c r="Z1008">
        <f>2025-AVERAGE($Y$951:$Y$1050)</f>
        <v>17</v>
      </c>
      <c r="AA1008" t="s">
        <v>391</v>
      </c>
      <c r="AB1008">
        <v>0.26500000000000001</v>
      </c>
      <c r="AC1008" t="s">
        <v>1016</v>
      </c>
      <c r="AD1008" s="3">
        <v>-0.23100000000000001</v>
      </c>
      <c r="AE1008">
        <v>1</v>
      </c>
      <c r="AF1008" t="str">
        <f t="shared" si="276"/>
        <v>US</v>
      </c>
      <c r="AG1008">
        <v>4</v>
      </c>
      <c r="AH1008">
        <v>4</v>
      </c>
      <c r="AI1008">
        <f t="shared" si="277"/>
        <v>2.84</v>
      </c>
      <c r="AJ1008">
        <f t="shared" si="278"/>
        <v>2.17</v>
      </c>
      <c r="AK1008" t="s">
        <v>112</v>
      </c>
      <c r="AL1008">
        <v>25</v>
      </c>
      <c r="AN1008" t="s">
        <v>527</v>
      </c>
      <c r="AO1008">
        <v>4.4050000000000002</v>
      </c>
    </row>
    <row r="1009" spans="1:41" ht="15.6">
      <c r="A1009">
        <v>21</v>
      </c>
      <c r="B1009" t="s">
        <v>1054</v>
      </c>
      <c r="C1009" t="s">
        <v>564</v>
      </c>
      <c r="E1009" s="3">
        <f t="shared" si="269"/>
        <v>77.173913043478265</v>
      </c>
      <c r="F1009">
        <v>2016</v>
      </c>
      <c r="G1009">
        <f t="shared" si="279"/>
        <v>9</v>
      </c>
      <c r="H1009">
        <f t="shared" si="270"/>
        <v>0.13737906249999995</v>
      </c>
      <c r="J1009">
        <f t="shared" si="271"/>
        <v>100</v>
      </c>
      <c r="K1009">
        <v>3</v>
      </c>
      <c r="L1009">
        <v>3</v>
      </c>
      <c r="M1009" s="12">
        <f t="shared" si="272"/>
        <v>0.18191058592099621</v>
      </c>
      <c r="N1009">
        <f t="shared" si="280"/>
        <v>4.2650977236283368E-2</v>
      </c>
      <c r="O1009">
        <f t="shared" si="273"/>
        <v>0.42650977236283366</v>
      </c>
      <c r="P1009" t="s">
        <v>73</v>
      </c>
      <c r="Q1009" t="s">
        <v>529</v>
      </c>
      <c r="R1009">
        <v>6.0960000000000001</v>
      </c>
      <c r="S1009">
        <f t="shared" si="274"/>
        <v>4.1156400000000124</v>
      </c>
      <c r="U1009">
        <v>51</v>
      </c>
      <c r="V1009" t="s">
        <v>138</v>
      </c>
      <c r="W1009">
        <f t="shared" si="275"/>
        <v>84.72</v>
      </c>
      <c r="Y1009">
        <v>2008</v>
      </c>
      <c r="Z1009">
        <f>2025-AVERAGE($Y$951:$Y$1050)</f>
        <v>17</v>
      </c>
      <c r="AA1009" t="s">
        <v>389</v>
      </c>
      <c r="AB1009">
        <v>1.175E-2</v>
      </c>
      <c r="AC1009" t="s">
        <v>1017</v>
      </c>
      <c r="AD1009" s="3">
        <v>0.19700000000000001</v>
      </c>
      <c r="AE1009">
        <v>1</v>
      </c>
      <c r="AF1009" t="str">
        <f t="shared" si="276"/>
        <v>US</v>
      </c>
      <c r="AG1009">
        <v>1</v>
      </c>
      <c r="AH1009">
        <v>1</v>
      </c>
      <c r="AI1009">
        <f t="shared" si="277"/>
        <v>2.84</v>
      </c>
      <c r="AJ1009">
        <f t="shared" si="278"/>
        <v>2.17</v>
      </c>
      <c r="AK1009" t="s">
        <v>112</v>
      </c>
      <c r="AL1009">
        <v>25</v>
      </c>
      <c r="AN1009" t="s">
        <v>527</v>
      </c>
      <c r="AO1009">
        <v>4.4050000000000002</v>
      </c>
    </row>
    <row r="1010" spans="1:41" ht="15.6">
      <c r="A1010">
        <v>21</v>
      </c>
      <c r="B1010" t="s">
        <v>1054</v>
      </c>
      <c r="C1010" t="s">
        <v>564</v>
      </c>
      <c r="E1010" s="3">
        <f t="shared" si="269"/>
        <v>77.173913043478265</v>
      </c>
      <c r="F1010">
        <v>2016</v>
      </c>
      <c r="G1010">
        <f t="shared" si="279"/>
        <v>9</v>
      </c>
      <c r="H1010">
        <f t="shared" si="270"/>
        <v>0.13737906249999995</v>
      </c>
      <c r="J1010">
        <f t="shared" si="271"/>
        <v>100</v>
      </c>
      <c r="K1010">
        <v>3</v>
      </c>
      <c r="L1010">
        <v>3</v>
      </c>
      <c r="M1010" s="12">
        <f t="shared" si="272"/>
        <v>0.18191058592099621</v>
      </c>
      <c r="N1010">
        <f t="shared" si="280"/>
        <v>4.2650977236283368E-2</v>
      </c>
      <c r="O1010">
        <f t="shared" si="273"/>
        <v>0.42650977236283366</v>
      </c>
      <c r="P1010" t="s">
        <v>15</v>
      </c>
      <c r="Q1010" t="s">
        <v>529</v>
      </c>
      <c r="R1010">
        <v>6.0960000000000001</v>
      </c>
      <c r="S1010">
        <f t="shared" si="274"/>
        <v>4.1156400000000124</v>
      </c>
      <c r="U1010">
        <v>240</v>
      </c>
      <c r="V1010" t="s">
        <v>138</v>
      </c>
      <c r="W1010">
        <f t="shared" si="275"/>
        <v>84.72</v>
      </c>
      <c r="Y1010">
        <v>2008</v>
      </c>
      <c r="Z1010">
        <f>2025-AVERAGE($Y$951:$Y$1050)</f>
        <v>17</v>
      </c>
      <c r="AA1010">
        <v>1E-3</v>
      </c>
      <c r="AB1010">
        <v>0.154</v>
      </c>
      <c r="AC1010" t="s">
        <v>1018</v>
      </c>
      <c r="AD1010" s="3">
        <v>1E-3</v>
      </c>
      <c r="AE1010">
        <v>1</v>
      </c>
      <c r="AF1010" t="str">
        <f t="shared" si="276"/>
        <v>US</v>
      </c>
      <c r="AG1010">
        <v>5</v>
      </c>
      <c r="AH1010">
        <v>1</v>
      </c>
      <c r="AI1010">
        <f t="shared" si="277"/>
        <v>2.84</v>
      </c>
      <c r="AJ1010">
        <f t="shared" si="278"/>
        <v>2.17</v>
      </c>
      <c r="AK1010" t="s">
        <v>112</v>
      </c>
      <c r="AL1010">
        <v>25</v>
      </c>
      <c r="AN1010" t="s">
        <v>527</v>
      </c>
      <c r="AO1010">
        <v>4.4050000000000002</v>
      </c>
    </row>
    <row r="1011" spans="1:41" ht="15.6">
      <c r="A1011">
        <v>21</v>
      </c>
      <c r="B1011" t="s">
        <v>1054</v>
      </c>
      <c r="C1011" t="s">
        <v>564</v>
      </c>
      <c r="E1011" s="3">
        <f t="shared" si="269"/>
        <v>77.173913043478265</v>
      </c>
      <c r="F1011">
        <v>2016</v>
      </c>
      <c r="G1011">
        <f t="shared" si="279"/>
        <v>9</v>
      </c>
      <c r="H1011">
        <f t="shared" si="270"/>
        <v>0.13737906249999995</v>
      </c>
      <c r="J1011">
        <f t="shared" si="271"/>
        <v>100</v>
      </c>
      <c r="K1011">
        <v>3</v>
      </c>
      <c r="L1011">
        <v>3</v>
      </c>
      <c r="M1011" s="12">
        <f t="shared" si="272"/>
        <v>0.18191058592099621</v>
      </c>
      <c r="N1011">
        <f t="shared" si="280"/>
        <v>4.2650977236283368E-2</v>
      </c>
      <c r="O1011">
        <f t="shared" si="273"/>
        <v>0.42650977236283366</v>
      </c>
      <c r="P1011" t="s">
        <v>27</v>
      </c>
      <c r="Q1011" t="s">
        <v>527</v>
      </c>
      <c r="R1011">
        <v>3.6070000000000002</v>
      </c>
      <c r="S1011">
        <f t="shared" si="274"/>
        <v>4.1156400000000124</v>
      </c>
      <c r="U1011">
        <v>109</v>
      </c>
      <c r="V1011" t="s">
        <v>138</v>
      </c>
      <c r="W1011">
        <f t="shared" si="275"/>
        <v>84.72</v>
      </c>
      <c r="Y1011">
        <v>2008</v>
      </c>
      <c r="Z1011">
        <f>2025-AVERAGE($Y$951:$Y$1050)</f>
        <v>17</v>
      </c>
      <c r="AA1011">
        <v>0.05</v>
      </c>
      <c r="AB1011">
        <v>0.53</v>
      </c>
      <c r="AC1011" t="s">
        <v>1019</v>
      </c>
      <c r="AD1011" s="3">
        <v>0.02</v>
      </c>
      <c r="AE1011">
        <v>1</v>
      </c>
      <c r="AF1011" t="str">
        <f t="shared" si="276"/>
        <v>US</v>
      </c>
      <c r="AG1011">
        <v>2</v>
      </c>
      <c r="AH1011">
        <v>1</v>
      </c>
      <c r="AI1011">
        <f t="shared" si="277"/>
        <v>2.84</v>
      </c>
      <c r="AJ1011">
        <f t="shared" si="278"/>
        <v>2.17</v>
      </c>
      <c r="AK1011" t="s">
        <v>112</v>
      </c>
      <c r="AL1011">
        <v>25</v>
      </c>
      <c r="AN1011" t="s">
        <v>527</v>
      </c>
      <c r="AO1011">
        <v>4.4050000000000002</v>
      </c>
    </row>
    <row r="1012" spans="1:41" ht="15.6">
      <c r="A1012">
        <v>21</v>
      </c>
      <c r="B1012" t="s">
        <v>1054</v>
      </c>
      <c r="C1012" t="s">
        <v>564</v>
      </c>
      <c r="E1012" s="3">
        <f t="shared" si="269"/>
        <v>77.173913043478265</v>
      </c>
      <c r="F1012">
        <v>2016</v>
      </c>
      <c r="G1012">
        <f t="shared" si="279"/>
        <v>9</v>
      </c>
      <c r="H1012">
        <f t="shared" si="270"/>
        <v>0.13737906249999995</v>
      </c>
      <c r="J1012">
        <f t="shared" si="271"/>
        <v>100</v>
      </c>
      <c r="K1012">
        <v>3</v>
      </c>
      <c r="L1012">
        <v>3</v>
      </c>
      <c r="M1012" s="12">
        <f t="shared" si="272"/>
        <v>0.18191058592099621</v>
      </c>
      <c r="N1012">
        <f t="shared" si="280"/>
        <v>4.2650977236283368E-2</v>
      </c>
      <c r="O1012">
        <f t="shared" si="273"/>
        <v>0.42650977236283366</v>
      </c>
      <c r="P1012" t="s">
        <v>6</v>
      </c>
      <c r="Q1012" t="s">
        <v>527</v>
      </c>
      <c r="R1012">
        <v>3.6070000000000002</v>
      </c>
      <c r="S1012">
        <f t="shared" si="274"/>
        <v>4.1156400000000124</v>
      </c>
      <c r="U1012">
        <v>52</v>
      </c>
      <c r="V1012" t="s">
        <v>138</v>
      </c>
      <c r="W1012">
        <f t="shared" si="275"/>
        <v>84.72</v>
      </c>
      <c r="Y1012">
        <v>2008</v>
      </c>
      <c r="Z1012">
        <f>2025-AVERAGE($Y$951:$Y$1050)</f>
        <v>17</v>
      </c>
      <c r="AA1012" t="s">
        <v>389</v>
      </c>
      <c r="AB1012">
        <v>0.13200000000000001</v>
      </c>
      <c r="AC1012" t="s">
        <v>1020</v>
      </c>
      <c r="AD1012" s="3">
        <v>0.48</v>
      </c>
      <c r="AE1012">
        <v>1</v>
      </c>
      <c r="AF1012" t="str">
        <f t="shared" si="276"/>
        <v>US</v>
      </c>
      <c r="AG1012">
        <v>2</v>
      </c>
      <c r="AH1012">
        <v>1</v>
      </c>
      <c r="AI1012">
        <f t="shared" si="277"/>
        <v>2.84</v>
      </c>
      <c r="AJ1012">
        <f t="shared" si="278"/>
        <v>2.17</v>
      </c>
      <c r="AK1012" t="s">
        <v>112</v>
      </c>
      <c r="AL1012">
        <v>25</v>
      </c>
      <c r="AN1012" t="s">
        <v>527</v>
      </c>
      <c r="AO1012">
        <v>4.4050000000000002</v>
      </c>
    </row>
    <row r="1013" spans="1:41" ht="15.6">
      <c r="A1013">
        <v>21</v>
      </c>
      <c r="B1013" t="s">
        <v>1054</v>
      </c>
      <c r="C1013" t="s">
        <v>564</v>
      </c>
      <c r="E1013" s="3">
        <f t="shared" si="269"/>
        <v>77.173913043478265</v>
      </c>
      <c r="F1013">
        <v>2016</v>
      </c>
      <c r="G1013">
        <f t="shared" si="279"/>
        <v>9</v>
      </c>
      <c r="H1013">
        <f t="shared" si="270"/>
        <v>0.13737906249999995</v>
      </c>
      <c r="J1013">
        <f t="shared" si="271"/>
        <v>100</v>
      </c>
      <c r="K1013">
        <v>3</v>
      </c>
      <c r="L1013">
        <v>3</v>
      </c>
      <c r="M1013" s="12">
        <f t="shared" si="272"/>
        <v>0.18191058592099621</v>
      </c>
      <c r="N1013">
        <f t="shared" si="280"/>
        <v>4.2650977236283368E-2</v>
      </c>
      <c r="O1013">
        <f t="shared" si="273"/>
        <v>0.42650977236283366</v>
      </c>
      <c r="P1013" t="s">
        <v>46</v>
      </c>
      <c r="Q1013" t="s">
        <v>527</v>
      </c>
      <c r="R1013">
        <v>3.6070000000000002</v>
      </c>
      <c r="S1013">
        <f t="shared" si="274"/>
        <v>4.1156400000000124</v>
      </c>
      <c r="U1013">
        <v>66</v>
      </c>
      <c r="V1013" t="s">
        <v>138</v>
      </c>
      <c r="W1013">
        <f t="shared" si="275"/>
        <v>84.72</v>
      </c>
      <c r="Y1013">
        <v>2008</v>
      </c>
      <c r="Z1013">
        <f>2025-AVERAGE($Y$951:$Y$1050)</f>
        <v>17</v>
      </c>
      <c r="AA1013" t="s">
        <v>393</v>
      </c>
      <c r="AB1013">
        <v>0.189</v>
      </c>
      <c r="AC1013" t="s">
        <v>1000</v>
      </c>
      <c r="AD1013" s="3">
        <v>-0.21</v>
      </c>
      <c r="AE1013">
        <v>1</v>
      </c>
      <c r="AF1013" t="str">
        <f t="shared" si="276"/>
        <v>US</v>
      </c>
      <c r="AG1013">
        <v>3</v>
      </c>
      <c r="AH1013">
        <v>2</v>
      </c>
      <c r="AI1013">
        <f t="shared" si="277"/>
        <v>2.84</v>
      </c>
      <c r="AJ1013">
        <f t="shared" si="278"/>
        <v>2.17</v>
      </c>
      <c r="AK1013" t="s">
        <v>112</v>
      </c>
      <c r="AL1013">
        <v>25</v>
      </c>
      <c r="AN1013" t="s">
        <v>527</v>
      </c>
      <c r="AO1013">
        <v>4.4050000000000002</v>
      </c>
    </row>
    <row r="1014" spans="1:41" ht="15.6">
      <c r="A1014">
        <v>21</v>
      </c>
      <c r="B1014" t="s">
        <v>1054</v>
      </c>
      <c r="C1014" t="s">
        <v>564</v>
      </c>
      <c r="E1014" s="3">
        <f t="shared" si="269"/>
        <v>77.173913043478265</v>
      </c>
      <c r="F1014">
        <v>2016</v>
      </c>
      <c r="G1014">
        <f t="shared" si="279"/>
        <v>9</v>
      </c>
      <c r="H1014">
        <f t="shared" si="270"/>
        <v>0.13737906249999995</v>
      </c>
      <c r="J1014">
        <f t="shared" si="271"/>
        <v>100</v>
      </c>
      <c r="K1014">
        <v>3</v>
      </c>
      <c r="L1014">
        <v>3</v>
      </c>
      <c r="M1014" s="12">
        <f t="shared" si="272"/>
        <v>0.18191058592099621</v>
      </c>
      <c r="N1014">
        <f t="shared" si="280"/>
        <v>4.2650977236283368E-2</v>
      </c>
      <c r="O1014">
        <f t="shared" si="273"/>
        <v>0.42650977236283366</v>
      </c>
      <c r="P1014" t="s">
        <v>41</v>
      </c>
      <c r="Q1014" t="s">
        <v>527</v>
      </c>
      <c r="R1014">
        <v>3.6070000000000002</v>
      </c>
      <c r="S1014">
        <f t="shared" si="274"/>
        <v>4.1156400000000124</v>
      </c>
      <c r="U1014">
        <v>37</v>
      </c>
      <c r="V1014" t="s">
        <v>138</v>
      </c>
      <c r="W1014">
        <f t="shared" si="275"/>
        <v>84.72</v>
      </c>
      <c r="Y1014">
        <v>2008</v>
      </c>
      <c r="Z1014">
        <f>2025-AVERAGE($Y$951:$Y$1050)</f>
        <v>17</v>
      </c>
      <c r="AA1014" t="s">
        <v>392</v>
      </c>
      <c r="AB1014">
        <v>0.28000000000000003</v>
      </c>
      <c r="AC1014" t="s">
        <v>1021</v>
      </c>
      <c r="AD1014" s="3">
        <v>8.0000000000000002E-3</v>
      </c>
      <c r="AE1014">
        <v>1</v>
      </c>
      <c r="AF1014" t="str">
        <f t="shared" si="276"/>
        <v>US</v>
      </c>
      <c r="AG1014">
        <v>4</v>
      </c>
      <c r="AH1014">
        <v>3</v>
      </c>
      <c r="AI1014">
        <f t="shared" si="277"/>
        <v>2.84</v>
      </c>
      <c r="AJ1014">
        <f t="shared" si="278"/>
        <v>2.17</v>
      </c>
      <c r="AK1014" t="s">
        <v>112</v>
      </c>
      <c r="AL1014">
        <v>25</v>
      </c>
      <c r="AN1014" t="s">
        <v>527</v>
      </c>
      <c r="AO1014">
        <v>4.4050000000000002</v>
      </c>
    </row>
    <row r="1015" spans="1:41" ht="15.6">
      <c r="A1015">
        <v>21</v>
      </c>
      <c r="B1015" t="s">
        <v>1054</v>
      </c>
      <c r="C1015" t="s">
        <v>564</v>
      </c>
      <c r="E1015" s="3">
        <f t="shared" si="269"/>
        <v>77.173913043478265</v>
      </c>
      <c r="F1015">
        <v>2016</v>
      </c>
      <c r="G1015">
        <f t="shared" si="279"/>
        <v>9</v>
      </c>
      <c r="H1015">
        <f t="shared" si="270"/>
        <v>0.13737906249999995</v>
      </c>
      <c r="J1015">
        <f t="shared" si="271"/>
        <v>100</v>
      </c>
      <c r="K1015">
        <v>3</v>
      </c>
      <c r="L1015">
        <v>3</v>
      </c>
      <c r="M1015" s="12">
        <f t="shared" si="272"/>
        <v>0.18191058592099621</v>
      </c>
      <c r="N1015">
        <f t="shared" ref="N1015:N1050" si="281">$O$951/SQRT($J$951)</f>
        <v>4.2650977236283368E-2</v>
      </c>
      <c r="O1015">
        <f t="shared" si="273"/>
        <v>0.42650977236283366</v>
      </c>
      <c r="P1015" t="s">
        <v>65</v>
      </c>
      <c r="Q1015" t="s">
        <v>527</v>
      </c>
      <c r="R1015">
        <v>3.6070000000000002</v>
      </c>
      <c r="S1015">
        <f t="shared" si="274"/>
        <v>4.1156400000000124</v>
      </c>
      <c r="U1015">
        <v>53</v>
      </c>
      <c r="V1015" t="s">
        <v>138</v>
      </c>
      <c r="W1015">
        <f t="shared" si="275"/>
        <v>84.72</v>
      </c>
      <c r="Y1015">
        <v>2008</v>
      </c>
      <c r="Z1015">
        <f>2025-AVERAGE($Y$951:$Y$1050)</f>
        <v>17</v>
      </c>
      <c r="AA1015" t="s">
        <v>405</v>
      </c>
      <c r="AB1015">
        <v>1.4E-2</v>
      </c>
      <c r="AC1015" t="s">
        <v>1022</v>
      </c>
      <c r="AD1015" s="3">
        <v>0.05</v>
      </c>
      <c r="AE1015">
        <v>1</v>
      </c>
      <c r="AF1015" t="str">
        <f t="shared" si="276"/>
        <v>US</v>
      </c>
      <c r="AG1015">
        <v>2</v>
      </c>
      <c r="AH1015">
        <v>1</v>
      </c>
      <c r="AI1015">
        <f t="shared" si="277"/>
        <v>2.84</v>
      </c>
      <c r="AJ1015">
        <f t="shared" si="278"/>
        <v>2.17</v>
      </c>
      <c r="AK1015" t="s">
        <v>112</v>
      </c>
      <c r="AL1015">
        <v>25</v>
      </c>
      <c r="AN1015" t="s">
        <v>527</v>
      </c>
      <c r="AO1015">
        <v>4.4050000000000002</v>
      </c>
    </row>
    <row r="1016" spans="1:41" ht="15.6">
      <c r="A1016">
        <v>21</v>
      </c>
      <c r="B1016" t="s">
        <v>1054</v>
      </c>
      <c r="C1016" t="s">
        <v>564</v>
      </c>
      <c r="E1016" s="3">
        <f t="shared" ref="E1016:E1050" si="282">100*(71/92)</f>
        <v>77.173913043478265</v>
      </c>
      <c r="F1016">
        <v>2016</v>
      </c>
      <c r="G1016">
        <f t="shared" si="279"/>
        <v>9</v>
      </c>
      <c r="H1016">
        <f t="shared" ref="H1016:H1050" si="283">AVERAGE($AD$951:$AD$1050)</f>
        <v>0.13737906249999995</v>
      </c>
      <c r="J1016">
        <f t="shared" ref="J1016:J1050" si="284">COUNTA($P$951:$P$1050)</f>
        <v>100</v>
      </c>
      <c r="K1016">
        <v>3</v>
      </c>
      <c r="L1016">
        <v>3</v>
      </c>
      <c r="M1016" s="12">
        <f t="shared" ref="M1016:M1050" si="285">_xlfn.VAR.P($AD$951:$AD$1050)</f>
        <v>0.18191058592099621</v>
      </c>
      <c r="N1016">
        <f t="shared" si="281"/>
        <v>4.2650977236283368E-2</v>
      </c>
      <c r="O1016">
        <f t="shared" ref="O1016:O1050" si="286">_xlfn.STDEV.P($AD$951:$AD$1050)</f>
        <v>0.42650977236283366</v>
      </c>
      <c r="P1016" t="s">
        <v>95</v>
      </c>
      <c r="Q1016" t="s">
        <v>527</v>
      </c>
      <c r="R1016">
        <v>3.6070000000000002</v>
      </c>
      <c r="S1016">
        <f t="shared" ref="S1016:S1050" si="287">AVERAGE($R$951:$R$1050)</f>
        <v>4.1156400000000124</v>
      </c>
      <c r="U1016">
        <v>103</v>
      </c>
      <c r="V1016" t="s">
        <v>138</v>
      </c>
      <c r="W1016">
        <f t="shared" ref="W1016:W1050" si="288">AVERAGE($U$951:$U$1050)</f>
        <v>84.72</v>
      </c>
      <c r="Y1016">
        <v>2008</v>
      </c>
      <c r="Z1016">
        <f>2025-AVERAGE($Y$951:$Y$1050)</f>
        <v>17</v>
      </c>
      <c r="AA1016" t="s">
        <v>389</v>
      </c>
      <c r="AB1016">
        <v>0.01</v>
      </c>
      <c r="AC1016" t="s">
        <v>1023</v>
      </c>
      <c r="AD1016" s="3">
        <v>-0.75</v>
      </c>
      <c r="AE1016">
        <v>1</v>
      </c>
      <c r="AF1016" t="str">
        <f t="shared" ref="AF1016:AF1079" si="289">IF(AE1016=1,"US","Non-US")</f>
        <v>US</v>
      </c>
      <c r="AG1016">
        <v>3</v>
      </c>
      <c r="AH1016">
        <v>3</v>
      </c>
      <c r="AI1016">
        <f t="shared" ref="AI1016:AI1050" si="290">AVERAGE($AG$951:$AG$1050)</f>
        <v>2.84</v>
      </c>
      <c r="AJ1016">
        <f t="shared" ref="AJ1016:AJ1050" si="291">AVERAGE($AH$951:$AH$1050)</f>
        <v>2.17</v>
      </c>
      <c r="AK1016" t="s">
        <v>112</v>
      </c>
      <c r="AL1016">
        <v>25</v>
      </c>
      <c r="AN1016" t="s">
        <v>527</v>
      </c>
      <c r="AO1016">
        <v>4.4050000000000002</v>
      </c>
    </row>
    <row r="1017" spans="1:41" ht="15.6">
      <c r="A1017">
        <v>21</v>
      </c>
      <c r="B1017" t="s">
        <v>1054</v>
      </c>
      <c r="C1017" t="s">
        <v>564</v>
      </c>
      <c r="E1017" s="3">
        <f t="shared" si="282"/>
        <v>77.173913043478265</v>
      </c>
      <c r="F1017">
        <v>2016</v>
      </c>
      <c r="G1017">
        <f t="shared" si="279"/>
        <v>9</v>
      </c>
      <c r="H1017">
        <f t="shared" si="283"/>
        <v>0.13737906249999995</v>
      </c>
      <c r="J1017">
        <f t="shared" si="284"/>
        <v>100</v>
      </c>
      <c r="K1017">
        <v>3</v>
      </c>
      <c r="L1017">
        <v>3</v>
      </c>
      <c r="M1017" s="12">
        <f t="shared" si="285"/>
        <v>0.18191058592099621</v>
      </c>
      <c r="N1017">
        <f t="shared" si="281"/>
        <v>4.2650977236283368E-2</v>
      </c>
      <c r="O1017">
        <f t="shared" si="286"/>
        <v>0.42650977236283366</v>
      </c>
      <c r="P1017" t="s">
        <v>96</v>
      </c>
      <c r="Q1017" t="s">
        <v>527</v>
      </c>
      <c r="R1017">
        <v>3.6070000000000002</v>
      </c>
      <c r="S1017">
        <f t="shared" si="287"/>
        <v>4.1156400000000124</v>
      </c>
      <c r="U1017">
        <v>32</v>
      </c>
      <c r="V1017" t="s">
        <v>138</v>
      </c>
      <c r="W1017">
        <f t="shared" si="288"/>
        <v>84.72</v>
      </c>
      <c r="Y1017">
        <v>2008</v>
      </c>
      <c r="Z1017">
        <f>2025-AVERAGE($Y$951:$Y$1050)</f>
        <v>17</v>
      </c>
      <c r="AA1017" t="s">
        <v>386</v>
      </c>
      <c r="AB1017">
        <v>9.9999999999999998E-13</v>
      </c>
      <c r="AC1017" t="s">
        <v>1024</v>
      </c>
      <c r="AD1017" s="3">
        <v>1.18</v>
      </c>
      <c r="AE1017">
        <v>1</v>
      </c>
      <c r="AF1017" t="str">
        <f t="shared" si="289"/>
        <v>US</v>
      </c>
      <c r="AG1017">
        <v>3</v>
      </c>
      <c r="AH1017">
        <v>4</v>
      </c>
      <c r="AI1017">
        <f t="shared" si="290"/>
        <v>2.84</v>
      </c>
      <c r="AJ1017">
        <f t="shared" si="291"/>
        <v>2.17</v>
      </c>
      <c r="AK1017" t="s">
        <v>112</v>
      </c>
      <c r="AL1017">
        <v>25</v>
      </c>
      <c r="AN1017" t="s">
        <v>527</v>
      </c>
      <c r="AO1017">
        <v>4.4050000000000002</v>
      </c>
    </row>
    <row r="1018" spans="1:41" ht="15.6">
      <c r="A1018">
        <v>21</v>
      </c>
      <c r="B1018" t="s">
        <v>1054</v>
      </c>
      <c r="C1018" t="s">
        <v>564</v>
      </c>
      <c r="E1018" s="3">
        <f t="shared" si="282"/>
        <v>77.173913043478265</v>
      </c>
      <c r="F1018">
        <v>2016</v>
      </c>
      <c r="G1018">
        <f t="shared" si="279"/>
        <v>9</v>
      </c>
      <c r="H1018">
        <f t="shared" si="283"/>
        <v>0.13737906249999995</v>
      </c>
      <c r="J1018">
        <f t="shared" si="284"/>
        <v>100</v>
      </c>
      <c r="K1018">
        <v>3</v>
      </c>
      <c r="L1018">
        <v>3</v>
      </c>
      <c r="M1018" s="12">
        <f t="shared" si="285"/>
        <v>0.18191058592099621</v>
      </c>
      <c r="N1018">
        <f t="shared" si="281"/>
        <v>4.2650977236283368E-2</v>
      </c>
      <c r="O1018">
        <f t="shared" si="286"/>
        <v>0.42650977236283366</v>
      </c>
      <c r="P1018" t="s">
        <v>91</v>
      </c>
      <c r="Q1018" t="s">
        <v>527</v>
      </c>
      <c r="R1018">
        <v>3.6070000000000002</v>
      </c>
      <c r="S1018">
        <f t="shared" si="287"/>
        <v>4.1156400000000124</v>
      </c>
      <c r="U1018">
        <v>248</v>
      </c>
      <c r="V1018" t="s">
        <v>138</v>
      </c>
      <c r="W1018">
        <f t="shared" si="288"/>
        <v>84.72</v>
      </c>
      <c r="Y1018">
        <v>2008</v>
      </c>
      <c r="Z1018">
        <f>2025-AVERAGE($Y$951:$Y$1050)</f>
        <v>17</v>
      </c>
      <c r="AA1018" t="s">
        <v>404</v>
      </c>
      <c r="AB1018">
        <v>1E-4</v>
      </c>
      <c r="AC1018" t="s">
        <v>1025</v>
      </c>
      <c r="AD1018" s="3">
        <v>0.42599999999999999</v>
      </c>
      <c r="AE1018">
        <v>1</v>
      </c>
      <c r="AF1018" t="str">
        <f t="shared" si="289"/>
        <v>US</v>
      </c>
      <c r="AG1018">
        <v>3</v>
      </c>
      <c r="AH1018">
        <v>1</v>
      </c>
      <c r="AI1018">
        <f t="shared" si="290"/>
        <v>2.84</v>
      </c>
      <c r="AJ1018">
        <f t="shared" si="291"/>
        <v>2.17</v>
      </c>
      <c r="AK1018" t="s">
        <v>112</v>
      </c>
      <c r="AL1018">
        <v>25</v>
      </c>
      <c r="AN1018" t="s">
        <v>527</v>
      </c>
      <c r="AO1018">
        <v>4.4050000000000002</v>
      </c>
    </row>
    <row r="1019" spans="1:41" ht="15.6">
      <c r="A1019">
        <v>21</v>
      </c>
      <c r="B1019" t="s">
        <v>1054</v>
      </c>
      <c r="C1019" t="s">
        <v>564</v>
      </c>
      <c r="E1019" s="3">
        <f t="shared" si="282"/>
        <v>77.173913043478265</v>
      </c>
      <c r="F1019">
        <v>2016</v>
      </c>
      <c r="G1019">
        <f t="shared" si="279"/>
        <v>9</v>
      </c>
      <c r="H1019">
        <f t="shared" si="283"/>
        <v>0.13737906249999995</v>
      </c>
      <c r="J1019">
        <f t="shared" si="284"/>
        <v>100</v>
      </c>
      <c r="K1019">
        <v>3</v>
      </c>
      <c r="L1019">
        <v>3</v>
      </c>
      <c r="M1019" s="12">
        <f t="shared" si="285"/>
        <v>0.18191058592099621</v>
      </c>
      <c r="N1019">
        <f t="shared" si="281"/>
        <v>4.2650977236283368E-2</v>
      </c>
      <c r="O1019">
        <f t="shared" si="286"/>
        <v>0.42650977236283366</v>
      </c>
      <c r="P1019" t="s">
        <v>5</v>
      </c>
      <c r="Q1019" t="s">
        <v>527</v>
      </c>
      <c r="R1019">
        <v>3.6070000000000002</v>
      </c>
      <c r="S1019">
        <f t="shared" si="287"/>
        <v>4.1156400000000124</v>
      </c>
      <c r="U1019">
        <v>22</v>
      </c>
      <c r="V1019" t="s">
        <v>138</v>
      </c>
      <c r="W1019">
        <f t="shared" si="288"/>
        <v>84.72</v>
      </c>
      <c r="Y1019">
        <v>2008</v>
      </c>
      <c r="Z1019">
        <f>2025-AVERAGE($Y$951:$Y$1050)</f>
        <v>17</v>
      </c>
      <c r="AA1019" t="s">
        <v>388</v>
      </c>
      <c r="AB1019">
        <v>0.19700000000000001</v>
      </c>
      <c r="AC1019" t="s">
        <v>1026</v>
      </c>
      <c r="AD1019" s="3">
        <v>0.28599999999999998</v>
      </c>
      <c r="AE1019">
        <v>1</v>
      </c>
      <c r="AF1019" t="str">
        <f t="shared" si="289"/>
        <v>US</v>
      </c>
      <c r="AG1019">
        <v>2</v>
      </c>
      <c r="AH1019">
        <v>9</v>
      </c>
      <c r="AI1019">
        <f t="shared" si="290"/>
        <v>2.84</v>
      </c>
      <c r="AJ1019">
        <f t="shared" si="291"/>
        <v>2.17</v>
      </c>
      <c r="AK1019" t="s">
        <v>112</v>
      </c>
      <c r="AL1019">
        <v>25</v>
      </c>
      <c r="AN1019" t="s">
        <v>527</v>
      </c>
      <c r="AO1019">
        <v>4.4050000000000002</v>
      </c>
    </row>
    <row r="1020" spans="1:41" ht="15.6">
      <c r="A1020">
        <v>21</v>
      </c>
      <c r="B1020" t="s">
        <v>1054</v>
      </c>
      <c r="C1020" t="s">
        <v>564</v>
      </c>
      <c r="E1020" s="3">
        <f t="shared" si="282"/>
        <v>77.173913043478265</v>
      </c>
      <c r="F1020">
        <v>2016</v>
      </c>
      <c r="G1020">
        <f t="shared" si="279"/>
        <v>9</v>
      </c>
      <c r="H1020">
        <f t="shared" si="283"/>
        <v>0.13737906249999995</v>
      </c>
      <c r="J1020">
        <f t="shared" si="284"/>
        <v>100</v>
      </c>
      <c r="K1020">
        <v>3</v>
      </c>
      <c r="L1020">
        <v>3</v>
      </c>
      <c r="M1020" s="12">
        <f t="shared" si="285"/>
        <v>0.18191058592099621</v>
      </c>
      <c r="N1020">
        <f t="shared" si="281"/>
        <v>4.2650977236283368E-2</v>
      </c>
      <c r="O1020">
        <f t="shared" si="286"/>
        <v>0.42650977236283366</v>
      </c>
      <c r="P1020" t="s">
        <v>75</v>
      </c>
      <c r="Q1020" t="s">
        <v>527</v>
      </c>
      <c r="R1020">
        <v>3.6070000000000002</v>
      </c>
      <c r="S1020">
        <f t="shared" si="287"/>
        <v>4.1156400000000124</v>
      </c>
      <c r="U1020">
        <v>122</v>
      </c>
      <c r="V1020" t="s">
        <v>138</v>
      </c>
      <c r="W1020">
        <f t="shared" si="288"/>
        <v>84.72</v>
      </c>
      <c r="Y1020">
        <v>2008</v>
      </c>
      <c r="Z1020">
        <f>2025-AVERAGE($Y$951:$Y$1050)</f>
        <v>17</v>
      </c>
      <c r="AA1020" t="s">
        <v>391</v>
      </c>
      <c r="AB1020">
        <v>1E-3</v>
      </c>
      <c r="AC1020" t="s">
        <v>1027</v>
      </c>
      <c r="AD1020" s="3">
        <v>0.34</v>
      </c>
      <c r="AE1020">
        <v>1</v>
      </c>
      <c r="AF1020" t="str">
        <f t="shared" si="289"/>
        <v>US</v>
      </c>
      <c r="AG1020">
        <v>2</v>
      </c>
      <c r="AH1020">
        <v>4</v>
      </c>
      <c r="AI1020">
        <f t="shared" si="290"/>
        <v>2.84</v>
      </c>
      <c r="AJ1020">
        <f t="shared" si="291"/>
        <v>2.17</v>
      </c>
      <c r="AK1020" t="s">
        <v>112</v>
      </c>
      <c r="AL1020">
        <v>25</v>
      </c>
      <c r="AN1020" t="s">
        <v>527</v>
      </c>
      <c r="AO1020">
        <v>4.4050000000000002</v>
      </c>
    </row>
    <row r="1021" spans="1:41" ht="15.6">
      <c r="A1021">
        <v>21</v>
      </c>
      <c r="B1021" t="s">
        <v>1054</v>
      </c>
      <c r="C1021" t="s">
        <v>564</v>
      </c>
      <c r="E1021" s="3">
        <f t="shared" si="282"/>
        <v>77.173913043478265</v>
      </c>
      <c r="F1021">
        <v>2016</v>
      </c>
      <c r="G1021">
        <f t="shared" si="279"/>
        <v>9</v>
      </c>
      <c r="H1021">
        <f t="shared" si="283"/>
        <v>0.13737906249999995</v>
      </c>
      <c r="J1021">
        <f t="shared" si="284"/>
        <v>100</v>
      </c>
      <c r="K1021">
        <v>3</v>
      </c>
      <c r="L1021">
        <v>3</v>
      </c>
      <c r="M1021" s="12">
        <f t="shared" si="285"/>
        <v>0.18191058592099621</v>
      </c>
      <c r="N1021">
        <f t="shared" si="281"/>
        <v>4.2650977236283368E-2</v>
      </c>
      <c r="O1021">
        <f t="shared" si="286"/>
        <v>0.42650977236283366</v>
      </c>
      <c r="P1021" t="s">
        <v>52</v>
      </c>
      <c r="Q1021" t="s">
        <v>527</v>
      </c>
      <c r="R1021">
        <v>3.6070000000000002</v>
      </c>
      <c r="S1021">
        <f t="shared" si="287"/>
        <v>4.1156400000000124</v>
      </c>
      <c r="U1021">
        <v>53</v>
      </c>
      <c r="V1021" t="s">
        <v>138</v>
      </c>
      <c r="W1021">
        <f t="shared" si="288"/>
        <v>84.72</v>
      </c>
      <c r="Y1021">
        <v>2008</v>
      </c>
      <c r="Z1021">
        <f>2025-AVERAGE($Y$951:$Y$1050)</f>
        <v>17</v>
      </c>
      <c r="AA1021" t="s">
        <v>401</v>
      </c>
      <c r="AB1021">
        <v>9.9999999999999998E-13</v>
      </c>
      <c r="AC1021" t="s">
        <v>1028</v>
      </c>
      <c r="AD1021" s="3">
        <v>0.26100000000000001</v>
      </c>
      <c r="AE1021">
        <v>1</v>
      </c>
      <c r="AF1021" t="str">
        <f t="shared" si="289"/>
        <v>US</v>
      </c>
      <c r="AG1021">
        <v>3</v>
      </c>
      <c r="AH1021">
        <v>1</v>
      </c>
      <c r="AI1021">
        <f t="shared" si="290"/>
        <v>2.84</v>
      </c>
      <c r="AJ1021">
        <f t="shared" si="291"/>
        <v>2.17</v>
      </c>
      <c r="AK1021" t="s">
        <v>112</v>
      </c>
      <c r="AL1021">
        <v>25</v>
      </c>
      <c r="AN1021" t="s">
        <v>527</v>
      </c>
      <c r="AO1021">
        <v>4.4050000000000002</v>
      </c>
    </row>
    <row r="1022" spans="1:41" ht="15.6">
      <c r="A1022">
        <v>21</v>
      </c>
      <c r="B1022" t="s">
        <v>1054</v>
      </c>
      <c r="C1022" t="s">
        <v>564</v>
      </c>
      <c r="E1022" s="3">
        <f t="shared" si="282"/>
        <v>77.173913043478265</v>
      </c>
      <c r="F1022">
        <v>2016</v>
      </c>
      <c r="G1022">
        <f t="shared" si="279"/>
        <v>9</v>
      </c>
      <c r="H1022">
        <f t="shared" si="283"/>
        <v>0.13737906249999995</v>
      </c>
      <c r="J1022">
        <f t="shared" si="284"/>
        <v>100</v>
      </c>
      <c r="K1022">
        <v>3</v>
      </c>
      <c r="L1022">
        <v>3</v>
      </c>
      <c r="M1022" s="12">
        <f t="shared" si="285"/>
        <v>0.18191058592099621</v>
      </c>
      <c r="N1022">
        <f t="shared" si="281"/>
        <v>4.2650977236283368E-2</v>
      </c>
      <c r="O1022">
        <f t="shared" si="286"/>
        <v>0.42650977236283366</v>
      </c>
      <c r="P1022" t="s">
        <v>13</v>
      </c>
      <c r="Q1022" t="s">
        <v>527</v>
      </c>
      <c r="R1022">
        <v>3.6070000000000002</v>
      </c>
      <c r="S1022">
        <f t="shared" si="287"/>
        <v>4.1156400000000124</v>
      </c>
      <c r="U1022">
        <v>202</v>
      </c>
      <c r="V1022" t="s">
        <v>138</v>
      </c>
      <c r="W1022">
        <f t="shared" si="288"/>
        <v>84.72</v>
      </c>
      <c r="Y1022">
        <v>2008</v>
      </c>
      <c r="Z1022">
        <f>2025-AVERAGE($Y$951:$Y$1050)</f>
        <v>17</v>
      </c>
      <c r="AA1022" t="s">
        <v>393</v>
      </c>
      <c r="AB1022">
        <v>0.53900000000000003</v>
      </c>
      <c r="AC1022" t="s">
        <v>1029</v>
      </c>
      <c r="AD1022" s="3">
        <v>2E-3</v>
      </c>
      <c r="AE1022">
        <v>1</v>
      </c>
      <c r="AF1022" t="str">
        <f t="shared" si="289"/>
        <v>US</v>
      </c>
      <c r="AG1022">
        <v>2</v>
      </c>
      <c r="AH1022">
        <v>3</v>
      </c>
      <c r="AI1022">
        <f t="shared" si="290"/>
        <v>2.84</v>
      </c>
      <c r="AJ1022">
        <f t="shared" si="291"/>
        <v>2.17</v>
      </c>
      <c r="AK1022" t="s">
        <v>112</v>
      </c>
      <c r="AL1022">
        <v>25</v>
      </c>
      <c r="AN1022" t="s">
        <v>527</v>
      </c>
      <c r="AO1022">
        <v>4.4050000000000002</v>
      </c>
    </row>
    <row r="1023" spans="1:41" ht="15.6">
      <c r="A1023">
        <v>21</v>
      </c>
      <c r="B1023" t="s">
        <v>1054</v>
      </c>
      <c r="C1023" t="s">
        <v>564</v>
      </c>
      <c r="E1023" s="3">
        <f t="shared" si="282"/>
        <v>77.173913043478265</v>
      </c>
      <c r="F1023">
        <v>2016</v>
      </c>
      <c r="G1023">
        <f t="shared" si="279"/>
        <v>9</v>
      </c>
      <c r="H1023">
        <f t="shared" si="283"/>
        <v>0.13737906249999995</v>
      </c>
      <c r="J1023">
        <f t="shared" si="284"/>
        <v>100</v>
      </c>
      <c r="K1023">
        <v>3</v>
      </c>
      <c r="L1023">
        <v>3</v>
      </c>
      <c r="M1023" s="12">
        <f t="shared" si="285"/>
        <v>0.18191058592099621</v>
      </c>
      <c r="N1023">
        <f t="shared" si="281"/>
        <v>4.2650977236283368E-2</v>
      </c>
      <c r="O1023">
        <f t="shared" si="286"/>
        <v>0.42650977236283366</v>
      </c>
      <c r="P1023" t="s">
        <v>68</v>
      </c>
      <c r="Q1023" t="s">
        <v>527</v>
      </c>
      <c r="R1023">
        <v>3.6070000000000002</v>
      </c>
      <c r="S1023">
        <f t="shared" si="287"/>
        <v>4.1156400000000124</v>
      </c>
      <c r="U1023">
        <v>172</v>
      </c>
      <c r="V1023" t="s">
        <v>138</v>
      </c>
      <c r="W1023">
        <f t="shared" si="288"/>
        <v>84.72</v>
      </c>
      <c r="Y1023">
        <v>2008</v>
      </c>
      <c r="Z1023">
        <f>2025-AVERAGE($Y$951:$Y$1050)</f>
        <v>17</v>
      </c>
      <c r="AA1023" t="s">
        <v>389</v>
      </c>
      <c r="AB1023">
        <v>0.11</v>
      </c>
      <c r="AC1023" t="s">
        <v>1030</v>
      </c>
      <c r="AD1023" s="3">
        <v>-0.25</v>
      </c>
      <c r="AE1023">
        <v>1</v>
      </c>
      <c r="AF1023" t="str">
        <f t="shared" si="289"/>
        <v>US</v>
      </c>
      <c r="AG1023">
        <v>2</v>
      </c>
      <c r="AH1023">
        <v>2</v>
      </c>
      <c r="AI1023">
        <f t="shared" si="290"/>
        <v>2.84</v>
      </c>
      <c r="AJ1023">
        <f t="shared" si="291"/>
        <v>2.17</v>
      </c>
      <c r="AK1023" t="s">
        <v>112</v>
      </c>
      <c r="AL1023">
        <v>25</v>
      </c>
      <c r="AN1023" t="s">
        <v>527</v>
      </c>
      <c r="AO1023">
        <v>4.4050000000000002</v>
      </c>
    </row>
    <row r="1024" spans="1:41" ht="15.6">
      <c r="A1024">
        <v>21</v>
      </c>
      <c r="B1024" t="s">
        <v>1054</v>
      </c>
      <c r="C1024" t="s">
        <v>564</v>
      </c>
      <c r="E1024" s="3">
        <f t="shared" si="282"/>
        <v>77.173913043478265</v>
      </c>
      <c r="F1024">
        <v>2016</v>
      </c>
      <c r="G1024">
        <f t="shared" si="279"/>
        <v>9</v>
      </c>
      <c r="H1024">
        <f t="shared" si="283"/>
        <v>0.13737906249999995</v>
      </c>
      <c r="J1024">
        <f t="shared" si="284"/>
        <v>100</v>
      </c>
      <c r="K1024">
        <v>3</v>
      </c>
      <c r="L1024">
        <v>3</v>
      </c>
      <c r="M1024" s="12">
        <f t="shared" si="285"/>
        <v>0.18191058592099621</v>
      </c>
      <c r="N1024">
        <f t="shared" si="281"/>
        <v>4.2650977236283368E-2</v>
      </c>
      <c r="O1024">
        <f t="shared" si="286"/>
        <v>0.42650977236283366</v>
      </c>
      <c r="P1024" t="s">
        <v>98</v>
      </c>
      <c r="Q1024" t="s">
        <v>527</v>
      </c>
      <c r="R1024">
        <v>3.6070000000000002</v>
      </c>
      <c r="S1024">
        <f t="shared" si="287"/>
        <v>4.1156400000000124</v>
      </c>
      <c r="U1024">
        <v>274</v>
      </c>
      <c r="V1024" t="s">
        <v>138</v>
      </c>
      <c r="W1024">
        <f t="shared" si="288"/>
        <v>84.72</v>
      </c>
      <c r="Y1024">
        <v>2008</v>
      </c>
      <c r="Z1024">
        <f>2025-AVERAGE($Y$951:$Y$1050)</f>
        <v>17</v>
      </c>
      <c r="AA1024" t="s">
        <v>404</v>
      </c>
      <c r="AB1024" t="s">
        <v>386</v>
      </c>
      <c r="AC1024" t="s">
        <v>1031</v>
      </c>
      <c r="AD1024" s="3">
        <v>2.2200000000000002</v>
      </c>
      <c r="AE1024">
        <v>1</v>
      </c>
      <c r="AF1024" t="str">
        <f t="shared" si="289"/>
        <v>US</v>
      </c>
      <c r="AG1024">
        <v>3</v>
      </c>
      <c r="AH1024">
        <v>3</v>
      </c>
      <c r="AI1024">
        <f t="shared" si="290"/>
        <v>2.84</v>
      </c>
      <c r="AJ1024">
        <f t="shared" si="291"/>
        <v>2.17</v>
      </c>
      <c r="AK1024" t="s">
        <v>112</v>
      </c>
      <c r="AL1024">
        <v>25</v>
      </c>
      <c r="AN1024" t="s">
        <v>527</v>
      </c>
      <c r="AO1024">
        <v>4.4050000000000002</v>
      </c>
    </row>
    <row r="1025" spans="1:41" ht="15.6">
      <c r="A1025">
        <v>21</v>
      </c>
      <c r="B1025" t="s">
        <v>1054</v>
      </c>
      <c r="C1025" t="s">
        <v>564</v>
      </c>
      <c r="E1025" s="3">
        <f t="shared" si="282"/>
        <v>77.173913043478265</v>
      </c>
      <c r="F1025">
        <v>2016</v>
      </c>
      <c r="G1025">
        <f t="shared" si="279"/>
        <v>9</v>
      </c>
      <c r="H1025">
        <f t="shared" si="283"/>
        <v>0.13737906249999995</v>
      </c>
      <c r="J1025">
        <f t="shared" si="284"/>
        <v>100</v>
      </c>
      <c r="K1025">
        <v>3</v>
      </c>
      <c r="L1025">
        <v>3</v>
      </c>
      <c r="M1025" s="12">
        <f t="shared" si="285"/>
        <v>0.18191058592099621</v>
      </c>
      <c r="N1025">
        <f t="shared" si="281"/>
        <v>4.2650977236283368E-2</v>
      </c>
      <c r="O1025">
        <f t="shared" si="286"/>
        <v>0.42650977236283366</v>
      </c>
      <c r="P1025" t="s">
        <v>99</v>
      </c>
      <c r="Q1025" t="s">
        <v>527</v>
      </c>
      <c r="R1025">
        <v>3.6070000000000002</v>
      </c>
      <c r="S1025">
        <f t="shared" si="287"/>
        <v>4.1156400000000124</v>
      </c>
      <c r="U1025">
        <v>134</v>
      </c>
      <c r="V1025" t="s">
        <v>138</v>
      </c>
      <c r="W1025">
        <f t="shared" si="288"/>
        <v>84.72</v>
      </c>
      <c r="Y1025">
        <v>2008</v>
      </c>
      <c r="Z1025">
        <f>2025-AVERAGE($Y$951:$Y$1050)</f>
        <v>17</v>
      </c>
      <c r="AA1025">
        <v>2.8000000000000001E-2</v>
      </c>
      <c r="AB1025">
        <v>1E-4</v>
      </c>
      <c r="AC1025" t="s">
        <v>1032</v>
      </c>
      <c r="AD1025" s="3">
        <v>-2.33</v>
      </c>
      <c r="AE1025">
        <v>1</v>
      </c>
      <c r="AF1025" t="str">
        <f t="shared" si="289"/>
        <v>US</v>
      </c>
      <c r="AG1025">
        <v>2</v>
      </c>
      <c r="AH1025">
        <v>2</v>
      </c>
      <c r="AI1025">
        <f t="shared" si="290"/>
        <v>2.84</v>
      </c>
      <c r="AJ1025">
        <f t="shared" si="291"/>
        <v>2.17</v>
      </c>
      <c r="AK1025" t="s">
        <v>112</v>
      </c>
      <c r="AL1025">
        <v>25</v>
      </c>
      <c r="AN1025" t="s">
        <v>527</v>
      </c>
      <c r="AO1025">
        <v>4.4050000000000002</v>
      </c>
    </row>
    <row r="1026" spans="1:41" ht="15.6">
      <c r="A1026">
        <v>21</v>
      </c>
      <c r="B1026" t="s">
        <v>1054</v>
      </c>
      <c r="C1026" t="s">
        <v>564</v>
      </c>
      <c r="E1026" s="3">
        <f t="shared" si="282"/>
        <v>77.173913043478265</v>
      </c>
      <c r="F1026">
        <v>2016</v>
      </c>
      <c r="G1026">
        <f t="shared" si="279"/>
        <v>9</v>
      </c>
      <c r="H1026">
        <f t="shared" si="283"/>
        <v>0.13737906249999995</v>
      </c>
      <c r="J1026">
        <f t="shared" si="284"/>
        <v>100</v>
      </c>
      <c r="K1026">
        <v>3</v>
      </c>
      <c r="L1026">
        <v>3</v>
      </c>
      <c r="M1026" s="12">
        <f t="shared" si="285"/>
        <v>0.18191058592099621</v>
      </c>
      <c r="N1026">
        <f t="shared" si="281"/>
        <v>4.2650977236283368E-2</v>
      </c>
      <c r="O1026">
        <f t="shared" si="286"/>
        <v>0.42650977236283366</v>
      </c>
      <c r="P1026" t="s">
        <v>16</v>
      </c>
      <c r="Q1026" t="s">
        <v>527</v>
      </c>
      <c r="R1026">
        <v>3.6070000000000002</v>
      </c>
      <c r="S1026">
        <f t="shared" si="287"/>
        <v>4.1156400000000124</v>
      </c>
      <c r="U1026">
        <v>54</v>
      </c>
      <c r="V1026" t="s">
        <v>138</v>
      </c>
      <c r="W1026">
        <f t="shared" si="288"/>
        <v>84.72</v>
      </c>
      <c r="Y1026">
        <v>2008</v>
      </c>
      <c r="Z1026">
        <f>2025-AVERAGE($Y$951:$Y$1050)</f>
        <v>17</v>
      </c>
      <c r="AA1026" t="s">
        <v>395</v>
      </c>
      <c r="AB1026">
        <v>0.79</v>
      </c>
      <c r="AC1026" t="s">
        <v>1033</v>
      </c>
      <c r="AD1026" s="3">
        <v>1E-3</v>
      </c>
      <c r="AE1026">
        <v>1</v>
      </c>
      <c r="AF1026" t="str">
        <f t="shared" si="289"/>
        <v>US</v>
      </c>
      <c r="AG1026">
        <v>3</v>
      </c>
      <c r="AH1026">
        <v>1</v>
      </c>
      <c r="AI1026">
        <f t="shared" si="290"/>
        <v>2.84</v>
      </c>
      <c r="AJ1026">
        <f t="shared" si="291"/>
        <v>2.17</v>
      </c>
      <c r="AK1026" t="s">
        <v>112</v>
      </c>
      <c r="AL1026">
        <v>25</v>
      </c>
      <c r="AN1026" t="s">
        <v>527</v>
      </c>
      <c r="AO1026">
        <v>4.4050000000000002</v>
      </c>
    </row>
    <row r="1027" spans="1:41" ht="15.6">
      <c r="A1027">
        <v>21</v>
      </c>
      <c r="B1027" t="s">
        <v>1054</v>
      </c>
      <c r="C1027" t="s">
        <v>564</v>
      </c>
      <c r="E1027" s="3">
        <f t="shared" si="282"/>
        <v>77.173913043478265</v>
      </c>
      <c r="F1027">
        <v>2016</v>
      </c>
      <c r="G1027">
        <f t="shared" si="279"/>
        <v>9</v>
      </c>
      <c r="H1027">
        <f t="shared" si="283"/>
        <v>0.13737906249999995</v>
      </c>
      <c r="J1027">
        <f t="shared" si="284"/>
        <v>100</v>
      </c>
      <c r="K1027">
        <v>3</v>
      </c>
      <c r="L1027">
        <v>3</v>
      </c>
      <c r="M1027" s="12">
        <f t="shared" si="285"/>
        <v>0.18191058592099621</v>
      </c>
      <c r="N1027">
        <f t="shared" si="281"/>
        <v>4.2650977236283368E-2</v>
      </c>
      <c r="O1027">
        <f t="shared" si="286"/>
        <v>0.42650977236283366</v>
      </c>
      <c r="P1027" t="s">
        <v>89</v>
      </c>
      <c r="Q1027" t="s">
        <v>527</v>
      </c>
      <c r="R1027">
        <v>3.6070000000000002</v>
      </c>
      <c r="S1027">
        <f t="shared" si="287"/>
        <v>4.1156400000000124</v>
      </c>
      <c r="U1027">
        <v>47</v>
      </c>
      <c r="V1027" t="s">
        <v>138</v>
      </c>
      <c r="W1027">
        <f t="shared" si="288"/>
        <v>84.72</v>
      </c>
      <c r="Y1027">
        <v>2008</v>
      </c>
      <c r="Z1027">
        <f>2025-AVERAGE($Y$951:$Y$1050)</f>
        <v>17</v>
      </c>
      <c r="AA1027">
        <v>3.0000000000000001E-5</v>
      </c>
      <c r="AB1027">
        <v>4.7099999999999998E-3</v>
      </c>
      <c r="AC1027" t="s">
        <v>1034</v>
      </c>
      <c r="AD1027" s="3">
        <v>-0.62</v>
      </c>
      <c r="AE1027">
        <v>1</v>
      </c>
      <c r="AF1027" t="str">
        <f t="shared" si="289"/>
        <v>US</v>
      </c>
      <c r="AG1027">
        <v>3</v>
      </c>
      <c r="AH1027">
        <v>2</v>
      </c>
      <c r="AI1027">
        <f t="shared" si="290"/>
        <v>2.84</v>
      </c>
      <c r="AJ1027">
        <f t="shared" si="291"/>
        <v>2.17</v>
      </c>
      <c r="AK1027" t="s">
        <v>112</v>
      </c>
      <c r="AL1027">
        <v>25</v>
      </c>
      <c r="AN1027" t="s">
        <v>527</v>
      </c>
      <c r="AO1027">
        <v>4.4050000000000002</v>
      </c>
    </row>
    <row r="1028" spans="1:41" ht="15.6">
      <c r="A1028">
        <v>21</v>
      </c>
      <c r="B1028" t="s">
        <v>1054</v>
      </c>
      <c r="C1028" t="s">
        <v>564</v>
      </c>
      <c r="E1028" s="3">
        <f t="shared" si="282"/>
        <v>77.173913043478265</v>
      </c>
      <c r="F1028">
        <v>2016</v>
      </c>
      <c r="G1028">
        <f t="shared" si="279"/>
        <v>9</v>
      </c>
      <c r="H1028">
        <f t="shared" si="283"/>
        <v>0.13737906249999995</v>
      </c>
      <c r="J1028">
        <f t="shared" si="284"/>
        <v>100</v>
      </c>
      <c r="K1028">
        <v>3</v>
      </c>
      <c r="L1028">
        <v>3</v>
      </c>
      <c r="M1028" s="12">
        <f t="shared" si="285"/>
        <v>0.18191058592099621</v>
      </c>
      <c r="N1028">
        <f t="shared" si="281"/>
        <v>4.2650977236283368E-2</v>
      </c>
      <c r="O1028">
        <f t="shared" si="286"/>
        <v>0.42650977236283366</v>
      </c>
      <c r="P1028" t="s">
        <v>26</v>
      </c>
      <c r="Q1028" t="s">
        <v>527</v>
      </c>
      <c r="R1028">
        <v>3.6070000000000002</v>
      </c>
      <c r="S1028">
        <f t="shared" si="287"/>
        <v>4.1156400000000124</v>
      </c>
      <c r="U1028">
        <v>75</v>
      </c>
      <c r="V1028" t="s">
        <v>138</v>
      </c>
      <c r="W1028">
        <f t="shared" si="288"/>
        <v>84.72</v>
      </c>
      <c r="Y1028">
        <v>2008</v>
      </c>
      <c r="Z1028">
        <f>2025-AVERAGE($Y$951:$Y$1050)</f>
        <v>17</v>
      </c>
      <c r="AA1028" t="s">
        <v>393</v>
      </c>
      <c r="AB1028">
        <v>0.89</v>
      </c>
      <c r="AC1028" t="s">
        <v>1035</v>
      </c>
      <c r="AD1028" s="3">
        <v>0</v>
      </c>
      <c r="AE1028">
        <v>1</v>
      </c>
      <c r="AF1028" t="str">
        <f t="shared" si="289"/>
        <v>US</v>
      </c>
      <c r="AG1028">
        <v>2</v>
      </c>
      <c r="AH1028">
        <v>1</v>
      </c>
      <c r="AI1028">
        <f t="shared" si="290"/>
        <v>2.84</v>
      </c>
      <c r="AJ1028">
        <f t="shared" si="291"/>
        <v>2.17</v>
      </c>
      <c r="AK1028" t="s">
        <v>112</v>
      </c>
      <c r="AL1028">
        <v>25</v>
      </c>
      <c r="AN1028" t="s">
        <v>527</v>
      </c>
      <c r="AO1028">
        <v>4.4050000000000002</v>
      </c>
    </row>
    <row r="1029" spans="1:41" ht="15.6">
      <c r="A1029">
        <v>21</v>
      </c>
      <c r="B1029" t="s">
        <v>1054</v>
      </c>
      <c r="C1029" t="s">
        <v>564</v>
      </c>
      <c r="E1029" s="3">
        <f t="shared" si="282"/>
        <v>77.173913043478265</v>
      </c>
      <c r="F1029">
        <v>2016</v>
      </c>
      <c r="G1029">
        <f t="shared" si="279"/>
        <v>9</v>
      </c>
      <c r="H1029">
        <f t="shared" si="283"/>
        <v>0.13737906249999995</v>
      </c>
      <c r="J1029">
        <f t="shared" si="284"/>
        <v>100</v>
      </c>
      <c r="K1029">
        <v>3</v>
      </c>
      <c r="L1029">
        <v>3</v>
      </c>
      <c r="M1029" s="12">
        <f t="shared" si="285"/>
        <v>0.18191058592099621</v>
      </c>
      <c r="N1029">
        <f t="shared" si="281"/>
        <v>4.2650977236283368E-2</v>
      </c>
      <c r="O1029">
        <f t="shared" si="286"/>
        <v>0.42650977236283366</v>
      </c>
      <c r="P1029" t="s">
        <v>61</v>
      </c>
      <c r="Q1029" t="s">
        <v>527</v>
      </c>
      <c r="R1029">
        <v>3.6070000000000002</v>
      </c>
      <c r="S1029">
        <f t="shared" si="287"/>
        <v>4.1156400000000124</v>
      </c>
      <c r="U1029">
        <v>36</v>
      </c>
      <c r="V1029" t="s">
        <v>138</v>
      </c>
      <c r="W1029">
        <f t="shared" si="288"/>
        <v>84.72</v>
      </c>
      <c r="Y1029">
        <v>2008</v>
      </c>
      <c r="Z1029">
        <f>2025-AVERAGE($Y$951:$Y$1050)</f>
        <v>17</v>
      </c>
      <c r="AA1029" t="s">
        <v>403</v>
      </c>
      <c r="AB1029">
        <v>0.254</v>
      </c>
      <c r="AC1029" t="s">
        <v>972</v>
      </c>
      <c r="AD1029" s="3">
        <v>4.7600000000000003E-2</v>
      </c>
      <c r="AE1029">
        <v>1</v>
      </c>
      <c r="AF1029" t="str">
        <f t="shared" si="289"/>
        <v>US</v>
      </c>
      <c r="AG1029">
        <v>3</v>
      </c>
      <c r="AH1029">
        <v>2</v>
      </c>
      <c r="AI1029">
        <f t="shared" si="290"/>
        <v>2.84</v>
      </c>
      <c r="AJ1029">
        <f t="shared" si="291"/>
        <v>2.17</v>
      </c>
      <c r="AK1029" t="s">
        <v>112</v>
      </c>
      <c r="AL1029">
        <v>25</v>
      </c>
      <c r="AN1029" t="s">
        <v>527</v>
      </c>
      <c r="AO1029">
        <v>4.4050000000000002</v>
      </c>
    </row>
    <row r="1030" spans="1:41" ht="15.6">
      <c r="A1030">
        <v>21</v>
      </c>
      <c r="B1030" t="s">
        <v>1054</v>
      </c>
      <c r="C1030" t="s">
        <v>564</v>
      </c>
      <c r="E1030" s="3">
        <f t="shared" si="282"/>
        <v>77.173913043478265</v>
      </c>
      <c r="F1030">
        <v>2016</v>
      </c>
      <c r="G1030">
        <f t="shared" si="279"/>
        <v>9</v>
      </c>
      <c r="H1030">
        <f t="shared" si="283"/>
        <v>0.13737906249999995</v>
      </c>
      <c r="J1030">
        <f t="shared" si="284"/>
        <v>100</v>
      </c>
      <c r="K1030">
        <v>3</v>
      </c>
      <c r="L1030">
        <v>3</v>
      </c>
      <c r="M1030" s="12">
        <f t="shared" si="285"/>
        <v>0.18191058592099621</v>
      </c>
      <c r="N1030">
        <f t="shared" si="281"/>
        <v>4.2650977236283368E-2</v>
      </c>
      <c r="O1030">
        <f t="shared" si="286"/>
        <v>0.42650977236283366</v>
      </c>
      <c r="P1030" t="s">
        <v>81</v>
      </c>
      <c r="Q1030" t="s">
        <v>527</v>
      </c>
      <c r="R1030">
        <v>3.6070000000000002</v>
      </c>
      <c r="S1030">
        <f t="shared" si="287"/>
        <v>4.1156400000000124</v>
      </c>
      <c r="U1030">
        <v>191</v>
      </c>
      <c r="V1030" t="s">
        <v>138</v>
      </c>
      <c r="W1030">
        <f t="shared" si="288"/>
        <v>84.72</v>
      </c>
      <c r="Y1030">
        <v>2008</v>
      </c>
      <c r="Z1030">
        <f>2025-AVERAGE($Y$951:$Y$1050)</f>
        <v>17</v>
      </c>
      <c r="AA1030" t="s">
        <v>408</v>
      </c>
      <c r="AB1030">
        <v>7.0000000000000001E-3</v>
      </c>
      <c r="AC1030" t="s">
        <v>1036</v>
      </c>
      <c r="AD1030" s="3">
        <v>0.18</v>
      </c>
      <c r="AE1030">
        <v>1</v>
      </c>
      <c r="AF1030" t="str">
        <f t="shared" si="289"/>
        <v>US</v>
      </c>
      <c r="AG1030">
        <v>3</v>
      </c>
      <c r="AH1030">
        <v>2</v>
      </c>
      <c r="AI1030">
        <f t="shared" si="290"/>
        <v>2.84</v>
      </c>
      <c r="AJ1030">
        <f t="shared" si="291"/>
        <v>2.17</v>
      </c>
      <c r="AK1030" t="s">
        <v>112</v>
      </c>
      <c r="AL1030">
        <v>25</v>
      </c>
      <c r="AN1030" t="s">
        <v>527</v>
      </c>
      <c r="AO1030">
        <v>4.4050000000000002</v>
      </c>
    </row>
    <row r="1031" spans="1:41" ht="15.6">
      <c r="A1031">
        <v>21</v>
      </c>
      <c r="B1031" t="s">
        <v>1054</v>
      </c>
      <c r="C1031" t="s">
        <v>564</v>
      </c>
      <c r="E1031" s="3">
        <f t="shared" si="282"/>
        <v>77.173913043478265</v>
      </c>
      <c r="F1031">
        <v>2016</v>
      </c>
      <c r="G1031">
        <f t="shared" si="279"/>
        <v>9</v>
      </c>
      <c r="H1031">
        <f t="shared" si="283"/>
        <v>0.13737906249999995</v>
      </c>
      <c r="J1031">
        <f t="shared" si="284"/>
        <v>100</v>
      </c>
      <c r="K1031">
        <v>3</v>
      </c>
      <c r="L1031">
        <v>3</v>
      </c>
      <c r="M1031" s="12">
        <f t="shared" si="285"/>
        <v>0.18191058592099621</v>
      </c>
      <c r="N1031">
        <f t="shared" si="281"/>
        <v>4.2650977236283368E-2</v>
      </c>
      <c r="O1031">
        <f t="shared" si="286"/>
        <v>0.42650977236283366</v>
      </c>
      <c r="P1031" t="s">
        <v>86</v>
      </c>
      <c r="Q1031" t="s">
        <v>527</v>
      </c>
      <c r="R1031">
        <v>3.6070000000000002</v>
      </c>
      <c r="S1031">
        <f t="shared" si="287"/>
        <v>4.1156400000000124</v>
      </c>
      <c r="U1031">
        <v>22</v>
      </c>
      <c r="V1031" t="s">
        <v>138</v>
      </c>
      <c r="W1031">
        <f t="shared" si="288"/>
        <v>84.72</v>
      </c>
      <c r="Y1031">
        <v>2008</v>
      </c>
      <c r="Z1031">
        <f>2025-AVERAGE($Y$951:$Y$1050)</f>
        <v>17</v>
      </c>
      <c r="AA1031" t="s">
        <v>393</v>
      </c>
      <c r="AB1031">
        <v>1E-3</v>
      </c>
      <c r="AC1031" t="s">
        <v>1037</v>
      </c>
      <c r="AD1031" s="3">
        <v>0.497</v>
      </c>
      <c r="AE1031">
        <v>1</v>
      </c>
      <c r="AF1031" t="str">
        <f t="shared" si="289"/>
        <v>US</v>
      </c>
      <c r="AG1031">
        <v>2</v>
      </c>
      <c r="AH1031">
        <v>6</v>
      </c>
      <c r="AI1031">
        <f t="shared" si="290"/>
        <v>2.84</v>
      </c>
      <c r="AJ1031">
        <f t="shared" si="291"/>
        <v>2.17</v>
      </c>
      <c r="AK1031" t="s">
        <v>112</v>
      </c>
      <c r="AL1031">
        <v>25</v>
      </c>
      <c r="AN1031" t="s">
        <v>527</v>
      </c>
      <c r="AO1031">
        <v>4.4050000000000002</v>
      </c>
    </row>
    <row r="1032" spans="1:41" ht="15.6">
      <c r="A1032">
        <v>21</v>
      </c>
      <c r="B1032" t="s">
        <v>1054</v>
      </c>
      <c r="C1032" t="s">
        <v>564</v>
      </c>
      <c r="E1032" s="3">
        <f t="shared" si="282"/>
        <v>77.173913043478265</v>
      </c>
      <c r="F1032">
        <v>2016</v>
      </c>
      <c r="G1032">
        <f t="shared" si="279"/>
        <v>9</v>
      </c>
      <c r="H1032">
        <f t="shared" si="283"/>
        <v>0.13737906249999995</v>
      </c>
      <c r="J1032">
        <f t="shared" si="284"/>
        <v>100</v>
      </c>
      <c r="K1032">
        <v>3</v>
      </c>
      <c r="L1032">
        <v>3</v>
      </c>
      <c r="M1032" s="12">
        <f t="shared" si="285"/>
        <v>0.18191058592099621</v>
      </c>
      <c r="N1032">
        <f t="shared" si="281"/>
        <v>4.2650977236283368E-2</v>
      </c>
      <c r="O1032">
        <f t="shared" si="286"/>
        <v>0.42650977236283366</v>
      </c>
      <c r="P1032" t="s">
        <v>47</v>
      </c>
      <c r="Q1032" t="s">
        <v>527</v>
      </c>
      <c r="R1032">
        <v>3.6070000000000002</v>
      </c>
      <c r="S1032">
        <f t="shared" si="287"/>
        <v>4.1156400000000124</v>
      </c>
      <c r="U1032">
        <v>65</v>
      </c>
      <c r="V1032" t="s">
        <v>138</v>
      </c>
      <c r="W1032">
        <f t="shared" si="288"/>
        <v>84.72</v>
      </c>
      <c r="Y1032">
        <v>2008</v>
      </c>
      <c r="Z1032">
        <f>2025-AVERAGE($Y$951:$Y$1050)</f>
        <v>17</v>
      </c>
      <c r="AA1032" t="s">
        <v>400</v>
      </c>
      <c r="AB1032">
        <v>0</v>
      </c>
      <c r="AC1032" t="s">
        <v>1038</v>
      </c>
      <c r="AD1032" s="3">
        <v>0.21</v>
      </c>
      <c r="AE1032">
        <v>1</v>
      </c>
      <c r="AF1032" t="str">
        <f t="shared" si="289"/>
        <v>US</v>
      </c>
      <c r="AG1032">
        <v>2</v>
      </c>
      <c r="AH1032">
        <v>1</v>
      </c>
      <c r="AI1032">
        <f t="shared" si="290"/>
        <v>2.84</v>
      </c>
      <c r="AJ1032">
        <f t="shared" si="291"/>
        <v>2.17</v>
      </c>
      <c r="AK1032" t="s">
        <v>112</v>
      </c>
      <c r="AL1032">
        <v>25</v>
      </c>
      <c r="AN1032" t="s">
        <v>527</v>
      </c>
      <c r="AO1032">
        <v>4.4050000000000002</v>
      </c>
    </row>
    <row r="1033" spans="1:41" ht="15.6">
      <c r="A1033">
        <v>21</v>
      </c>
      <c r="B1033" t="s">
        <v>1054</v>
      </c>
      <c r="C1033" t="s">
        <v>564</v>
      </c>
      <c r="E1033" s="3">
        <f t="shared" si="282"/>
        <v>77.173913043478265</v>
      </c>
      <c r="F1033">
        <v>2016</v>
      </c>
      <c r="G1033">
        <f t="shared" si="279"/>
        <v>9</v>
      </c>
      <c r="H1033">
        <f t="shared" si="283"/>
        <v>0.13737906249999995</v>
      </c>
      <c r="J1033">
        <f t="shared" si="284"/>
        <v>100</v>
      </c>
      <c r="K1033">
        <v>3</v>
      </c>
      <c r="L1033">
        <v>3</v>
      </c>
      <c r="M1033" s="12">
        <f t="shared" si="285"/>
        <v>0.18191058592099621</v>
      </c>
      <c r="N1033">
        <f t="shared" si="281"/>
        <v>4.2650977236283368E-2</v>
      </c>
      <c r="O1033">
        <f t="shared" si="286"/>
        <v>0.42650977236283366</v>
      </c>
      <c r="P1033" t="s">
        <v>44</v>
      </c>
      <c r="Q1033" t="s">
        <v>527</v>
      </c>
      <c r="R1033">
        <v>3.6070000000000002</v>
      </c>
      <c r="S1033">
        <f t="shared" si="287"/>
        <v>4.1156400000000124</v>
      </c>
      <c r="U1033">
        <v>341</v>
      </c>
      <c r="V1033" t="s">
        <v>138</v>
      </c>
      <c r="W1033">
        <f t="shared" si="288"/>
        <v>84.72</v>
      </c>
      <c r="Y1033">
        <v>2008</v>
      </c>
      <c r="Z1033">
        <f>2025-AVERAGE($Y$951:$Y$1050)</f>
        <v>17</v>
      </c>
      <c r="AA1033" t="s">
        <v>391</v>
      </c>
      <c r="AB1033">
        <v>0.44</v>
      </c>
      <c r="AC1033" t="s">
        <v>1039</v>
      </c>
      <c r="AD1033" s="3">
        <v>0.2</v>
      </c>
      <c r="AE1033">
        <v>1</v>
      </c>
      <c r="AF1033" t="str">
        <f t="shared" si="289"/>
        <v>US</v>
      </c>
      <c r="AG1033">
        <v>2</v>
      </c>
      <c r="AH1033">
        <v>3</v>
      </c>
      <c r="AI1033">
        <f t="shared" si="290"/>
        <v>2.84</v>
      </c>
      <c r="AJ1033">
        <f t="shared" si="291"/>
        <v>2.17</v>
      </c>
      <c r="AK1033" t="s">
        <v>112</v>
      </c>
      <c r="AL1033">
        <v>25</v>
      </c>
      <c r="AN1033" t="s">
        <v>527</v>
      </c>
      <c r="AO1033">
        <v>4.4050000000000002</v>
      </c>
    </row>
    <row r="1034" spans="1:41" ht="15.6">
      <c r="A1034">
        <v>21</v>
      </c>
      <c r="B1034" t="s">
        <v>1054</v>
      </c>
      <c r="C1034" t="s">
        <v>564</v>
      </c>
      <c r="E1034" s="3">
        <f t="shared" si="282"/>
        <v>77.173913043478265</v>
      </c>
      <c r="F1034">
        <v>2016</v>
      </c>
      <c r="G1034">
        <f t="shared" si="279"/>
        <v>9</v>
      </c>
      <c r="H1034">
        <f t="shared" si="283"/>
        <v>0.13737906249999995</v>
      </c>
      <c r="J1034">
        <f t="shared" si="284"/>
        <v>100</v>
      </c>
      <c r="K1034">
        <v>3</v>
      </c>
      <c r="L1034">
        <v>3</v>
      </c>
      <c r="M1034" s="12">
        <f t="shared" si="285"/>
        <v>0.18191058592099621</v>
      </c>
      <c r="N1034">
        <f t="shared" si="281"/>
        <v>4.2650977236283368E-2</v>
      </c>
      <c r="O1034">
        <f t="shared" si="286"/>
        <v>0.42650977236283366</v>
      </c>
      <c r="P1034" t="s">
        <v>87</v>
      </c>
      <c r="Q1034" t="s">
        <v>527</v>
      </c>
      <c r="R1034">
        <v>3.6070000000000002</v>
      </c>
      <c r="S1034">
        <f t="shared" si="287"/>
        <v>4.1156400000000124</v>
      </c>
      <c r="U1034">
        <v>27</v>
      </c>
      <c r="V1034" t="s">
        <v>138</v>
      </c>
      <c r="W1034">
        <f t="shared" si="288"/>
        <v>84.72</v>
      </c>
      <c r="Y1034">
        <v>2008</v>
      </c>
      <c r="Z1034">
        <f>2025-AVERAGE($Y$951:$Y$1050)</f>
        <v>17</v>
      </c>
      <c r="AA1034">
        <v>5.0000000000000001E-3</v>
      </c>
      <c r="AB1034">
        <v>0</v>
      </c>
      <c r="AC1034" t="s">
        <v>1040</v>
      </c>
      <c r="AD1034" s="3">
        <v>0.76</v>
      </c>
      <c r="AE1034">
        <v>1</v>
      </c>
      <c r="AF1034" t="str">
        <f t="shared" si="289"/>
        <v>US</v>
      </c>
      <c r="AG1034">
        <v>4</v>
      </c>
      <c r="AH1034">
        <v>2</v>
      </c>
      <c r="AI1034">
        <f t="shared" si="290"/>
        <v>2.84</v>
      </c>
      <c r="AJ1034">
        <f t="shared" si="291"/>
        <v>2.17</v>
      </c>
      <c r="AK1034" t="s">
        <v>112</v>
      </c>
      <c r="AL1034">
        <v>25</v>
      </c>
      <c r="AN1034" t="s">
        <v>527</v>
      </c>
      <c r="AO1034">
        <v>4.4050000000000002</v>
      </c>
    </row>
    <row r="1035" spans="1:41" ht="15.6">
      <c r="A1035">
        <v>21</v>
      </c>
      <c r="B1035" t="s">
        <v>1054</v>
      </c>
      <c r="C1035" t="s">
        <v>564</v>
      </c>
      <c r="E1035" s="3">
        <f t="shared" si="282"/>
        <v>77.173913043478265</v>
      </c>
      <c r="F1035">
        <v>2016</v>
      </c>
      <c r="G1035">
        <f t="shared" si="279"/>
        <v>9</v>
      </c>
      <c r="H1035">
        <f t="shared" si="283"/>
        <v>0.13737906249999995</v>
      </c>
      <c r="J1035">
        <f t="shared" si="284"/>
        <v>100</v>
      </c>
      <c r="K1035">
        <v>3</v>
      </c>
      <c r="L1035">
        <v>3</v>
      </c>
      <c r="M1035" s="12">
        <f t="shared" si="285"/>
        <v>0.18191058592099621</v>
      </c>
      <c r="N1035">
        <f t="shared" si="281"/>
        <v>4.2650977236283368E-2</v>
      </c>
      <c r="O1035">
        <f t="shared" si="286"/>
        <v>0.42650977236283366</v>
      </c>
      <c r="P1035" t="s">
        <v>32</v>
      </c>
      <c r="Q1035" t="s">
        <v>527</v>
      </c>
      <c r="R1035">
        <v>3.6070000000000002</v>
      </c>
      <c r="S1035">
        <f t="shared" si="287"/>
        <v>4.1156400000000124</v>
      </c>
      <c r="U1035">
        <v>219</v>
      </c>
      <c r="V1035" t="s">
        <v>138</v>
      </c>
      <c r="W1035">
        <f t="shared" si="288"/>
        <v>84.72</v>
      </c>
      <c r="Y1035">
        <v>2008</v>
      </c>
      <c r="Z1035">
        <f>2025-AVERAGE($Y$951:$Y$1050)</f>
        <v>17</v>
      </c>
      <c r="AA1035" t="s">
        <v>397</v>
      </c>
      <c r="AB1035">
        <v>0.78700000000000003</v>
      </c>
      <c r="AC1035" t="s">
        <v>1041</v>
      </c>
      <c r="AD1035" s="3">
        <v>0.03</v>
      </c>
      <c r="AE1035">
        <v>1</v>
      </c>
      <c r="AF1035" t="str">
        <f t="shared" si="289"/>
        <v>US</v>
      </c>
      <c r="AG1035">
        <v>2</v>
      </c>
      <c r="AH1035">
        <v>3</v>
      </c>
      <c r="AI1035">
        <f t="shared" si="290"/>
        <v>2.84</v>
      </c>
      <c r="AJ1035">
        <f t="shared" si="291"/>
        <v>2.17</v>
      </c>
      <c r="AK1035" t="s">
        <v>112</v>
      </c>
      <c r="AL1035">
        <v>25</v>
      </c>
      <c r="AN1035" t="s">
        <v>527</v>
      </c>
      <c r="AO1035">
        <v>4.4050000000000002</v>
      </c>
    </row>
    <row r="1036" spans="1:41" ht="15.6">
      <c r="A1036">
        <v>21</v>
      </c>
      <c r="B1036" t="s">
        <v>1054</v>
      </c>
      <c r="C1036" t="s">
        <v>564</v>
      </c>
      <c r="E1036" s="3">
        <f t="shared" si="282"/>
        <v>77.173913043478265</v>
      </c>
      <c r="F1036">
        <v>2016</v>
      </c>
      <c r="G1036">
        <f t="shared" si="279"/>
        <v>9</v>
      </c>
      <c r="H1036">
        <f t="shared" si="283"/>
        <v>0.13737906249999995</v>
      </c>
      <c r="J1036">
        <f t="shared" si="284"/>
        <v>100</v>
      </c>
      <c r="K1036">
        <v>3</v>
      </c>
      <c r="L1036">
        <v>3</v>
      </c>
      <c r="M1036" s="12">
        <f t="shared" si="285"/>
        <v>0.18191058592099621</v>
      </c>
      <c r="N1036">
        <f t="shared" si="281"/>
        <v>4.2650977236283368E-2</v>
      </c>
      <c r="O1036">
        <f t="shared" si="286"/>
        <v>0.42650977236283366</v>
      </c>
      <c r="P1036" t="s">
        <v>90</v>
      </c>
      <c r="Q1036" t="s">
        <v>527</v>
      </c>
      <c r="R1036">
        <v>3.6070000000000002</v>
      </c>
      <c r="S1036">
        <f t="shared" si="287"/>
        <v>4.1156400000000124</v>
      </c>
      <c r="U1036">
        <v>138</v>
      </c>
      <c r="V1036" t="s">
        <v>138</v>
      </c>
      <c r="W1036">
        <f t="shared" si="288"/>
        <v>84.72</v>
      </c>
      <c r="Y1036">
        <v>2008</v>
      </c>
      <c r="Z1036">
        <f>2025-AVERAGE($Y$951:$Y$1050)</f>
        <v>17</v>
      </c>
      <c r="AA1036" t="s">
        <v>392</v>
      </c>
      <c r="AB1036" t="s">
        <v>385</v>
      </c>
      <c r="AC1036" t="s">
        <v>384</v>
      </c>
      <c r="AD1036" s="3">
        <v>0.74399999999999999</v>
      </c>
      <c r="AE1036">
        <v>1</v>
      </c>
      <c r="AF1036" t="str">
        <f t="shared" si="289"/>
        <v>US</v>
      </c>
      <c r="AG1036">
        <v>3</v>
      </c>
      <c r="AH1036">
        <v>1</v>
      </c>
      <c r="AI1036">
        <f t="shared" si="290"/>
        <v>2.84</v>
      </c>
      <c r="AJ1036">
        <f t="shared" si="291"/>
        <v>2.17</v>
      </c>
      <c r="AK1036" t="s">
        <v>112</v>
      </c>
      <c r="AL1036">
        <v>25</v>
      </c>
      <c r="AN1036" t="s">
        <v>527</v>
      </c>
      <c r="AO1036">
        <v>4.4050000000000002</v>
      </c>
    </row>
    <row r="1037" spans="1:41" ht="15.6">
      <c r="A1037">
        <v>21</v>
      </c>
      <c r="B1037" t="s">
        <v>1054</v>
      </c>
      <c r="C1037" t="s">
        <v>564</v>
      </c>
      <c r="E1037" s="3">
        <f t="shared" si="282"/>
        <v>77.173913043478265</v>
      </c>
      <c r="F1037">
        <v>2016</v>
      </c>
      <c r="G1037">
        <f t="shared" si="279"/>
        <v>9</v>
      </c>
      <c r="H1037">
        <f t="shared" si="283"/>
        <v>0.13737906249999995</v>
      </c>
      <c r="J1037">
        <f t="shared" si="284"/>
        <v>100</v>
      </c>
      <c r="K1037">
        <v>3</v>
      </c>
      <c r="L1037">
        <v>3</v>
      </c>
      <c r="M1037" s="12">
        <f t="shared" si="285"/>
        <v>0.18191058592099621</v>
      </c>
      <c r="N1037">
        <f t="shared" si="281"/>
        <v>4.2650977236283368E-2</v>
      </c>
      <c r="O1037">
        <f t="shared" si="286"/>
        <v>0.42650977236283366</v>
      </c>
      <c r="P1037" t="s">
        <v>34</v>
      </c>
      <c r="Q1037" t="s">
        <v>527</v>
      </c>
      <c r="R1037">
        <v>3.6070000000000002</v>
      </c>
      <c r="S1037">
        <f t="shared" si="287"/>
        <v>4.1156400000000124</v>
      </c>
      <c r="U1037">
        <v>185</v>
      </c>
      <c r="V1037" t="s">
        <v>138</v>
      </c>
      <c r="W1037">
        <f t="shared" si="288"/>
        <v>84.72</v>
      </c>
      <c r="Y1037">
        <v>2008</v>
      </c>
      <c r="Z1037">
        <f>2025-AVERAGE($Y$951:$Y$1050)</f>
        <v>17</v>
      </c>
      <c r="AA1037">
        <v>0.01</v>
      </c>
      <c r="AB1037">
        <v>0.68</v>
      </c>
      <c r="AC1037" t="s">
        <v>1042</v>
      </c>
      <c r="AD1037" s="3">
        <v>0.02</v>
      </c>
      <c r="AE1037">
        <v>1</v>
      </c>
      <c r="AF1037" t="str">
        <f t="shared" si="289"/>
        <v>US</v>
      </c>
      <c r="AG1037">
        <v>4</v>
      </c>
      <c r="AH1037">
        <v>2</v>
      </c>
      <c r="AI1037">
        <f t="shared" si="290"/>
        <v>2.84</v>
      </c>
      <c r="AJ1037">
        <f t="shared" si="291"/>
        <v>2.17</v>
      </c>
      <c r="AK1037" t="s">
        <v>112</v>
      </c>
      <c r="AL1037">
        <v>25</v>
      </c>
      <c r="AN1037" t="s">
        <v>527</v>
      </c>
      <c r="AO1037">
        <v>4.4050000000000002</v>
      </c>
    </row>
    <row r="1038" spans="1:41" ht="15.6">
      <c r="A1038">
        <v>21</v>
      </c>
      <c r="B1038" t="s">
        <v>1054</v>
      </c>
      <c r="C1038" t="s">
        <v>564</v>
      </c>
      <c r="E1038" s="3">
        <f t="shared" si="282"/>
        <v>77.173913043478265</v>
      </c>
      <c r="F1038">
        <v>2016</v>
      </c>
      <c r="G1038">
        <f t="shared" si="279"/>
        <v>9</v>
      </c>
      <c r="H1038">
        <f t="shared" si="283"/>
        <v>0.13737906249999995</v>
      </c>
      <c r="J1038">
        <f t="shared" si="284"/>
        <v>100</v>
      </c>
      <c r="K1038">
        <v>3</v>
      </c>
      <c r="L1038">
        <v>3</v>
      </c>
      <c r="M1038" s="12">
        <f t="shared" si="285"/>
        <v>0.18191058592099621</v>
      </c>
      <c r="N1038">
        <f t="shared" si="281"/>
        <v>4.2650977236283368E-2</v>
      </c>
      <c r="O1038">
        <f t="shared" si="286"/>
        <v>0.42650977236283366</v>
      </c>
      <c r="P1038" t="s">
        <v>92</v>
      </c>
      <c r="Q1038" t="s">
        <v>527</v>
      </c>
      <c r="R1038">
        <v>3.6070000000000002</v>
      </c>
      <c r="S1038">
        <f t="shared" si="287"/>
        <v>4.1156400000000124</v>
      </c>
      <c r="U1038">
        <v>126</v>
      </c>
      <c r="V1038" t="s">
        <v>138</v>
      </c>
      <c r="W1038">
        <f t="shared" si="288"/>
        <v>84.72</v>
      </c>
      <c r="Y1038">
        <v>2008</v>
      </c>
      <c r="Z1038">
        <f>2025-AVERAGE($Y$951:$Y$1050)</f>
        <v>17</v>
      </c>
      <c r="AA1038">
        <v>0</v>
      </c>
      <c r="AB1038">
        <v>1E-4</v>
      </c>
      <c r="AC1038" t="s">
        <v>1043</v>
      </c>
      <c r="AD1038" s="3">
        <v>0.42599999999999999</v>
      </c>
      <c r="AE1038">
        <v>1</v>
      </c>
      <c r="AF1038" t="str">
        <f t="shared" si="289"/>
        <v>US</v>
      </c>
      <c r="AG1038">
        <v>3</v>
      </c>
      <c r="AH1038">
        <v>3</v>
      </c>
      <c r="AI1038">
        <f t="shared" si="290"/>
        <v>2.84</v>
      </c>
      <c r="AJ1038">
        <f t="shared" si="291"/>
        <v>2.17</v>
      </c>
      <c r="AK1038" t="s">
        <v>112</v>
      </c>
      <c r="AL1038">
        <v>25</v>
      </c>
      <c r="AN1038" t="s">
        <v>527</v>
      </c>
      <c r="AO1038">
        <v>4.4050000000000002</v>
      </c>
    </row>
    <row r="1039" spans="1:41" ht="15.6">
      <c r="A1039">
        <v>21</v>
      </c>
      <c r="B1039" t="s">
        <v>1054</v>
      </c>
      <c r="C1039" t="s">
        <v>564</v>
      </c>
      <c r="E1039" s="3">
        <f t="shared" si="282"/>
        <v>77.173913043478265</v>
      </c>
      <c r="F1039">
        <v>2016</v>
      </c>
      <c r="G1039">
        <f t="shared" si="279"/>
        <v>9</v>
      </c>
      <c r="H1039">
        <f t="shared" si="283"/>
        <v>0.13737906249999995</v>
      </c>
      <c r="J1039">
        <f t="shared" si="284"/>
        <v>100</v>
      </c>
      <c r="K1039">
        <v>3</v>
      </c>
      <c r="L1039">
        <v>3</v>
      </c>
      <c r="M1039" s="12">
        <f t="shared" si="285"/>
        <v>0.18191058592099621</v>
      </c>
      <c r="N1039">
        <f t="shared" si="281"/>
        <v>4.2650977236283368E-2</v>
      </c>
      <c r="O1039">
        <f t="shared" si="286"/>
        <v>0.42650977236283366</v>
      </c>
      <c r="P1039" t="s">
        <v>85</v>
      </c>
      <c r="Q1039" t="s">
        <v>527</v>
      </c>
      <c r="R1039">
        <v>3.6070000000000002</v>
      </c>
      <c r="S1039">
        <f t="shared" si="287"/>
        <v>4.1156400000000124</v>
      </c>
      <c r="U1039">
        <v>15</v>
      </c>
      <c r="V1039" t="s">
        <v>138</v>
      </c>
      <c r="W1039">
        <f t="shared" si="288"/>
        <v>84.72</v>
      </c>
      <c r="Y1039">
        <v>2008</v>
      </c>
      <c r="Z1039">
        <f>2025-AVERAGE($Y$951:$Y$1050)</f>
        <v>17</v>
      </c>
      <c r="AA1039" t="s">
        <v>409</v>
      </c>
      <c r="AB1039">
        <v>0.09</v>
      </c>
      <c r="AC1039" t="s">
        <v>1044</v>
      </c>
      <c r="AD1039" s="3">
        <v>0.54800000000000004</v>
      </c>
      <c r="AE1039">
        <v>1</v>
      </c>
      <c r="AF1039" t="str">
        <f t="shared" si="289"/>
        <v>US</v>
      </c>
      <c r="AG1039">
        <v>3</v>
      </c>
      <c r="AH1039">
        <v>1</v>
      </c>
      <c r="AI1039">
        <f t="shared" si="290"/>
        <v>2.84</v>
      </c>
      <c r="AJ1039">
        <f t="shared" si="291"/>
        <v>2.17</v>
      </c>
      <c r="AK1039" t="s">
        <v>112</v>
      </c>
      <c r="AL1039">
        <v>25</v>
      </c>
      <c r="AN1039" t="s">
        <v>527</v>
      </c>
      <c r="AO1039">
        <v>4.4050000000000002</v>
      </c>
    </row>
    <row r="1040" spans="1:41" ht="15.6">
      <c r="A1040">
        <v>21</v>
      </c>
      <c r="B1040" t="s">
        <v>1054</v>
      </c>
      <c r="C1040" t="s">
        <v>564</v>
      </c>
      <c r="E1040" s="3">
        <f t="shared" si="282"/>
        <v>77.173913043478265</v>
      </c>
      <c r="F1040">
        <v>2016</v>
      </c>
      <c r="G1040">
        <f t="shared" si="279"/>
        <v>9</v>
      </c>
      <c r="H1040">
        <f t="shared" si="283"/>
        <v>0.13737906249999995</v>
      </c>
      <c r="J1040">
        <f t="shared" si="284"/>
        <v>100</v>
      </c>
      <c r="K1040">
        <v>3</v>
      </c>
      <c r="L1040">
        <v>3</v>
      </c>
      <c r="M1040" s="12">
        <f t="shared" si="285"/>
        <v>0.18191058592099621</v>
      </c>
      <c r="N1040">
        <f t="shared" si="281"/>
        <v>4.2650977236283368E-2</v>
      </c>
      <c r="O1040">
        <f t="shared" si="286"/>
        <v>0.42650977236283366</v>
      </c>
      <c r="P1040" t="s">
        <v>19</v>
      </c>
      <c r="Q1040" t="s">
        <v>527</v>
      </c>
      <c r="R1040">
        <v>3.6070000000000002</v>
      </c>
      <c r="S1040">
        <f t="shared" si="287"/>
        <v>4.1156400000000124</v>
      </c>
      <c r="U1040">
        <v>20</v>
      </c>
      <c r="V1040" t="s">
        <v>138</v>
      </c>
      <c r="W1040">
        <f t="shared" si="288"/>
        <v>84.72</v>
      </c>
      <c r="Y1040">
        <v>2008</v>
      </c>
      <c r="Z1040">
        <f>2025-AVERAGE($Y$951:$Y$1050)</f>
        <v>17</v>
      </c>
      <c r="AA1040">
        <v>8.0000000000000002E-3</v>
      </c>
      <c r="AB1040">
        <v>0.628</v>
      </c>
      <c r="AC1040" t="s">
        <v>1045</v>
      </c>
      <c r="AD1040" s="3">
        <v>1E-3</v>
      </c>
      <c r="AE1040">
        <v>1</v>
      </c>
      <c r="AF1040" t="str">
        <f t="shared" si="289"/>
        <v>US</v>
      </c>
      <c r="AG1040">
        <v>2</v>
      </c>
      <c r="AH1040">
        <v>2</v>
      </c>
      <c r="AI1040">
        <f t="shared" si="290"/>
        <v>2.84</v>
      </c>
      <c r="AJ1040">
        <f t="shared" si="291"/>
        <v>2.17</v>
      </c>
      <c r="AK1040" t="s">
        <v>112</v>
      </c>
      <c r="AL1040">
        <v>25</v>
      </c>
      <c r="AN1040" t="s">
        <v>527</v>
      </c>
      <c r="AO1040">
        <v>4.4050000000000002</v>
      </c>
    </row>
    <row r="1041" spans="1:41" ht="15.6">
      <c r="A1041">
        <v>21</v>
      </c>
      <c r="B1041" t="s">
        <v>1054</v>
      </c>
      <c r="C1041" t="s">
        <v>564</v>
      </c>
      <c r="E1041" s="3">
        <f t="shared" si="282"/>
        <v>77.173913043478265</v>
      </c>
      <c r="F1041">
        <v>2016</v>
      </c>
      <c r="G1041">
        <f t="shared" si="279"/>
        <v>9</v>
      </c>
      <c r="H1041">
        <f t="shared" si="283"/>
        <v>0.13737906249999995</v>
      </c>
      <c r="J1041">
        <f t="shared" si="284"/>
        <v>100</v>
      </c>
      <c r="K1041">
        <v>3</v>
      </c>
      <c r="L1041">
        <v>3</v>
      </c>
      <c r="M1041" s="12">
        <f t="shared" si="285"/>
        <v>0.18191058592099621</v>
      </c>
      <c r="N1041">
        <f t="shared" si="281"/>
        <v>4.2650977236283368E-2</v>
      </c>
      <c r="O1041">
        <f t="shared" si="286"/>
        <v>0.42650977236283366</v>
      </c>
      <c r="P1041" t="s">
        <v>19</v>
      </c>
      <c r="Q1041" t="s">
        <v>527</v>
      </c>
      <c r="R1041">
        <v>3.6070000000000002</v>
      </c>
      <c r="S1041">
        <f t="shared" si="287"/>
        <v>4.1156400000000124</v>
      </c>
      <c r="U1041">
        <v>20</v>
      </c>
      <c r="V1041" t="s">
        <v>138</v>
      </c>
      <c r="W1041">
        <f t="shared" si="288"/>
        <v>84.72</v>
      </c>
      <c r="Y1041">
        <v>2008</v>
      </c>
      <c r="Z1041">
        <f>2025-AVERAGE($Y$951:$Y$1050)</f>
        <v>17</v>
      </c>
      <c r="AA1041">
        <v>8.0000000000000002E-3</v>
      </c>
      <c r="AB1041">
        <v>0.746</v>
      </c>
      <c r="AC1041" t="s">
        <v>1045</v>
      </c>
      <c r="AD1041" s="3">
        <v>0</v>
      </c>
      <c r="AE1041">
        <v>1</v>
      </c>
      <c r="AF1041" t="str">
        <f t="shared" si="289"/>
        <v>US</v>
      </c>
      <c r="AG1041">
        <v>2</v>
      </c>
      <c r="AH1041">
        <v>2</v>
      </c>
      <c r="AI1041">
        <f t="shared" si="290"/>
        <v>2.84</v>
      </c>
      <c r="AJ1041">
        <f t="shared" si="291"/>
        <v>2.17</v>
      </c>
      <c r="AK1041" t="s">
        <v>112</v>
      </c>
      <c r="AL1041">
        <v>25</v>
      </c>
      <c r="AN1041" t="s">
        <v>527</v>
      </c>
      <c r="AO1041">
        <v>4.4050000000000002</v>
      </c>
    </row>
    <row r="1042" spans="1:41" ht="15.6">
      <c r="A1042">
        <v>21</v>
      </c>
      <c r="B1042" t="s">
        <v>1054</v>
      </c>
      <c r="C1042" t="s">
        <v>564</v>
      </c>
      <c r="E1042" s="3">
        <f t="shared" si="282"/>
        <v>77.173913043478265</v>
      </c>
      <c r="F1042">
        <v>2016</v>
      </c>
      <c r="G1042">
        <f t="shared" ref="G1042:G1105" si="292">2025-F1042</f>
        <v>9</v>
      </c>
      <c r="H1042">
        <f t="shared" si="283"/>
        <v>0.13737906249999995</v>
      </c>
      <c r="J1042">
        <f t="shared" si="284"/>
        <v>100</v>
      </c>
      <c r="K1042">
        <v>3</v>
      </c>
      <c r="L1042">
        <v>3</v>
      </c>
      <c r="M1042" s="12">
        <f t="shared" si="285"/>
        <v>0.18191058592099621</v>
      </c>
      <c r="N1042">
        <f t="shared" si="281"/>
        <v>4.2650977236283368E-2</v>
      </c>
      <c r="O1042">
        <f t="shared" si="286"/>
        <v>0.42650977236283366</v>
      </c>
      <c r="P1042" t="s">
        <v>63</v>
      </c>
      <c r="Q1042" t="s">
        <v>527</v>
      </c>
      <c r="R1042">
        <v>3.6070000000000002</v>
      </c>
      <c r="S1042">
        <f t="shared" si="287"/>
        <v>4.1156400000000124</v>
      </c>
      <c r="U1042">
        <v>7</v>
      </c>
      <c r="V1042" t="s">
        <v>138</v>
      </c>
      <c r="W1042">
        <f t="shared" si="288"/>
        <v>84.72</v>
      </c>
      <c r="Y1042">
        <v>2008</v>
      </c>
      <c r="Z1042">
        <f>2025-AVERAGE($Y$951:$Y$1050)</f>
        <v>17</v>
      </c>
      <c r="AA1042" t="s">
        <v>404</v>
      </c>
      <c r="AB1042">
        <v>0.36899999999999999</v>
      </c>
      <c r="AC1042" t="s">
        <v>1046</v>
      </c>
      <c r="AD1042" s="3">
        <v>6.4999999999999997E-3</v>
      </c>
      <c r="AE1042">
        <v>1</v>
      </c>
      <c r="AF1042" t="str">
        <f t="shared" si="289"/>
        <v>US</v>
      </c>
      <c r="AG1042">
        <v>2</v>
      </c>
      <c r="AH1042">
        <v>2</v>
      </c>
      <c r="AI1042">
        <f t="shared" si="290"/>
        <v>2.84</v>
      </c>
      <c r="AJ1042">
        <f t="shared" si="291"/>
        <v>2.17</v>
      </c>
      <c r="AK1042" t="s">
        <v>112</v>
      </c>
      <c r="AL1042">
        <v>25</v>
      </c>
      <c r="AN1042" t="s">
        <v>527</v>
      </c>
      <c r="AO1042">
        <v>4.4050000000000002</v>
      </c>
    </row>
    <row r="1043" spans="1:41" ht="15.6">
      <c r="A1043">
        <v>21</v>
      </c>
      <c r="B1043" t="s">
        <v>1054</v>
      </c>
      <c r="C1043" t="s">
        <v>564</v>
      </c>
      <c r="E1043" s="3">
        <f t="shared" si="282"/>
        <v>77.173913043478265</v>
      </c>
      <c r="F1043">
        <v>2016</v>
      </c>
      <c r="G1043">
        <f t="shared" si="292"/>
        <v>9</v>
      </c>
      <c r="H1043">
        <f t="shared" si="283"/>
        <v>0.13737906249999995</v>
      </c>
      <c r="J1043">
        <f t="shared" si="284"/>
        <v>100</v>
      </c>
      <c r="K1043">
        <v>3</v>
      </c>
      <c r="L1043">
        <v>3</v>
      </c>
      <c r="M1043" s="12">
        <f t="shared" si="285"/>
        <v>0.18191058592099621</v>
      </c>
      <c r="N1043">
        <f t="shared" si="281"/>
        <v>4.2650977236283368E-2</v>
      </c>
      <c r="O1043">
        <f t="shared" si="286"/>
        <v>0.42650977236283366</v>
      </c>
      <c r="P1043" t="s">
        <v>22</v>
      </c>
      <c r="Q1043" t="s">
        <v>527</v>
      </c>
      <c r="R1043">
        <v>3.6070000000000002</v>
      </c>
      <c r="S1043">
        <f t="shared" si="287"/>
        <v>4.1156400000000124</v>
      </c>
      <c r="U1043">
        <v>246</v>
      </c>
      <c r="V1043" t="s">
        <v>138</v>
      </c>
      <c r="W1043">
        <f t="shared" si="288"/>
        <v>84.72</v>
      </c>
      <c r="Y1043">
        <v>2008</v>
      </c>
      <c r="Z1043">
        <f>2025-AVERAGE($Y$951:$Y$1050)</f>
        <v>17</v>
      </c>
      <c r="AA1043" t="s">
        <v>388</v>
      </c>
      <c r="AB1043">
        <v>0.97</v>
      </c>
      <c r="AC1043" t="s">
        <v>995</v>
      </c>
      <c r="AD1043" s="3">
        <v>6.0000000000000001E-3</v>
      </c>
      <c r="AE1043">
        <v>1</v>
      </c>
      <c r="AF1043" t="str">
        <f t="shared" si="289"/>
        <v>US</v>
      </c>
      <c r="AG1043">
        <v>3</v>
      </c>
      <c r="AH1043">
        <v>3</v>
      </c>
      <c r="AI1043">
        <f t="shared" si="290"/>
        <v>2.84</v>
      </c>
      <c r="AJ1043">
        <f t="shared" si="291"/>
        <v>2.17</v>
      </c>
      <c r="AK1043" t="s">
        <v>112</v>
      </c>
      <c r="AL1043">
        <v>25</v>
      </c>
      <c r="AN1043" t="s">
        <v>527</v>
      </c>
      <c r="AO1043">
        <v>4.4050000000000002</v>
      </c>
    </row>
    <row r="1044" spans="1:41" ht="15.6">
      <c r="A1044">
        <v>21</v>
      </c>
      <c r="B1044" t="s">
        <v>1054</v>
      </c>
      <c r="C1044" t="s">
        <v>564</v>
      </c>
      <c r="E1044" s="3">
        <f t="shared" si="282"/>
        <v>77.173913043478265</v>
      </c>
      <c r="F1044">
        <v>2016</v>
      </c>
      <c r="G1044">
        <f t="shared" si="292"/>
        <v>9</v>
      </c>
      <c r="H1044">
        <f t="shared" si="283"/>
        <v>0.13737906249999995</v>
      </c>
      <c r="J1044">
        <f t="shared" si="284"/>
        <v>100</v>
      </c>
      <c r="K1044">
        <v>3</v>
      </c>
      <c r="L1044">
        <v>3</v>
      </c>
      <c r="M1044" s="12">
        <f t="shared" si="285"/>
        <v>0.18191058592099621</v>
      </c>
      <c r="N1044">
        <f t="shared" si="281"/>
        <v>4.2650977236283368E-2</v>
      </c>
      <c r="O1044">
        <f t="shared" si="286"/>
        <v>0.42650977236283366</v>
      </c>
      <c r="P1044" t="s">
        <v>51</v>
      </c>
      <c r="Q1044" t="s">
        <v>527</v>
      </c>
      <c r="R1044">
        <v>3.6070000000000002</v>
      </c>
      <c r="S1044">
        <f t="shared" si="287"/>
        <v>4.1156400000000124</v>
      </c>
      <c r="U1044">
        <v>38</v>
      </c>
      <c r="V1044" t="s">
        <v>138</v>
      </c>
      <c r="W1044">
        <f t="shared" si="288"/>
        <v>84.72</v>
      </c>
      <c r="Y1044">
        <v>2008</v>
      </c>
      <c r="Z1044">
        <f>2025-AVERAGE($Y$951:$Y$1050)</f>
        <v>17</v>
      </c>
      <c r="AA1044" t="s">
        <v>392</v>
      </c>
      <c r="AB1044">
        <v>0.76</v>
      </c>
      <c r="AC1044" t="s">
        <v>1047</v>
      </c>
      <c r="AD1044" s="3">
        <v>0.11</v>
      </c>
      <c r="AE1044">
        <v>1</v>
      </c>
      <c r="AF1044" t="str">
        <f t="shared" si="289"/>
        <v>US</v>
      </c>
      <c r="AG1044">
        <v>2</v>
      </c>
      <c r="AH1044">
        <v>3</v>
      </c>
      <c r="AI1044">
        <f t="shared" si="290"/>
        <v>2.84</v>
      </c>
      <c r="AJ1044">
        <f t="shared" si="291"/>
        <v>2.17</v>
      </c>
      <c r="AK1044" t="s">
        <v>112</v>
      </c>
      <c r="AL1044">
        <v>25</v>
      </c>
      <c r="AN1044" t="s">
        <v>527</v>
      </c>
      <c r="AO1044">
        <v>4.4050000000000002</v>
      </c>
    </row>
    <row r="1045" spans="1:41" ht="15.6">
      <c r="A1045">
        <v>21</v>
      </c>
      <c r="B1045" t="s">
        <v>1054</v>
      </c>
      <c r="C1045" t="s">
        <v>564</v>
      </c>
      <c r="E1045" s="3">
        <f t="shared" si="282"/>
        <v>77.173913043478265</v>
      </c>
      <c r="F1045">
        <v>2016</v>
      </c>
      <c r="G1045">
        <f t="shared" si="292"/>
        <v>9</v>
      </c>
      <c r="H1045">
        <f t="shared" si="283"/>
        <v>0.13737906249999995</v>
      </c>
      <c r="J1045">
        <f t="shared" si="284"/>
        <v>100</v>
      </c>
      <c r="K1045">
        <v>3</v>
      </c>
      <c r="L1045">
        <v>3</v>
      </c>
      <c r="M1045" s="12">
        <f t="shared" si="285"/>
        <v>0.18191058592099621</v>
      </c>
      <c r="N1045">
        <f t="shared" si="281"/>
        <v>4.2650977236283368E-2</v>
      </c>
      <c r="O1045">
        <f t="shared" si="286"/>
        <v>0.42650977236283366</v>
      </c>
      <c r="P1045" t="s">
        <v>48</v>
      </c>
      <c r="Q1045" t="s">
        <v>527</v>
      </c>
      <c r="R1045">
        <v>3.6070000000000002</v>
      </c>
      <c r="S1045">
        <f t="shared" si="287"/>
        <v>4.1156400000000124</v>
      </c>
      <c r="U1045">
        <v>105</v>
      </c>
      <c r="V1045" t="s">
        <v>138</v>
      </c>
      <c r="W1045">
        <f t="shared" si="288"/>
        <v>84.72</v>
      </c>
      <c r="Y1045">
        <v>2008</v>
      </c>
      <c r="Z1045">
        <f>2025-AVERAGE($Y$951:$Y$1050)</f>
        <v>17</v>
      </c>
      <c r="AA1045" t="s">
        <v>384</v>
      </c>
      <c r="AB1045" t="s">
        <v>384</v>
      </c>
      <c r="AC1045" t="s">
        <v>1048</v>
      </c>
      <c r="AD1045" s="3">
        <v>-0.11</v>
      </c>
      <c r="AE1045">
        <v>1</v>
      </c>
      <c r="AF1045" t="str">
        <f t="shared" si="289"/>
        <v>US</v>
      </c>
      <c r="AG1045">
        <v>3</v>
      </c>
      <c r="AH1045">
        <v>2</v>
      </c>
      <c r="AI1045">
        <f t="shared" si="290"/>
        <v>2.84</v>
      </c>
      <c r="AJ1045">
        <f t="shared" si="291"/>
        <v>2.17</v>
      </c>
      <c r="AK1045" t="s">
        <v>112</v>
      </c>
      <c r="AL1045">
        <v>25</v>
      </c>
      <c r="AN1045" t="s">
        <v>527</v>
      </c>
      <c r="AO1045">
        <v>4.4050000000000002</v>
      </c>
    </row>
    <row r="1046" spans="1:41" ht="15.6">
      <c r="A1046">
        <v>21</v>
      </c>
      <c r="B1046" t="s">
        <v>1054</v>
      </c>
      <c r="C1046" t="s">
        <v>564</v>
      </c>
      <c r="E1046" s="3">
        <f t="shared" si="282"/>
        <v>77.173913043478265</v>
      </c>
      <c r="F1046">
        <v>2016</v>
      </c>
      <c r="G1046">
        <f t="shared" si="292"/>
        <v>9</v>
      </c>
      <c r="H1046">
        <f t="shared" si="283"/>
        <v>0.13737906249999995</v>
      </c>
      <c r="J1046">
        <f t="shared" si="284"/>
        <v>100</v>
      </c>
      <c r="K1046">
        <v>3</v>
      </c>
      <c r="L1046">
        <v>3</v>
      </c>
      <c r="M1046" s="12">
        <f t="shared" si="285"/>
        <v>0.18191058592099621</v>
      </c>
      <c r="N1046">
        <f t="shared" si="281"/>
        <v>4.2650977236283368E-2</v>
      </c>
      <c r="O1046">
        <f t="shared" si="286"/>
        <v>0.42650977236283366</v>
      </c>
      <c r="P1046" t="s">
        <v>17</v>
      </c>
      <c r="Q1046" t="s">
        <v>527</v>
      </c>
      <c r="R1046">
        <v>3.6070000000000002</v>
      </c>
      <c r="S1046">
        <f t="shared" si="287"/>
        <v>4.1156400000000124</v>
      </c>
      <c r="U1046">
        <v>33</v>
      </c>
      <c r="V1046" t="s">
        <v>138</v>
      </c>
      <c r="W1046">
        <f t="shared" si="288"/>
        <v>84.72</v>
      </c>
      <c r="Y1046">
        <v>2008</v>
      </c>
      <c r="Z1046">
        <f>2025-AVERAGE($Y$951:$Y$1050)</f>
        <v>17</v>
      </c>
      <c r="AA1046" t="s">
        <v>389</v>
      </c>
      <c r="AB1046">
        <v>0.78</v>
      </c>
      <c r="AC1046" t="s">
        <v>1049</v>
      </c>
      <c r="AD1046" s="3">
        <v>3.4000000000000002E-2</v>
      </c>
      <c r="AE1046">
        <v>1</v>
      </c>
      <c r="AF1046" t="str">
        <f t="shared" si="289"/>
        <v>US</v>
      </c>
      <c r="AG1046">
        <v>3</v>
      </c>
      <c r="AH1046">
        <v>2</v>
      </c>
      <c r="AI1046">
        <f t="shared" si="290"/>
        <v>2.84</v>
      </c>
      <c r="AJ1046">
        <f t="shared" si="291"/>
        <v>2.17</v>
      </c>
      <c r="AK1046" t="s">
        <v>112</v>
      </c>
      <c r="AL1046">
        <v>25</v>
      </c>
      <c r="AN1046" t="s">
        <v>527</v>
      </c>
      <c r="AO1046">
        <v>4.4050000000000002</v>
      </c>
    </row>
    <row r="1047" spans="1:41" ht="15.6">
      <c r="A1047">
        <v>21</v>
      </c>
      <c r="B1047" t="s">
        <v>1054</v>
      </c>
      <c r="C1047" t="s">
        <v>564</v>
      </c>
      <c r="E1047" s="3">
        <f t="shared" si="282"/>
        <v>77.173913043478265</v>
      </c>
      <c r="F1047">
        <v>2016</v>
      </c>
      <c r="G1047">
        <f t="shared" si="292"/>
        <v>9</v>
      </c>
      <c r="H1047">
        <f t="shared" si="283"/>
        <v>0.13737906249999995</v>
      </c>
      <c r="J1047">
        <f t="shared" si="284"/>
        <v>100</v>
      </c>
      <c r="K1047">
        <v>3</v>
      </c>
      <c r="L1047">
        <v>3</v>
      </c>
      <c r="M1047" s="12">
        <f t="shared" si="285"/>
        <v>0.18191058592099621</v>
      </c>
      <c r="N1047">
        <f t="shared" si="281"/>
        <v>4.2650977236283368E-2</v>
      </c>
      <c r="O1047">
        <f t="shared" si="286"/>
        <v>0.42650977236283366</v>
      </c>
      <c r="P1047" t="s">
        <v>80</v>
      </c>
      <c r="Q1047" t="s">
        <v>527</v>
      </c>
      <c r="R1047">
        <v>3.6070000000000002</v>
      </c>
      <c r="S1047">
        <f t="shared" si="287"/>
        <v>4.1156400000000124</v>
      </c>
      <c r="U1047">
        <v>45</v>
      </c>
      <c r="V1047" t="s">
        <v>138</v>
      </c>
      <c r="W1047">
        <f t="shared" si="288"/>
        <v>84.72</v>
      </c>
      <c r="Y1047">
        <v>2008</v>
      </c>
      <c r="Z1047">
        <f>2025-AVERAGE($Y$951:$Y$1050)</f>
        <v>17</v>
      </c>
      <c r="AA1047" t="s">
        <v>407</v>
      </c>
      <c r="AB1047">
        <v>3.4999999999999997E-5</v>
      </c>
      <c r="AC1047" t="s">
        <v>1050</v>
      </c>
      <c r="AD1047" s="3">
        <v>0.17</v>
      </c>
      <c r="AE1047">
        <v>1</v>
      </c>
      <c r="AF1047" t="str">
        <f t="shared" si="289"/>
        <v>US</v>
      </c>
      <c r="AG1047">
        <v>2</v>
      </c>
      <c r="AH1047">
        <v>2</v>
      </c>
      <c r="AI1047">
        <f>AVERAGE($AG$951:$AG$1050)</f>
        <v>2.84</v>
      </c>
      <c r="AJ1047">
        <f t="shared" si="291"/>
        <v>2.17</v>
      </c>
      <c r="AK1047" t="s">
        <v>112</v>
      </c>
      <c r="AL1047">
        <v>25</v>
      </c>
      <c r="AN1047" t="s">
        <v>527</v>
      </c>
      <c r="AO1047">
        <v>4.4050000000000002</v>
      </c>
    </row>
    <row r="1048" spans="1:41" ht="15.6">
      <c r="A1048">
        <v>21</v>
      </c>
      <c r="B1048" t="s">
        <v>1054</v>
      </c>
      <c r="C1048" t="s">
        <v>564</v>
      </c>
      <c r="E1048" s="3">
        <f t="shared" si="282"/>
        <v>77.173913043478265</v>
      </c>
      <c r="F1048">
        <v>2016</v>
      </c>
      <c r="G1048">
        <f t="shared" si="292"/>
        <v>9</v>
      </c>
      <c r="H1048">
        <f t="shared" si="283"/>
        <v>0.13737906249999995</v>
      </c>
      <c r="J1048">
        <f t="shared" si="284"/>
        <v>100</v>
      </c>
      <c r="K1048">
        <v>3</v>
      </c>
      <c r="L1048">
        <v>3</v>
      </c>
      <c r="M1048" s="12">
        <f t="shared" si="285"/>
        <v>0.18191058592099621</v>
      </c>
      <c r="N1048">
        <f t="shared" si="281"/>
        <v>4.2650977236283368E-2</v>
      </c>
      <c r="O1048">
        <f t="shared" si="286"/>
        <v>0.42650977236283366</v>
      </c>
      <c r="P1048" t="s">
        <v>60</v>
      </c>
      <c r="Q1048" t="s">
        <v>527</v>
      </c>
      <c r="R1048">
        <v>3.6070000000000002</v>
      </c>
      <c r="S1048">
        <f t="shared" si="287"/>
        <v>4.1156400000000124</v>
      </c>
      <c r="U1048">
        <v>143</v>
      </c>
      <c r="V1048" t="s">
        <v>138</v>
      </c>
      <c r="W1048">
        <f t="shared" si="288"/>
        <v>84.72</v>
      </c>
      <c r="Y1048">
        <v>2008</v>
      </c>
      <c r="Z1048">
        <f>2025-AVERAGE($Y$951:$Y$1050)</f>
        <v>17</v>
      </c>
      <c r="AA1048" t="s">
        <v>391</v>
      </c>
      <c r="AB1048">
        <v>0.23699999999999999</v>
      </c>
      <c r="AC1048" t="s">
        <v>1051</v>
      </c>
      <c r="AD1048" s="3">
        <v>3.2000000000000001E-2</v>
      </c>
      <c r="AE1048">
        <v>1</v>
      </c>
      <c r="AF1048" t="str">
        <f t="shared" si="289"/>
        <v>US</v>
      </c>
      <c r="AG1048">
        <v>2</v>
      </c>
      <c r="AH1048">
        <v>5</v>
      </c>
      <c r="AI1048">
        <f t="shared" si="290"/>
        <v>2.84</v>
      </c>
      <c r="AJ1048">
        <f t="shared" si="291"/>
        <v>2.17</v>
      </c>
      <c r="AK1048" t="s">
        <v>112</v>
      </c>
      <c r="AL1048">
        <v>25</v>
      </c>
      <c r="AN1048" t="s">
        <v>527</v>
      </c>
      <c r="AO1048">
        <v>4.4050000000000002</v>
      </c>
    </row>
    <row r="1049" spans="1:41" ht="15.6">
      <c r="A1049">
        <v>21</v>
      </c>
      <c r="B1049" t="s">
        <v>1054</v>
      </c>
      <c r="C1049" t="s">
        <v>564</v>
      </c>
      <c r="E1049" s="3">
        <f t="shared" si="282"/>
        <v>77.173913043478265</v>
      </c>
      <c r="F1049">
        <v>2016</v>
      </c>
      <c r="G1049">
        <f t="shared" si="292"/>
        <v>9</v>
      </c>
      <c r="H1049">
        <f t="shared" si="283"/>
        <v>0.13737906249999995</v>
      </c>
      <c r="J1049">
        <f t="shared" si="284"/>
        <v>100</v>
      </c>
      <c r="K1049">
        <v>3</v>
      </c>
      <c r="L1049">
        <v>3</v>
      </c>
      <c r="M1049" s="12">
        <f t="shared" si="285"/>
        <v>0.18191058592099621</v>
      </c>
      <c r="N1049">
        <f t="shared" si="281"/>
        <v>4.2650977236283368E-2</v>
      </c>
      <c r="O1049">
        <f t="shared" si="286"/>
        <v>0.42650977236283366</v>
      </c>
      <c r="P1049" t="s">
        <v>8</v>
      </c>
      <c r="Q1049" t="s">
        <v>527</v>
      </c>
      <c r="R1049">
        <v>3.6070000000000002</v>
      </c>
      <c r="S1049">
        <f t="shared" si="287"/>
        <v>4.1156400000000124</v>
      </c>
      <c r="U1049">
        <v>28</v>
      </c>
      <c r="V1049" t="s">
        <v>138</v>
      </c>
      <c r="W1049">
        <f t="shared" si="288"/>
        <v>84.72</v>
      </c>
      <c r="Y1049">
        <v>2008</v>
      </c>
      <c r="Z1049">
        <f>2025-AVERAGE($Y$951:$Y$1050)</f>
        <v>17</v>
      </c>
      <c r="AA1049">
        <v>3.6999999999999998E-2</v>
      </c>
      <c r="AB1049">
        <v>0.21</v>
      </c>
      <c r="AC1049" t="s">
        <v>1052</v>
      </c>
      <c r="AD1049" s="3">
        <v>0.19</v>
      </c>
      <c r="AE1049">
        <v>1</v>
      </c>
      <c r="AF1049" t="str">
        <f t="shared" si="289"/>
        <v>US</v>
      </c>
      <c r="AG1049">
        <v>3</v>
      </c>
      <c r="AH1049">
        <v>3</v>
      </c>
      <c r="AI1049">
        <f t="shared" si="290"/>
        <v>2.84</v>
      </c>
      <c r="AJ1049">
        <f t="shared" si="291"/>
        <v>2.17</v>
      </c>
      <c r="AK1049" t="s">
        <v>112</v>
      </c>
      <c r="AL1049">
        <v>25</v>
      </c>
      <c r="AN1049" t="s">
        <v>527</v>
      </c>
      <c r="AO1049">
        <v>4.4050000000000002</v>
      </c>
    </row>
    <row r="1050" spans="1:41" ht="15.6">
      <c r="A1050">
        <v>21</v>
      </c>
      <c r="B1050" t="s">
        <v>1054</v>
      </c>
      <c r="C1050" t="s">
        <v>564</v>
      </c>
      <c r="E1050" s="3">
        <f t="shared" si="282"/>
        <v>77.173913043478265</v>
      </c>
      <c r="F1050">
        <v>2016</v>
      </c>
      <c r="G1050">
        <f t="shared" si="292"/>
        <v>9</v>
      </c>
      <c r="H1050">
        <f t="shared" si="283"/>
        <v>0.13737906249999995</v>
      </c>
      <c r="J1050">
        <f t="shared" si="284"/>
        <v>100</v>
      </c>
      <c r="K1050">
        <v>3</v>
      </c>
      <c r="L1050">
        <v>3</v>
      </c>
      <c r="M1050" s="12">
        <f t="shared" si="285"/>
        <v>0.18191058592099621</v>
      </c>
      <c r="N1050">
        <f t="shared" si="281"/>
        <v>4.2650977236283368E-2</v>
      </c>
      <c r="O1050">
        <f t="shared" si="286"/>
        <v>0.42650977236283366</v>
      </c>
      <c r="P1050" t="s">
        <v>69</v>
      </c>
      <c r="Q1050" t="s">
        <v>527</v>
      </c>
      <c r="R1050">
        <v>3.6070000000000002</v>
      </c>
      <c r="S1050">
        <f t="shared" si="287"/>
        <v>4.1156400000000124</v>
      </c>
      <c r="U1050">
        <v>91</v>
      </c>
      <c r="V1050" t="s">
        <v>138</v>
      </c>
      <c r="W1050">
        <f t="shared" si="288"/>
        <v>84.72</v>
      </c>
      <c r="Y1050">
        <v>2008</v>
      </c>
      <c r="Z1050">
        <f>2025-AVERAGE($Y$951:$Y$1050)</f>
        <v>17</v>
      </c>
      <c r="AA1050" t="s">
        <v>388</v>
      </c>
      <c r="AB1050">
        <v>0.24</v>
      </c>
      <c r="AC1050" t="s">
        <v>1053</v>
      </c>
      <c r="AD1050" s="3">
        <v>6.5000000000000002E-2</v>
      </c>
      <c r="AE1050">
        <v>1</v>
      </c>
      <c r="AF1050" t="str">
        <f t="shared" si="289"/>
        <v>US</v>
      </c>
      <c r="AG1050">
        <v>3</v>
      </c>
      <c r="AH1050">
        <v>2</v>
      </c>
      <c r="AI1050">
        <f t="shared" si="290"/>
        <v>2.84</v>
      </c>
      <c r="AJ1050">
        <f t="shared" si="291"/>
        <v>2.17</v>
      </c>
      <c r="AK1050" t="s">
        <v>112</v>
      </c>
      <c r="AL1050">
        <v>25</v>
      </c>
      <c r="AN1050" t="s">
        <v>527</v>
      </c>
      <c r="AO1050">
        <v>4.4050000000000002</v>
      </c>
    </row>
    <row r="1051" spans="1:41" ht="15.6">
      <c r="A1051">
        <v>22</v>
      </c>
      <c r="B1051" t="s">
        <v>1198</v>
      </c>
      <c r="C1051" t="s">
        <v>565</v>
      </c>
      <c r="D1051" s="3">
        <f>100*(55/64)</f>
        <v>85.9375</v>
      </c>
      <c r="E1051" s="3">
        <f>100*(49/64)</f>
        <v>76.5625</v>
      </c>
      <c r="F1051">
        <v>2023</v>
      </c>
      <c r="G1051">
        <f t="shared" si="292"/>
        <v>2</v>
      </c>
      <c r="H1051">
        <v>0.27</v>
      </c>
      <c r="J1051">
        <f>COUNTA($A$1051:$A$1066)</f>
        <v>16</v>
      </c>
      <c r="L1051">
        <v>17</v>
      </c>
      <c r="M1051" s="12">
        <f>_xlfn.VAR.P($AD$1051:$AD$1066)</f>
        <v>3.3361714843749959E-2</v>
      </c>
      <c r="N1051">
        <f t="shared" ref="N1051:N1066" si="293">$O$1051/SQRT($J$1051)</f>
        <v>4.5662973816149692E-2</v>
      </c>
      <c r="O1051">
        <f>_xlfn.STDEV.P($AD$1051:$AD$1066)</f>
        <v>0.18265189526459877</v>
      </c>
      <c r="P1051" t="s">
        <v>1055</v>
      </c>
      <c r="Y1051">
        <v>2016</v>
      </c>
      <c r="Z1051">
        <f>2025-AVERAGE($Y$1051:$Y$1066)</f>
        <v>6.6875</v>
      </c>
      <c r="AD1051" s="3">
        <v>0.315</v>
      </c>
      <c r="AE1051">
        <v>0</v>
      </c>
      <c r="AF1051" t="str">
        <f t="shared" si="289"/>
        <v>Non-US</v>
      </c>
      <c r="AG1051">
        <v>4</v>
      </c>
      <c r="AI1051">
        <f>AVERAGE($AG$1051:$AG$1066)</f>
        <v>3.8666666666666667</v>
      </c>
      <c r="AK1051" t="s">
        <v>1143</v>
      </c>
      <c r="AL1051">
        <v>48</v>
      </c>
      <c r="AN1051" t="s">
        <v>185</v>
      </c>
      <c r="AO1051">
        <v>6.0970000000000004</v>
      </c>
    </row>
    <row r="1052" spans="1:41" ht="15.6">
      <c r="A1052">
        <v>22</v>
      </c>
      <c r="B1052" t="s">
        <v>1198</v>
      </c>
      <c r="C1052" t="s">
        <v>565</v>
      </c>
      <c r="D1052" s="3">
        <f t="shared" ref="D1052:D1066" si="294">100*(55/64)</f>
        <v>85.9375</v>
      </c>
      <c r="E1052" s="3">
        <f t="shared" ref="E1052:E1066" si="295">100*(49/64)</f>
        <v>76.5625</v>
      </c>
      <c r="F1052">
        <v>2023</v>
      </c>
      <c r="G1052">
        <f t="shared" si="292"/>
        <v>2</v>
      </c>
      <c r="H1052">
        <v>0.27</v>
      </c>
      <c r="J1052">
        <f t="shared" ref="J1052:J1066" si="296">COUNTA($A$1051:$A$1066)</f>
        <v>16</v>
      </c>
      <c r="L1052">
        <v>17</v>
      </c>
      <c r="M1052" s="12">
        <f t="shared" ref="M1052:M1066" si="297">_xlfn.VAR.P($AD$1051:$AD$1066)</f>
        <v>3.3361714843749959E-2</v>
      </c>
      <c r="N1052">
        <f t="shared" si="293"/>
        <v>4.5662973816149692E-2</v>
      </c>
      <c r="O1052">
        <f t="shared" ref="O1052:O1066" si="298">_xlfn.STDEV.P($AD$1051:$AD$1066)</f>
        <v>0.18265189526459877</v>
      </c>
      <c r="P1052" t="s">
        <v>1056</v>
      </c>
      <c r="Y1052">
        <v>2020</v>
      </c>
      <c r="Z1052">
        <f>2025-AVERAGE($Y$1051:$Y$1066)</f>
        <v>6.6875</v>
      </c>
      <c r="AD1052" s="3">
        <v>0.36499999999999899</v>
      </c>
      <c r="AE1052">
        <v>0</v>
      </c>
      <c r="AF1052" t="str">
        <f t="shared" si="289"/>
        <v>Non-US</v>
      </c>
      <c r="AG1052">
        <v>5</v>
      </c>
      <c r="AI1052">
        <f t="shared" ref="AI1052:AI1066" si="299">AVERAGE($AG$1051:$AG$1066)</f>
        <v>3.8666666666666667</v>
      </c>
      <c r="AK1052" t="s">
        <v>1143</v>
      </c>
      <c r="AL1052">
        <v>48</v>
      </c>
      <c r="AN1052" t="s">
        <v>185</v>
      </c>
      <c r="AO1052">
        <v>6.0970000000000004</v>
      </c>
    </row>
    <row r="1053" spans="1:41" ht="15.6">
      <c r="A1053">
        <v>22</v>
      </c>
      <c r="B1053" t="s">
        <v>1198</v>
      </c>
      <c r="C1053" t="s">
        <v>565</v>
      </c>
      <c r="D1053" s="3">
        <f t="shared" si="294"/>
        <v>85.9375</v>
      </c>
      <c r="E1053" s="3">
        <f t="shared" si="295"/>
        <v>76.5625</v>
      </c>
      <c r="F1053">
        <v>2023</v>
      </c>
      <c r="G1053">
        <f t="shared" si="292"/>
        <v>2</v>
      </c>
      <c r="H1053">
        <v>0.27</v>
      </c>
      <c r="J1053">
        <f t="shared" si="296"/>
        <v>16</v>
      </c>
      <c r="L1053">
        <v>17</v>
      </c>
      <c r="M1053" s="12">
        <f t="shared" si="297"/>
        <v>3.3361714843749959E-2</v>
      </c>
      <c r="N1053">
        <f t="shared" si="293"/>
        <v>4.5662973816149692E-2</v>
      </c>
      <c r="O1053">
        <f t="shared" si="298"/>
        <v>0.18265189526459877</v>
      </c>
      <c r="P1053" t="s">
        <v>1057</v>
      </c>
      <c r="Y1053">
        <v>2019</v>
      </c>
      <c r="Z1053">
        <f>2025-AVERAGE($Y$1051:$Y$1066)</f>
        <v>6.6875</v>
      </c>
      <c r="AD1053" s="3">
        <v>0.115</v>
      </c>
      <c r="AE1053">
        <v>0</v>
      </c>
      <c r="AF1053" t="str">
        <f t="shared" si="289"/>
        <v>Non-US</v>
      </c>
      <c r="AG1053">
        <v>4</v>
      </c>
      <c r="AI1053">
        <f t="shared" si="299"/>
        <v>3.8666666666666667</v>
      </c>
      <c r="AK1053" t="s">
        <v>1143</v>
      </c>
      <c r="AL1053">
        <v>48</v>
      </c>
      <c r="AN1053" t="s">
        <v>185</v>
      </c>
      <c r="AO1053">
        <v>6.0970000000000004</v>
      </c>
    </row>
    <row r="1054" spans="1:41" ht="15.6">
      <c r="A1054">
        <v>22</v>
      </c>
      <c r="B1054" t="s">
        <v>1198</v>
      </c>
      <c r="C1054" t="s">
        <v>565</v>
      </c>
      <c r="D1054" s="3">
        <f t="shared" si="294"/>
        <v>85.9375</v>
      </c>
      <c r="E1054" s="3">
        <f t="shared" si="295"/>
        <v>76.5625</v>
      </c>
      <c r="F1054">
        <v>2023</v>
      </c>
      <c r="G1054">
        <f t="shared" si="292"/>
        <v>2</v>
      </c>
      <c r="H1054">
        <v>0.27</v>
      </c>
      <c r="J1054">
        <f t="shared" si="296"/>
        <v>16</v>
      </c>
      <c r="L1054">
        <v>17</v>
      </c>
      <c r="M1054" s="12">
        <f t="shared" si="297"/>
        <v>3.3361714843749959E-2</v>
      </c>
      <c r="N1054">
        <f t="shared" si="293"/>
        <v>4.5662973816149692E-2</v>
      </c>
      <c r="O1054">
        <f t="shared" si="298"/>
        <v>0.18265189526459877</v>
      </c>
      <c r="P1054" t="s">
        <v>1058</v>
      </c>
      <c r="Y1054">
        <v>2022</v>
      </c>
      <c r="Z1054">
        <f>2025-AVERAGE($Y$1051:$Y$1066)</f>
        <v>6.6875</v>
      </c>
      <c r="AD1054" s="3">
        <v>0.45900000000000002</v>
      </c>
      <c r="AE1054">
        <v>0</v>
      </c>
      <c r="AF1054" t="str">
        <f t="shared" si="289"/>
        <v>Non-US</v>
      </c>
      <c r="AG1054">
        <v>6</v>
      </c>
      <c r="AI1054">
        <f t="shared" si="299"/>
        <v>3.8666666666666667</v>
      </c>
      <c r="AK1054" t="s">
        <v>1143</v>
      </c>
      <c r="AL1054">
        <v>48</v>
      </c>
      <c r="AN1054" t="s">
        <v>185</v>
      </c>
      <c r="AO1054">
        <v>6.0970000000000004</v>
      </c>
    </row>
    <row r="1055" spans="1:41" ht="15.6">
      <c r="A1055">
        <v>22</v>
      </c>
      <c r="B1055" t="s">
        <v>1198</v>
      </c>
      <c r="C1055" t="s">
        <v>565</v>
      </c>
      <c r="D1055" s="3">
        <f t="shared" si="294"/>
        <v>85.9375</v>
      </c>
      <c r="E1055" s="3">
        <f t="shared" si="295"/>
        <v>76.5625</v>
      </c>
      <c r="F1055">
        <v>2023</v>
      </c>
      <c r="G1055">
        <f t="shared" si="292"/>
        <v>2</v>
      </c>
      <c r="H1055">
        <v>0.27</v>
      </c>
      <c r="J1055">
        <f t="shared" si="296"/>
        <v>16</v>
      </c>
      <c r="L1055">
        <v>17</v>
      </c>
      <c r="M1055" s="12">
        <f t="shared" si="297"/>
        <v>3.3361714843749959E-2</v>
      </c>
      <c r="N1055">
        <f t="shared" si="293"/>
        <v>4.5662973816149692E-2</v>
      </c>
      <c r="O1055">
        <f t="shared" si="298"/>
        <v>0.18265189526459877</v>
      </c>
      <c r="P1055" t="s">
        <v>1059</v>
      </c>
      <c r="Y1055">
        <v>2015</v>
      </c>
      <c r="Z1055">
        <f>2025-AVERAGE($Y$1051:$Y$1066)</f>
        <v>6.6875</v>
      </c>
      <c r="AD1055" s="3">
        <v>0.155</v>
      </c>
      <c r="AE1055">
        <v>0</v>
      </c>
      <c r="AF1055" t="str">
        <f t="shared" si="289"/>
        <v>Non-US</v>
      </c>
      <c r="AG1055">
        <v>4</v>
      </c>
      <c r="AI1055">
        <f t="shared" si="299"/>
        <v>3.8666666666666667</v>
      </c>
      <c r="AK1055" t="s">
        <v>1143</v>
      </c>
      <c r="AL1055">
        <v>48</v>
      </c>
      <c r="AN1055" t="s">
        <v>185</v>
      </c>
      <c r="AO1055">
        <v>6.0970000000000004</v>
      </c>
    </row>
    <row r="1056" spans="1:41" ht="15.6">
      <c r="A1056">
        <v>22</v>
      </c>
      <c r="B1056" t="s">
        <v>1198</v>
      </c>
      <c r="C1056" t="s">
        <v>565</v>
      </c>
      <c r="D1056" s="3">
        <f t="shared" si="294"/>
        <v>85.9375</v>
      </c>
      <c r="E1056" s="3">
        <f t="shared" si="295"/>
        <v>76.5625</v>
      </c>
      <c r="F1056">
        <v>2023</v>
      </c>
      <c r="G1056">
        <f t="shared" si="292"/>
        <v>2</v>
      </c>
      <c r="H1056">
        <v>0.27</v>
      </c>
      <c r="J1056">
        <f t="shared" si="296"/>
        <v>16</v>
      </c>
      <c r="L1056">
        <v>17</v>
      </c>
      <c r="M1056" s="12">
        <f t="shared" si="297"/>
        <v>3.3361714843749959E-2</v>
      </c>
      <c r="N1056">
        <f t="shared" si="293"/>
        <v>4.5662973816149692E-2</v>
      </c>
      <c r="O1056">
        <f t="shared" si="298"/>
        <v>0.18265189526459877</v>
      </c>
      <c r="P1056" t="s">
        <v>1060</v>
      </c>
      <c r="Y1056">
        <v>2017</v>
      </c>
      <c r="Z1056">
        <f>2025-AVERAGE($Y$1051:$Y$1066)</f>
        <v>6.6875</v>
      </c>
      <c r="AD1056" s="3">
        <v>0.51</v>
      </c>
      <c r="AE1056">
        <v>0</v>
      </c>
      <c r="AF1056" t="str">
        <f t="shared" si="289"/>
        <v>Non-US</v>
      </c>
      <c r="AG1056">
        <v>2</v>
      </c>
      <c r="AI1056">
        <f t="shared" si="299"/>
        <v>3.8666666666666667</v>
      </c>
      <c r="AK1056" t="s">
        <v>1143</v>
      </c>
      <c r="AL1056">
        <v>48</v>
      </c>
      <c r="AN1056" t="s">
        <v>185</v>
      </c>
      <c r="AO1056">
        <v>6.0970000000000004</v>
      </c>
    </row>
    <row r="1057" spans="1:41" ht="15.6">
      <c r="A1057">
        <v>22</v>
      </c>
      <c r="B1057" t="s">
        <v>1198</v>
      </c>
      <c r="C1057" t="s">
        <v>565</v>
      </c>
      <c r="D1057" s="3">
        <f t="shared" si="294"/>
        <v>85.9375</v>
      </c>
      <c r="E1057" s="3">
        <f t="shared" si="295"/>
        <v>76.5625</v>
      </c>
      <c r="F1057">
        <v>2023</v>
      </c>
      <c r="G1057">
        <f t="shared" si="292"/>
        <v>2</v>
      </c>
      <c r="H1057">
        <v>0.27</v>
      </c>
      <c r="J1057">
        <f t="shared" si="296"/>
        <v>16</v>
      </c>
      <c r="L1057">
        <v>17</v>
      </c>
      <c r="M1057" s="12">
        <f t="shared" si="297"/>
        <v>3.3361714843749959E-2</v>
      </c>
      <c r="N1057">
        <f t="shared" si="293"/>
        <v>4.5662973816149692E-2</v>
      </c>
      <c r="O1057">
        <f t="shared" si="298"/>
        <v>0.18265189526459877</v>
      </c>
      <c r="P1057" t="s">
        <v>1061</v>
      </c>
      <c r="Y1057">
        <v>2017</v>
      </c>
      <c r="Z1057">
        <f>2025-AVERAGE($Y$1051:$Y$1066)</f>
        <v>6.6875</v>
      </c>
      <c r="AD1057" s="3">
        <v>0.08</v>
      </c>
      <c r="AE1057">
        <v>0</v>
      </c>
      <c r="AF1057" t="str">
        <f t="shared" si="289"/>
        <v>Non-US</v>
      </c>
      <c r="AG1057">
        <v>3</v>
      </c>
      <c r="AI1057">
        <f t="shared" si="299"/>
        <v>3.8666666666666667</v>
      </c>
      <c r="AK1057" t="s">
        <v>1143</v>
      </c>
      <c r="AL1057">
        <v>48</v>
      </c>
      <c r="AN1057" t="s">
        <v>185</v>
      </c>
      <c r="AO1057">
        <v>6.0970000000000004</v>
      </c>
    </row>
    <row r="1058" spans="1:41" ht="15.6">
      <c r="A1058">
        <v>22</v>
      </c>
      <c r="B1058" t="s">
        <v>1198</v>
      </c>
      <c r="C1058" t="s">
        <v>565</v>
      </c>
      <c r="D1058" s="3">
        <f t="shared" si="294"/>
        <v>85.9375</v>
      </c>
      <c r="E1058" s="3">
        <f t="shared" si="295"/>
        <v>76.5625</v>
      </c>
      <c r="F1058">
        <v>2023</v>
      </c>
      <c r="G1058">
        <f t="shared" si="292"/>
        <v>2</v>
      </c>
      <c r="H1058">
        <v>0.27</v>
      </c>
      <c r="J1058">
        <f t="shared" si="296"/>
        <v>16</v>
      </c>
      <c r="L1058">
        <v>17</v>
      </c>
      <c r="M1058" s="12">
        <f t="shared" si="297"/>
        <v>3.3361714843749959E-2</v>
      </c>
      <c r="N1058">
        <f t="shared" si="293"/>
        <v>4.5662973816149692E-2</v>
      </c>
      <c r="O1058">
        <f t="shared" si="298"/>
        <v>0.18265189526459877</v>
      </c>
      <c r="P1058" t="s">
        <v>1062</v>
      </c>
      <c r="Y1058">
        <v>2018</v>
      </c>
      <c r="Z1058">
        <f>2025-AVERAGE($Y$1051:$Y$1066)</f>
        <v>6.6875</v>
      </c>
      <c r="AD1058" s="3">
        <v>-7.4999999999999997E-2</v>
      </c>
      <c r="AE1058">
        <v>0</v>
      </c>
      <c r="AF1058" t="str">
        <f t="shared" si="289"/>
        <v>Non-US</v>
      </c>
      <c r="AG1058">
        <v>3</v>
      </c>
      <c r="AI1058">
        <f t="shared" si="299"/>
        <v>3.8666666666666667</v>
      </c>
      <c r="AK1058" t="s">
        <v>1143</v>
      </c>
      <c r="AL1058">
        <v>48</v>
      </c>
      <c r="AN1058" t="s">
        <v>185</v>
      </c>
      <c r="AO1058">
        <v>6.0970000000000004</v>
      </c>
    </row>
    <row r="1059" spans="1:41" ht="15.6">
      <c r="A1059">
        <v>22</v>
      </c>
      <c r="B1059" t="s">
        <v>1198</v>
      </c>
      <c r="C1059" t="s">
        <v>565</v>
      </c>
      <c r="D1059" s="3">
        <f t="shared" si="294"/>
        <v>85.9375</v>
      </c>
      <c r="E1059" s="3">
        <f t="shared" si="295"/>
        <v>76.5625</v>
      </c>
      <c r="F1059">
        <v>2023</v>
      </c>
      <c r="G1059">
        <f t="shared" si="292"/>
        <v>2</v>
      </c>
      <c r="H1059">
        <v>0.27</v>
      </c>
      <c r="J1059">
        <f t="shared" si="296"/>
        <v>16</v>
      </c>
      <c r="L1059">
        <v>17</v>
      </c>
      <c r="M1059" s="12">
        <f t="shared" si="297"/>
        <v>3.3361714843749959E-2</v>
      </c>
      <c r="N1059">
        <f t="shared" si="293"/>
        <v>4.5662973816149692E-2</v>
      </c>
      <c r="O1059">
        <f t="shared" si="298"/>
        <v>0.18265189526459877</v>
      </c>
      <c r="P1059" t="s">
        <v>1063</v>
      </c>
      <c r="Y1059">
        <v>2016</v>
      </c>
      <c r="Z1059">
        <f>2025-AVERAGE($Y$1051:$Y$1066)</f>
        <v>6.6875</v>
      </c>
      <c r="AD1059" s="3">
        <v>0.23499999999999999</v>
      </c>
      <c r="AE1059">
        <v>0</v>
      </c>
      <c r="AF1059" t="str">
        <f t="shared" si="289"/>
        <v>Non-US</v>
      </c>
      <c r="AG1059">
        <v>11</v>
      </c>
      <c r="AI1059">
        <f t="shared" si="299"/>
        <v>3.8666666666666667</v>
      </c>
      <c r="AK1059" t="s">
        <v>1143</v>
      </c>
      <c r="AL1059">
        <v>48</v>
      </c>
      <c r="AN1059" t="s">
        <v>185</v>
      </c>
      <c r="AO1059">
        <v>6.0970000000000004</v>
      </c>
    </row>
    <row r="1060" spans="1:41" ht="15.6">
      <c r="A1060">
        <v>22</v>
      </c>
      <c r="B1060" t="s">
        <v>1198</v>
      </c>
      <c r="C1060" t="s">
        <v>565</v>
      </c>
      <c r="D1060" s="3">
        <f t="shared" si="294"/>
        <v>85.9375</v>
      </c>
      <c r="E1060" s="3">
        <f t="shared" si="295"/>
        <v>76.5625</v>
      </c>
      <c r="F1060">
        <v>2023</v>
      </c>
      <c r="G1060">
        <f t="shared" si="292"/>
        <v>2</v>
      </c>
      <c r="H1060">
        <v>0.27</v>
      </c>
      <c r="J1060">
        <f t="shared" si="296"/>
        <v>16</v>
      </c>
      <c r="L1060">
        <v>17</v>
      </c>
      <c r="M1060" s="12">
        <f t="shared" si="297"/>
        <v>3.3361714843749959E-2</v>
      </c>
      <c r="N1060">
        <f t="shared" si="293"/>
        <v>4.5662973816149692E-2</v>
      </c>
      <c r="O1060">
        <f t="shared" si="298"/>
        <v>0.18265189526459877</v>
      </c>
      <c r="P1060" t="s">
        <v>1064</v>
      </c>
      <c r="Y1060">
        <v>2017</v>
      </c>
      <c r="Z1060">
        <f>2025-AVERAGE($Y$1051:$Y$1066)</f>
        <v>6.6875</v>
      </c>
      <c r="AD1060" s="3">
        <v>0.20300000000000001</v>
      </c>
      <c r="AE1060">
        <v>0</v>
      </c>
      <c r="AF1060" t="str">
        <f t="shared" si="289"/>
        <v>Non-US</v>
      </c>
      <c r="AI1060">
        <f t="shared" si="299"/>
        <v>3.8666666666666667</v>
      </c>
      <c r="AK1060" t="s">
        <v>1143</v>
      </c>
      <c r="AL1060">
        <v>48</v>
      </c>
      <c r="AN1060" t="s">
        <v>185</v>
      </c>
      <c r="AO1060">
        <v>6.0970000000000004</v>
      </c>
    </row>
    <row r="1061" spans="1:41" ht="15.6">
      <c r="A1061">
        <v>22</v>
      </c>
      <c r="B1061" t="s">
        <v>1198</v>
      </c>
      <c r="C1061" t="s">
        <v>565</v>
      </c>
      <c r="D1061" s="3">
        <f t="shared" si="294"/>
        <v>85.9375</v>
      </c>
      <c r="E1061" s="3">
        <f t="shared" si="295"/>
        <v>76.5625</v>
      </c>
      <c r="F1061">
        <v>2023</v>
      </c>
      <c r="G1061">
        <f t="shared" si="292"/>
        <v>2</v>
      </c>
      <c r="H1061">
        <v>0.27</v>
      </c>
      <c r="J1061">
        <f t="shared" si="296"/>
        <v>16</v>
      </c>
      <c r="L1061">
        <v>17</v>
      </c>
      <c r="M1061" s="12">
        <f t="shared" si="297"/>
        <v>3.3361714843749959E-2</v>
      </c>
      <c r="N1061">
        <f t="shared" si="293"/>
        <v>4.5662973816149692E-2</v>
      </c>
      <c r="O1061">
        <f t="shared" si="298"/>
        <v>0.18265189526459877</v>
      </c>
      <c r="P1061" t="s">
        <v>1065</v>
      </c>
      <c r="Y1061">
        <v>2023</v>
      </c>
      <c r="Z1061">
        <f>2025-AVERAGE($Y$1051:$Y$1066)</f>
        <v>6.6875</v>
      </c>
      <c r="AD1061" s="3">
        <v>0.46799999999999897</v>
      </c>
      <c r="AE1061">
        <v>0</v>
      </c>
      <c r="AF1061" t="str">
        <f t="shared" si="289"/>
        <v>Non-US</v>
      </c>
      <c r="AG1061">
        <v>3</v>
      </c>
      <c r="AI1061">
        <f t="shared" si="299"/>
        <v>3.8666666666666667</v>
      </c>
      <c r="AK1061" t="s">
        <v>1143</v>
      </c>
      <c r="AL1061">
        <v>48</v>
      </c>
      <c r="AN1061" t="s">
        <v>185</v>
      </c>
      <c r="AO1061">
        <v>6.0970000000000004</v>
      </c>
    </row>
    <row r="1062" spans="1:41" ht="15.6">
      <c r="A1062">
        <v>22</v>
      </c>
      <c r="B1062" t="s">
        <v>1198</v>
      </c>
      <c r="C1062" t="s">
        <v>565</v>
      </c>
      <c r="D1062" s="3">
        <f t="shared" si="294"/>
        <v>85.9375</v>
      </c>
      <c r="E1062" s="3">
        <f t="shared" si="295"/>
        <v>76.5625</v>
      </c>
      <c r="F1062">
        <v>2023</v>
      </c>
      <c r="G1062">
        <f t="shared" si="292"/>
        <v>2</v>
      </c>
      <c r="H1062">
        <v>0.27</v>
      </c>
      <c r="J1062">
        <f t="shared" si="296"/>
        <v>16</v>
      </c>
      <c r="L1062">
        <v>17</v>
      </c>
      <c r="M1062" s="12">
        <f t="shared" si="297"/>
        <v>3.3361714843749959E-2</v>
      </c>
      <c r="N1062">
        <f t="shared" si="293"/>
        <v>4.5662973816149692E-2</v>
      </c>
      <c r="O1062">
        <f t="shared" si="298"/>
        <v>0.18265189526459877</v>
      </c>
      <c r="P1062" t="s">
        <v>1066</v>
      </c>
      <c r="Y1062">
        <v>2022</v>
      </c>
      <c r="Z1062">
        <f>2025-AVERAGE($Y$1051:$Y$1066)</f>
        <v>6.6875</v>
      </c>
      <c r="AD1062" s="3">
        <v>0.61</v>
      </c>
      <c r="AE1062">
        <v>0</v>
      </c>
      <c r="AF1062" t="str">
        <f t="shared" si="289"/>
        <v>Non-US</v>
      </c>
      <c r="AG1062">
        <v>2</v>
      </c>
      <c r="AI1062">
        <f t="shared" si="299"/>
        <v>3.8666666666666667</v>
      </c>
      <c r="AK1062" t="s">
        <v>1143</v>
      </c>
      <c r="AL1062">
        <v>48</v>
      </c>
      <c r="AN1062" t="s">
        <v>185</v>
      </c>
      <c r="AO1062">
        <v>6.0970000000000004</v>
      </c>
    </row>
    <row r="1063" spans="1:41" ht="15.6">
      <c r="A1063">
        <v>22</v>
      </c>
      <c r="B1063" t="s">
        <v>1198</v>
      </c>
      <c r="C1063" t="s">
        <v>565</v>
      </c>
      <c r="D1063" s="3">
        <f t="shared" si="294"/>
        <v>85.9375</v>
      </c>
      <c r="E1063" s="3">
        <f t="shared" si="295"/>
        <v>76.5625</v>
      </c>
      <c r="F1063">
        <v>2023</v>
      </c>
      <c r="G1063">
        <f t="shared" si="292"/>
        <v>2</v>
      </c>
      <c r="H1063">
        <v>0.27</v>
      </c>
      <c r="J1063">
        <f t="shared" si="296"/>
        <v>16</v>
      </c>
      <c r="L1063">
        <v>17</v>
      </c>
      <c r="M1063" s="12">
        <f t="shared" si="297"/>
        <v>3.3361714843749959E-2</v>
      </c>
      <c r="N1063">
        <f t="shared" si="293"/>
        <v>4.5662973816149692E-2</v>
      </c>
      <c r="O1063">
        <f t="shared" si="298"/>
        <v>0.18265189526459877</v>
      </c>
      <c r="P1063" t="s">
        <v>1067</v>
      </c>
      <c r="Y1063">
        <v>2017</v>
      </c>
      <c r="Z1063">
        <f>2025-AVERAGE($Y$1051:$Y$1066)</f>
        <v>6.6875</v>
      </c>
      <c r="AD1063" s="3">
        <v>0.20499999999999999</v>
      </c>
      <c r="AE1063">
        <v>0</v>
      </c>
      <c r="AF1063" t="str">
        <f t="shared" si="289"/>
        <v>Non-US</v>
      </c>
      <c r="AG1063">
        <v>3</v>
      </c>
      <c r="AI1063">
        <f t="shared" si="299"/>
        <v>3.8666666666666667</v>
      </c>
      <c r="AK1063" t="s">
        <v>1143</v>
      </c>
      <c r="AL1063">
        <v>48</v>
      </c>
      <c r="AN1063" t="s">
        <v>185</v>
      </c>
      <c r="AO1063">
        <v>6.0970000000000004</v>
      </c>
    </row>
    <row r="1064" spans="1:41" ht="15.6">
      <c r="A1064">
        <v>22</v>
      </c>
      <c r="B1064" t="s">
        <v>1198</v>
      </c>
      <c r="C1064" t="s">
        <v>565</v>
      </c>
      <c r="D1064" s="3">
        <f t="shared" si="294"/>
        <v>85.9375</v>
      </c>
      <c r="E1064" s="3">
        <f t="shared" si="295"/>
        <v>76.5625</v>
      </c>
      <c r="F1064">
        <v>2023</v>
      </c>
      <c r="G1064">
        <f t="shared" si="292"/>
        <v>2</v>
      </c>
      <c r="H1064">
        <v>0.27</v>
      </c>
      <c r="J1064">
        <f t="shared" si="296"/>
        <v>16</v>
      </c>
      <c r="L1064">
        <v>17</v>
      </c>
      <c r="M1064" s="12">
        <f t="shared" si="297"/>
        <v>3.3361714843749959E-2</v>
      </c>
      <c r="N1064">
        <f t="shared" si="293"/>
        <v>4.5662973816149692E-2</v>
      </c>
      <c r="O1064">
        <f t="shared" si="298"/>
        <v>0.18265189526459877</v>
      </c>
      <c r="P1064" t="s">
        <v>1068</v>
      </c>
      <c r="Y1064">
        <v>2017</v>
      </c>
      <c r="Z1064">
        <f>2025-AVERAGE($Y$1051:$Y$1066)</f>
        <v>6.6875</v>
      </c>
      <c r="AD1064" s="3">
        <v>0.215</v>
      </c>
      <c r="AE1064">
        <v>0</v>
      </c>
      <c r="AF1064" t="str">
        <f t="shared" si="289"/>
        <v>Non-US</v>
      </c>
      <c r="AG1064">
        <v>2</v>
      </c>
      <c r="AI1064">
        <f t="shared" si="299"/>
        <v>3.8666666666666667</v>
      </c>
      <c r="AK1064" t="s">
        <v>1143</v>
      </c>
      <c r="AL1064">
        <v>48</v>
      </c>
      <c r="AN1064" t="s">
        <v>185</v>
      </c>
      <c r="AO1064">
        <v>6.0970000000000004</v>
      </c>
    </row>
    <row r="1065" spans="1:41" ht="15.6">
      <c r="A1065">
        <v>22</v>
      </c>
      <c r="B1065" t="s">
        <v>1198</v>
      </c>
      <c r="C1065" t="s">
        <v>565</v>
      </c>
      <c r="D1065" s="3">
        <f t="shared" si="294"/>
        <v>85.9375</v>
      </c>
      <c r="E1065" s="3">
        <f t="shared" si="295"/>
        <v>76.5625</v>
      </c>
      <c r="F1065">
        <v>2023</v>
      </c>
      <c r="G1065">
        <f t="shared" si="292"/>
        <v>2</v>
      </c>
      <c r="H1065">
        <v>0.27</v>
      </c>
      <c r="J1065">
        <f t="shared" si="296"/>
        <v>16</v>
      </c>
      <c r="L1065">
        <v>17</v>
      </c>
      <c r="M1065" s="12">
        <f t="shared" si="297"/>
        <v>3.3361714843749959E-2</v>
      </c>
      <c r="N1065">
        <f t="shared" si="293"/>
        <v>4.5662973816149692E-2</v>
      </c>
      <c r="O1065">
        <f t="shared" si="298"/>
        <v>0.18265189526459877</v>
      </c>
      <c r="P1065" t="s">
        <v>1069</v>
      </c>
      <c r="Y1065">
        <v>2018</v>
      </c>
      <c r="Z1065">
        <f>2025-AVERAGE($Y$1051:$Y$1066)</f>
        <v>6.6875</v>
      </c>
      <c r="AD1065" s="3">
        <v>0.35499999999999998</v>
      </c>
      <c r="AE1065">
        <v>0</v>
      </c>
      <c r="AF1065" t="str">
        <f t="shared" si="289"/>
        <v>Non-US</v>
      </c>
      <c r="AG1065">
        <v>3</v>
      </c>
      <c r="AI1065">
        <f t="shared" si="299"/>
        <v>3.8666666666666667</v>
      </c>
      <c r="AK1065" t="s">
        <v>1143</v>
      </c>
      <c r="AL1065">
        <v>48</v>
      </c>
      <c r="AN1065" t="s">
        <v>185</v>
      </c>
      <c r="AO1065">
        <v>6.0970000000000004</v>
      </c>
    </row>
    <row r="1066" spans="1:41" ht="15.6">
      <c r="A1066">
        <v>22</v>
      </c>
      <c r="B1066" t="s">
        <v>1198</v>
      </c>
      <c r="C1066" t="s">
        <v>565</v>
      </c>
      <c r="D1066" s="3">
        <f t="shared" si="294"/>
        <v>85.9375</v>
      </c>
      <c r="E1066" s="3">
        <f t="shared" si="295"/>
        <v>76.5625</v>
      </c>
      <c r="F1066">
        <v>2023</v>
      </c>
      <c r="G1066">
        <f t="shared" si="292"/>
        <v>2</v>
      </c>
      <c r="H1066">
        <v>0.27</v>
      </c>
      <c r="J1066">
        <f t="shared" si="296"/>
        <v>16</v>
      </c>
      <c r="L1066">
        <v>17</v>
      </c>
      <c r="M1066" s="12">
        <f t="shared" si="297"/>
        <v>3.3361714843749959E-2</v>
      </c>
      <c r="N1066">
        <f t="shared" si="293"/>
        <v>4.5662973816149692E-2</v>
      </c>
      <c r="O1066">
        <f t="shared" si="298"/>
        <v>0.18265189526459877</v>
      </c>
      <c r="P1066" t="s">
        <v>1070</v>
      </c>
      <c r="Y1066">
        <v>2019</v>
      </c>
      <c r="Z1066">
        <f>2025-AVERAGE($Y$1051:$Y$1066)</f>
        <v>6.6875</v>
      </c>
      <c r="AD1066" s="3">
        <v>0.02</v>
      </c>
      <c r="AE1066">
        <v>0</v>
      </c>
      <c r="AF1066" t="str">
        <f t="shared" si="289"/>
        <v>Non-US</v>
      </c>
      <c r="AG1066">
        <v>3</v>
      </c>
      <c r="AI1066">
        <f t="shared" si="299"/>
        <v>3.8666666666666667</v>
      </c>
      <c r="AK1066" t="s">
        <v>1143</v>
      </c>
      <c r="AL1066">
        <v>48</v>
      </c>
      <c r="AN1066" t="s">
        <v>185</v>
      </c>
      <c r="AO1066">
        <v>6.0970000000000004</v>
      </c>
    </row>
    <row r="1067" spans="1:41" ht="15.6">
      <c r="A1067">
        <v>23</v>
      </c>
      <c r="B1067" t="s">
        <v>1199</v>
      </c>
      <c r="C1067" t="s">
        <v>566</v>
      </c>
      <c r="D1067" s="3">
        <f>100*(1/10)</f>
        <v>10</v>
      </c>
      <c r="F1067">
        <v>2020</v>
      </c>
      <c r="G1067">
        <f t="shared" si="292"/>
        <v>5</v>
      </c>
      <c r="H1067">
        <v>7.0000000000000007E-2</v>
      </c>
      <c r="J1067">
        <f>COUNTA($P$1067:$P$1076)</f>
        <v>10</v>
      </c>
      <c r="K1067">
        <v>2</v>
      </c>
      <c r="L1067">
        <v>172</v>
      </c>
      <c r="M1067" s="12">
        <f>_xlfn.VAR.P($AD$1067:$AD$1076)</f>
        <v>1.0565000000000001E-2</v>
      </c>
      <c r="N1067">
        <f t="shared" ref="N1067:N1076" si="300">$O$1067/SQRT($J$1067)</f>
        <v>3.2503845926290013E-2</v>
      </c>
      <c r="O1067">
        <f t="shared" ref="O1067:O1076" si="301">_xlfn.STDEV.P($AD$1067:$AD$1076)</f>
        <v>0.1027861858422619</v>
      </c>
      <c r="P1067" t="s">
        <v>1071</v>
      </c>
      <c r="Q1067" t="s">
        <v>529</v>
      </c>
      <c r="R1067">
        <v>6.0960000000000001</v>
      </c>
      <c r="S1067">
        <f>AVERAGE($R$1067:$R$1076)</f>
        <v>5.3493000000000013</v>
      </c>
      <c r="U1067">
        <v>55</v>
      </c>
      <c r="V1067" t="s">
        <v>138</v>
      </c>
      <c r="W1067">
        <f>AVERAGE($U$1067:$U$1076)</f>
        <v>48.1</v>
      </c>
      <c r="Y1067">
        <v>2008</v>
      </c>
      <c r="Z1067">
        <f>2025-AVERAGE($Y$1067:$Y$1076)</f>
        <v>17</v>
      </c>
      <c r="AA1067">
        <v>0.06</v>
      </c>
      <c r="AB1067">
        <v>6.0000000000000001E-3</v>
      </c>
      <c r="AC1067">
        <v>0.37</v>
      </c>
      <c r="AD1067" s="3">
        <v>0.09</v>
      </c>
      <c r="AE1067">
        <v>1</v>
      </c>
      <c r="AF1067" t="str">
        <f t="shared" si="289"/>
        <v>US</v>
      </c>
      <c r="AG1067">
        <v>9</v>
      </c>
      <c r="AH1067">
        <v>2</v>
      </c>
      <c r="AI1067">
        <f>AVERAGE($AG$1067:$AG$1076)</f>
        <v>3.9</v>
      </c>
      <c r="AJ1067">
        <f>AVERAGE($AH$1067:$AH$1076)</f>
        <v>1.9</v>
      </c>
      <c r="AK1067" t="s">
        <v>112</v>
      </c>
      <c r="AL1067">
        <v>61</v>
      </c>
      <c r="AN1067" t="s">
        <v>864</v>
      </c>
      <c r="AO1067">
        <v>0</v>
      </c>
    </row>
    <row r="1068" spans="1:41" ht="15.6">
      <c r="A1068">
        <v>23</v>
      </c>
      <c r="B1068" t="s">
        <v>1199</v>
      </c>
      <c r="C1068" t="s">
        <v>566</v>
      </c>
      <c r="D1068" s="3">
        <f t="shared" ref="D1068:D1076" si="302">100*(1/10)</f>
        <v>10</v>
      </c>
      <c r="F1068">
        <v>2020</v>
      </c>
      <c r="G1068">
        <f t="shared" si="292"/>
        <v>5</v>
      </c>
      <c r="H1068">
        <v>7.0000000000000007E-2</v>
      </c>
      <c r="J1068">
        <f t="shared" ref="J1068:J1076" si="303">COUNTA($P$1067:$P$1076)</f>
        <v>10</v>
      </c>
      <c r="K1068">
        <v>2</v>
      </c>
      <c r="L1068">
        <v>172</v>
      </c>
      <c r="M1068" s="12">
        <f t="shared" ref="M1068:M1076" si="304">_xlfn.VAR.P($AD$1067:$AD$1076)</f>
        <v>1.0565000000000001E-2</v>
      </c>
      <c r="N1068">
        <f t="shared" si="300"/>
        <v>3.2503845926290013E-2</v>
      </c>
      <c r="O1068">
        <f t="shared" si="301"/>
        <v>0.1027861858422619</v>
      </c>
      <c r="P1068" t="s">
        <v>1072</v>
      </c>
      <c r="Q1068" t="s">
        <v>529</v>
      </c>
      <c r="R1068">
        <v>6.0960000000000001</v>
      </c>
      <c r="S1068">
        <f t="shared" ref="S1068:S1076" si="305">AVERAGE($R$1067:$R$1076)</f>
        <v>5.3493000000000013</v>
      </c>
      <c r="U1068">
        <v>55</v>
      </c>
      <c r="V1068" t="s">
        <v>138</v>
      </c>
      <c r="W1068">
        <f t="shared" ref="W1068:W1076" si="306">AVERAGE($U$1067:$U$1076)</f>
        <v>48.1</v>
      </c>
      <c r="Y1068">
        <v>2008</v>
      </c>
      <c r="Z1068">
        <f>2025-AVERAGE($Y$1067:$Y$1076)</f>
        <v>17</v>
      </c>
      <c r="AA1068">
        <v>0.12</v>
      </c>
      <c r="AB1068">
        <v>0.19</v>
      </c>
      <c r="AC1068">
        <v>0.21</v>
      </c>
      <c r="AD1068" s="3">
        <v>-7.0000000000000007E-2</v>
      </c>
      <c r="AE1068">
        <v>1</v>
      </c>
      <c r="AF1068" t="str">
        <f t="shared" si="289"/>
        <v>US</v>
      </c>
      <c r="AG1068">
        <v>9</v>
      </c>
      <c r="AH1068">
        <v>2</v>
      </c>
      <c r="AI1068">
        <f t="shared" ref="AI1068:AI1076" si="307">AVERAGE($AG$1067:$AG$1076)</f>
        <v>3.9</v>
      </c>
      <c r="AJ1068">
        <f t="shared" ref="AJ1068:AJ1076" si="308">AVERAGE($AH$1067:$AH$1076)</f>
        <v>1.9</v>
      </c>
      <c r="AK1068" t="s">
        <v>112</v>
      </c>
      <c r="AL1068">
        <v>61</v>
      </c>
      <c r="AN1068" t="s">
        <v>864</v>
      </c>
      <c r="AO1068">
        <v>0</v>
      </c>
    </row>
    <row r="1069" spans="1:41" ht="15.6">
      <c r="A1069">
        <v>23</v>
      </c>
      <c r="B1069" t="s">
        <v>1199</v>
      </c>
      <c r="C1069" t="s">
        <v>566</v>
      </c>
      <c r="D1069" s="3">
        <f t="shared" si="302"/>
        <v>10</v>
      </c>
      <c r="F1069">
        <v>2020</v>
      </c>
      <c r="G1069">
        <f t="shared" si="292"/>
        <v>5</v>
      </c>
      <c r="H1069">
        <v>7.0000000000000007E-2</v>
      </c>
      <c r="J1069">
        <f t="shared" si="303"/>
        <v>10</v>
      </c>
      <c r="K1069">
        <v>2</v>
      </c>
      <c r="L1069">
        <v>172</v>
      </c>
      <c r="M1069" s="12">
        <f t="shared" si="304"/>
        <v>1.0565000000000001E-2</v>
      </c>
      <c r="N1069">
        <f t="shared" si="300"/>
        <v>3.2503845926290013E-2</v>
      </c>
      <c r="O1069">
        <f t="shared" si="301"/>
        <v>0.1027861858422619</v>
      </c>
      <c r="P1069" t="s">
        <v>1073</v>
      </c>
      <c r="Q1069" t="s">
        <v>527</v>
      </c>
      <c r="R1069">
        <v>3.6070000000000002</v>
      </c>
      <c r="S1069">
        <f t="shared" si="305"/>
        <v>5.3493000000000013</v>
      </c>
      <c r="U1069">
        <v>10</v>
      </c>
      <c r="V1069" t="s">
        <v>138</v>
      </c>
      <c r="W1069">
        <f t="shared" si="306"/>
        <v>48.1</v>
      </c>
      <c r="Y1069">
        <v>2008</v>
      </c>
      <c r="Z1069">
        <f>2025-AVERAGE($Y$1067:$Y$1076)</f>
        <v>17</v>
      </c>
      <c r="AA1069">
        <v>0.62</v>
      </c>
      <c r="AB1069">
        <v>0.12</v>
      </c>
      <c r="AC1069">
        <v>0.25</v>
      </c>
      <c r="AD1069" s="3">
        <v>0.14000000000000001</v>
      </c>
      <c r="AE1069">
        <v>1</v>
      </c>
      <c r="AF1069" t="str">
        <f t="shared" si="289"/>
        <v>US</v>
      </c>
      <c r="AG1069">
        <v>3</v>
      </c>
      <c r="AH1069">
        <v>4</v>
      </c>
      <c r="AI1069">
        <f t="shared" si="307"/>
        <v>3.9</v>
      </c>
      <c r="AJ1069">
        <f t="shared" si="308"/>
        <v>1.9</v>
      </c>
      <c r="AK1069" t="s">
        <v>112</v>
      </c>
      <c r="AL1069">
        <v>61</v>
      </c>
      <c r="AN1069" t="s">
        <v>864</v>
      </c>
      <c r="AO1069">
        <v>0</v>
      </c>
    </row>
    <row r="1070" spans="1:41" ht="15.6">
      <c r="A1070">
        <v>23</v>
      </c>
      <c r="B1070" t="s">
        <v>1199</v>
      </c>
      <c r="C1070" t="s">
        <v>566</v>
      </c>
      <c r="D1070" s="3">
        <f t="shared" si="302"/>
        <v>10</v>
      </c>
      <c r="F1070">
        <v>2020</v>
      </c>
      <c r="G1070">
        <f t="shared" si="292"/>
        <v>5</v>
      </c>
      <c r="H1070">
        <v>7.0000000000000007E-2</v>
      </c>
      <c r="J1070">
        <f t="shared" si="303"/>
        <v>10</v>
      </c>
      <c r="K1070">
        <v>2</v>
      </c>
      <c r="L1070">
        <v>172</v>
      </c>
      <c r="M1070" s="12">
        <f t="shared" si="304"/>
        <v>1.0565000000000001E-2</v>
      </c>
      <c r="N1070">
        <f t="shared" si="300"/>
        <v>3.2503845926290013E-2</v>
      </c>
      <c r="O1070">
        <f t="shared" si="301"/>
        <v>0.1027861858422619</v>
      </c>
      <c r="P1070" t="s">
        <v>1074</v>
      </c>
      <c r="Q1070" t="s">
        <v>529</v>
      </c>
      <c r="R1070">
        <v>6.0960000000000001</v>
      </c>
      <c r="S1070">
        <f t="shared" si="305"/>
        <v>5.3493000000000013</v>
      </c>
      <c r="U1070">
        <v>112</v>
      </c>
      <c r="V1070" t="s">
        <v>138</v>
      </c>
      <c r="W1070">
        <f t="shared" si="306"/>
        <v>48.1</v>
      </c>
      <c r="Y1070">
        <v>2008</v>
      </c>
      <c r="Z1070">
        <f>2025-AVERAGE($Y$1067:$Y$1076)</f>
        <v>17</v>
      </c>
      <c r="AA1070" t="s">
        <v>1081</v>
      </c>
      <c r="AB1070">
        <v>0.36</v>
      </c>
      <c r="AC1070">
        <v>0.43</v>
      </c>
      <c r="AD1070" s="3">
        <v>0.05</v>
      </c>
      <c r="AE1070">
        <v>1</v>
      </c>
      <c r="AF1070" t="str">
        <f t="shared" si="289"/>
        <v>US</v>
      </c>
      <c r="AG1070">
        <v>3</v>
      </c>
      <c r="AH1070">
        <v>1</v>
      </c>
      <c r="AI1070">
        <f t="shared" si="307"/>
        <v>3.9</v>
      </c>
      <c r="AJ1070">
        <f t="shared" si="308"/>
        <v>1.9</v>
      </c>
      <c r="AK1070" t="s">
        <v>112</v>
      </c>
      <c r="AL1070">
        <v>61</v>
      </c>
      <c r="AN1070" t="s">
        <v>864</v>
      </c>
      <c r="AO1070">
        <v>0</v>
      </c>
    </row>
    <row r="1071" spans="1:41" ht="15.6">
      <c r="A1071">
        <v>23</v>
      </c>
      <c r="B1071" t="s">
        <v>1199</v>
      </c>
      <c r="C1071" t="s">
        <v>566</v>
      </c>
      <c r="D1071" s="3">
        <f t="shared" si="302"/>
        <v>10</v>
      </c>
      <c r="F1071">
        <v>2020</v>
      </c>
      <c r="G1071">
        <f t="shared" si="292"/>
        <v>5</v>
      </c>
      <c r="H1071">
        <v>7.0000000000000007E-2</v>
      </c>
      <c r="J1071">
        <f t="shared" si="303"/>
        <v>10</v>
      </c>
      <c r="K1071">
        <v>2</v>
      </c>
      <c r="L1071">
        <v>172</v>
      </c>
      <c r="M1071" s="12">
        <f t="shared" si="304"/>
        <v>1.0565000000000001E-2</v>
      </c>
      <c r="N1071">
        <f t="shared" si="300"/>
        <v>3.2503845926290013E-2</v>
      </c>
      <c r="O1071">
        <f t="shared" si="301"/>
        <v>0.1027861858422619</v>
      </c>
      <c r="P1071" t="s">
        <v>1075</v>
      </c>
      <c r="Q1071" t="s">
        <v>527</v>
      </c>
      <c r="R1071">
        <v>3.6070000000000002</v>
      </c>
      <c r="S1071">
        <f t="shared" si="305"/>
        <v>5.3493000000000013</v>
      </c>
      <c r="U1071">
        <v>21</v>
      </c>
      <c r="V1071" t="s">
        <v>138</v>
      </c>
      <c r="W1071">
        <f t="shared" si="306"/>
        <v>48.1</v>
      </c>
      <c r="Y1071">
        <v>2008</v>
      </c>
      <c r="Z1071">
        <f>2025-AVERAGE($Y$1067:$Y$1076)</f>
        <v>17</v>
      </c>
      <c r="AA1071">
        <v>1E-3</v>
      </c>
      <c r="AB1071">
        <v>0.16</v>
      </c>
      <c r="AC1071">
        <v>0.48</v>
      </c>
      <c r="AD1071" s="3">
        <v>0.04</v>
      </c>
      <c r="AE1071">
        <v>1</v>
      </c>
      <c r="AF1071" t="str">
        <f t="shared" si="289"/>
        <v>US</v>
      </c>
      <c r="AG1071">
        <v>2</v>
      </c>
      <c r="AH1071">
        <v>2</v>
      </c>
      <c r="AI1071">
        <f t="shared" si="307"/>
        <v>3.9</v>
      </c>
      <c r="AJ1071">
        <f t="shared" si="308"/>
        <v>1.9</v>
      </c>
      <c r="AK1071" t="s">
        <v>112</v>
      </c>
      <c r="AL1071">
        <v>61</v>
      </c>
      <c r="AN1071" t="s">
        <v>864</v>
      </c>
      <c r="AO1071">
        <v>0</v>
      </c>
    </row>
    <row r="1072" spans="1:41" ht="15.6">
      <c r="A1072">
        <v>23</v>
      </c>
      <c r="B1072" t="s">
        <v>1199</v>
      </c>
      <c r="C1072" t="s">
        <v>566</v>
      </c>
      <c r="D1072" s="3">
        <f t="shared" si="302"/>
        <v>10</v>
      </c>
      <c r="F1072">
        <v>2020</v>
      </c>
      <c r="G1072">
        <f t="shared" si="292"/>
        <v>5</v>
      </c>
      <c r="H1072">
        <v>7.0000000000000007E-2</v>
      </c>
      <c r="J1072">
        <f t="shared" si="303"/>
        <v>10</v>
      </c>
      <c r="K1072">
        <v>2</v>
      </c>
      <c r="L1072">
        <v>172</v>
      </c>
      <c r="M1072" s="12">
        <f t="shared" si="304"/>
        <v>1.0565000000000001E-2</v>
      </c>
      <c r="N1072">
        <f t="shared" si="300"/>
        <v>3.2503845926290013E-2</v>
      </c>
      <c r="O1072">
        <f t="shared" si="301"/>
        <v>0.1027861858422619</v>
      </c>
      <c r="P1072" t="s">
        <v>1076</v>
      </c>
      <c r="Q1072" t="s">
        <v>529</v>
      </c>
      <c r="R1072">
        <v>6.0960000000000001</v>
      </c>
      <c r="S1072">
        <f t="shared" si="305"/>
        <v>5.3493000000000013</v>
      </c>
      <c r="U1072">
        <v>42</v>
      </c>
      <c r="V1072" t="s">
        <v>138</v>
      </c>
      <c r="W1072">
        <f t="shared" si="306"/>
        <v>48.1</v>
      </c>
      <c r="Y1072">
        <v>2008</v>
      </c>
      <c r="Z1072">
        <f>2025-AVERAGE($Y$1067:$Y$1076)</f>
        <v>17</v>
      </c>
      <c r="AA1072">
        <v>0.04</v>
      </c>
      <c r="AB1072">
        <v>0.2</v>
      </c>
      <c r="AC1072">
        <v>0.35</v>
      </c>
      <c r="AD1072" s="3">
        <v>-0.16</v>
      </c>
      <c r="AE1072">
        <v>1</v>
      </c>
      <c r="AF1072" t="str">
        <f t="shared" si="289"/>
        <v>US</v>
      </c>
      <c r="AG1072">
        <v>3</v>
      </c>
      <c r="AH1072">
        <v>1</v>
      </c>
      <c r="AI1072">
        <f t="shared" si="307"/>
        <v>3.9</v>
      </c>
      <c r="AJ1072">
        <f t="shared" si="308"/>
        <v>1.9</v>
      </c>
      <c r="AK1072" t="s">
        <v>112</v>
      </c>
      <c r="AL1072">
        <v>61</v>
      </c>
      <c r="AN1072" t="s">
        <v>864</v>
      </c>
      <c r="AO1072">
        <v>0</v>
      </c>
    </row>
    <row r="1073" spans="1:41" ht="15.6">
      <c r="A1073">
        <v>23</v>
      </c>
      <c r="B1073" t="s">
        <v>1199</v>
      </c>
      <c r="C1073" t="s">
        <v>566</v>
      </c>
      <c r="D1073" s="3">
        <f t="shared" si="302"/>
        <v>10</v>
      </c>
      <c r="F1073">
        <v>2020</v>
      </c>
      <c r="G1073">
        <f t="shared" si="292"/>
        <v>5</v>
      </c>
      <c r="H1073">
        <v>7.0000000000000007E-2</v>
      </c>
      <c r="J1073">
        <f t="shared" si="303"/>
        <v>10</v>
      </c>
      <c r="K1073">
        <v>2</v>
      </c>
      <c r="L1073">
        <v>172</v>
      </c>
      <c r="M1073" s="12">
        <f t="shared" si="304"/>
        <v>1.0565000000000001E-2</v>
      </c>
      <c r="N1073">
        <f t="shared" si="300"/>
        <v>3.2503845926290013E-2</v>
      </c>
      <c r="O1073">
        <f t="shared" si="301"/>
        <v>0.1027861858422619</v>
      </c>
      <c r="P1073" t="s">
        <v>1077</v>
      </c>
      <c r="Q1073" t="s">
        <v>529</v>
      </c>
      <c r="R1073">
        <v>6.0960000000000001</v>
      </c>
      <c r="S1073">
        <f t="shared" si="305"/>
        <v>5.3493000000000013</v>
      </c>
      <c r="U1073">
        <v>60</v>
      </c>
      <c r="V1073" t="s">
        <v>138</v>
      </c>
      <c r="W1073">
        <f t="shared" si="306"/>
        <v>48.1</v>
      </c>
      <c r="Y1073">
        <v>2008</v>
      </c>
      <c r="Z1073">
        <f>2025-AVERAGE($Y$1067:$Y$1076)</f>
        <v>17</v>
      </c>
      <c r="AA1073">
        <v>0.02</v>
      </c>
      <c r="AB1073">
        <v>0.87</v>
      </c>
      <c r="AC1073">
        <v>0.19</v>
      </c>
      <c r="AD1073" s="3">
        <v>-0.01</v>
      </c>
      <c r="AE1073">
        <v>1</v>
      </c>
      <c r="AF1073" t="str">
        <f t="shared" si="289"/>
        <v>US</v>
      </c>
      <c r="AG1073">
        <v>2</v>
      </c>
      <c r="AH1073">
        <v>1</v>
      </c>
      <c r="AI1073">
        <f t="shared" si="307"/>
        <v>3.9</v>
      </c>
      <c r="AJ1073">
        <f t="shared" si="308"/>
        <v>1.9</v>
      </c>
      <c r="AK1073" t="s">
        <v>112</v>
      </c>
      <c r="AL1073">
        <v>61</v>
      </c>
      <c r="AN1073" t="s">
        <v>864</v>
      </c>
      <c r="AO1073">
        <v>0</v>
      </c>
    </row>
    <row r="1074" spans="1:41" ht="15.6">
      <c r="A1074">
        <v>23</v>
      </c>
      <c r="B1074" t="s">
        <v>1199</v>
      </c>
      <c r="C1074" t="s">
        <v>566</v>
      </c>
      <c r="D1074" s="3">
        <f t="shared" si="302"/>
        <v>10</v>
      </c>
      <c r="F1074">
        <v>2020</v>
      </c>
      <c r="G1074">
        <f t="shared" si="292"/>
        <v>5</v>
      </c>
      <c r="H1074">
        <v>7.0000000000000007E-2</v>
      </c>
      <c r="J1074">
        <f t="shared" si="303"/>
        <v>10</v>
      </c>
      <c r="K1074">
        <v>2</v>
      </c>
      <c r="L1074">
        <v>172</v>
      </c>
      <c r="M1074" s="12">
        <f t="shared" si="304"/>
        <v>1.0565000000000001E-2</v>
      </c>
      <c r="N1074">
        <f t="shared" si="300"/>
        <v>3.2503845926290013E-2</v>
      </c>
      <c r="O1074">
        <f t="shared" si="301"/>
        <v>0.1027861858422619</v>
      </c>
      <c r="P1074" t="s">
        <v>1078</v>
      </c>
      <c r="Q1074" t="s">
        <v>529</v>
      </c>
      <c r="R1074">
        <v>6.0960000000000001</v>
      </c>
      <c r="S1074">
        <f t="shared" si="305"/>
        <v>5.3493000000000013</v>
      </c>
      <c r="U1074">
        <v>33</v>
      </c>
      <c r="V1074" t="s">
        <v>138</v>
      </c>
      <c r="W1074">
        <f t="shared" si="306"/>
        <v>48.1</v>
      </c>
      <c r="Y1074">
        <v>2008</v>
      </c>
      <c r="Z1074">
        <f>2025-AVERAGE($Y$1067:$Y$1076)</f>
        <v>17</v>
      </c>
      <c r="AA1074">
        <v>0.04</v>
      </c>
      <c r="AB1074">
        <v>8.0000000000000002E-3</v>
      </c>
      <c r="AC1074">
        <v>0.27</v>
      </c>
      <c r="AD1074" s="3">
        <v>0.09</v>
      </c>
      <c r="AE1074">
        <v>1</v>
      </c>
      <c r="AF1074" t="str">
        <f t="shared" si="289"/>
        <v>US</v>
      </c>
      <c r="AG1074">
        <v>2</v>
      </c>
      <c r="AH1074">
        <v>1</v>
      </c>
      <c r="AI1074">
        <f t="shared" si="307"/>
        <v>3.9</v>
      </c>
      <c r="AJ1074">
        <f t="shared" si="308"/>
        <v>1.9</v>
      </c>
      <c r="AK1074" t="s">
        <v>112</v>
      </c>
      <c r="AL1074">
        <v>61</v>
      </c>
      <c r="AN1074" t="s">
        <v>864</v>
      </c>
      <c r="AO1074">
        <v>0</v>
      </c>
    </row>
    <row r="1075" spans="1:41" ht="15.6">
      <c r="A1075">
        <v>23</v>
      </c>
      <c r="B1075" t="s">
        <v>1199</v>
      </c>
      <c r="C1075" t="s">
        <v>566</v>
      </c>
      <c r="D1075" s="3">
        <f t="shared" si="302"/>
        <v>10</v>
      </c>
      <c r="F1075">
        <v>2020</v>
      </c>
      <c r="G1075">
        <f t="shared" si="292"/>
        <v>5</v>
      </c>
      <c r="H1075">
        <v>7.0000000000000007E-2</v>
      </c>
      <c r="J1075">
        <f t="shared" si="303"/>
        <v>10</v>
      </c>
      <c r="K1075">
        <v>2</v>
      </c>
      <c r="L1075">
        <v>172</v>
      </c>
      <c r="M1075" s="12">
        <f t="shared" si="304"/>
        <v>1.0565000000000001E-2</v>
      </c>
      <c r="N1075">
        <f t="shared" si="300"/>
        <v>3.2503845926290013E-2</v>
      </c>
      <c r="O1075">
        <f t="shared" si="301"/>
        <v>0.1027861858422619</v>
      </c>
      <c r="P1075" t="s">
        <v>1079</v>
      </c>
      <c r="Q1075" t="s">
        <v>529</v>
      </c>
      <c r="R1075">
        <v>6.0960000000000001</v>
      </c>
      <c r="S1075">
        <f t="shared" si="305"/>
        <v>5.3493000000000013</v>
      </c>
      <c r="U1075">
        <v>65</v>
      </c>
      <c r="V1075" t="s">
        <v>138</v>
      </c>
      <c r="W1075">
        <f t="shared" si="306"/>
        <v>48.1</v>
      </c>
      <c r="Y1075">
        <v>2008</v>
      </c>
      <c r="Z1075">
        <f>2025-AVERAGE($Y$1067:$Y$1076)</f>
        <v>17</v>
      </c>
      <c r="AA1075">
        <v>6.0000000000000001E-3</v>
      </c>
      <c r="AB1075">
        <v>7.0000000000000007E-2</v>
      </c>
      <c r="AC1075">
        <v>0.38</v>
      </c>
      <c r="AD1075" s="3">
        <v>0.23</v>
      </c>
      <c r="AE1075">
        <v>1</v>
      </c>
      <c r="AF1075" t="str">
        <f t="shared" si="289"/>
        <v>US</v>
      </c>
      <c r="AG1075">
        <v>4</v>
      </c>
      <c r="AH1075">
        <v>2</v>
      </c>
      <c r="AI1075">
        <f t="shared" si="307"/>
        <v>3.9</v>
      </c>
      <c r="AJ1075">
        <f t="shared" si="308"/>
        <v>1.9</v>
      </c>
      <c r="AK1075" t="s">
        <v>112</v>
      </c>
      <c r="AL1075">
        <v>61</v>
      </c>
      <c r="AN1075" t="s">
        <v>864</v>
      </c>
      <c r="AO1075">
        <v>0</v>
      </c>
    </row>
    <row r="1076" spans="1:41" ht="15.6">
      <c r="A1076">
        <v>23</v>
      </c>
      <c r="B1076" t="s">
        <v>1199</v>
      </c>
      <c r="C1076" t="s">
        <v>566</v>
      </c>
      <c r="D1076" s="3">
        <f t="shared" si="302"/>
        <v>10</v>
      </c>
      <c r="F1076">
        <v>2020</v>
      </c>
      <c r="G1076">
        <f t="shared" si="292"/>
        <v>5</v>
      </c>
      <c r="H1076">
        <v>7.0000000000000007E-2</v>
      </c>
      <c r="J1076">
        <f t="shared" si="303"/>
        <v>10</v>
      </c>
      <c r="K1076">
        <v>2</v>
      </c>
      <c r="L1076">
        <v>172</v>
      </c>
      <c r="M1076" s="12">
        <f t="shared" si="304"/>
        <v>1.0565000000000001E-2</v>
      </c>
      <c r="N1076">
        <f t="shared" si="300"/>
        <v>3.2503845926290013E-2</v>
      </c>
      <c r="O1076">
        <f t="shared" si="301"/>
        <v>0.1027861858422619</v>
      </c>
      <c r="P1076" t="s">
        <v>1080</v>
      </c>
      <c r="Q1076" t="s">
        <v>527</v>
      </c>
      <c r="R1076">
        <v>3.6070000000000002</v>
      </c>
      <c r="S1076">
        <f t="shared" si="305"/>
        <v>5.3493000000000013</v>
      </c>
      <c r="U1076">
        <v>28</v>
      </c>
      <c r="V1076" t="s">
        <v>138</v>
      </c>
      <c r="W1076">
        <f t="shared" si="306"/>
        <v>48.1</v>
      </c>
      <c r="Y1076">
        <v>2008</v>
      </c>
      <c r="Z1076">
        <f>2025-AVERAGE($Y$1067:$Y$1076)</f>
        <v>17</v>
      </c>
      <c r="AA1076">
        <v>0.01</v>
      </c>
      <c r="AB1076">
        <v>0.55000000000000004</v>
      </c>
      <c r="AC1076">
        <v>0.5</v>
      </c>
      <c r="AD1076" s="3">
        <v>0.05</v>
      </c>
      <c r="AE1076">
        <v>1</v>
      </c>
      <c r="AF1076" t="str">
        <f t="shared" si="289"/>
        <v>US</v>
      </c>
      <c r="AG1076">
        <v>2</v>
      </c>
      <c r="AH1076">
        <v>3</v>
      </c>
      <c r="AI1076">
        <f t="shared" si="307"/>
        <v>3.9</v>
      </c>
      <c r="AJ1076">
        <f t="shared" si="308"/>
        <v>1.9</v>
      </c>
      <c r="AK1076" t="s">
        <v>112</v>
      </c>
      <c r="AL1076">
        <v>61</v>
      </c>
      <c r="AN1076" t="s">
        <v>864</v>
      </c>
      <c r="AO1076">
        <v>0</v>
      </c>
    </row>
    <row r="1077" spans="1:41" ht="15.6">
      <c r="A1077">
        <v>24</v>
      </c>
      <c r="B1077" t="s">
        <v>1200</v>
      </c>
      <c r="C1077" t="s">
        <v>1115</v>
      </c>
      <c r="E1077" s="3">
        <f>100*(3/33)</f>
        <v>9.0909090909090917</v>
      </c>
      <c r="F1077">
        <v>2020</v>
      </c>
      <c r="G1077">
        <f t="shared" si="292"/>
        <v>5</v>
      </c>
      <c r="H1077">
        <f>AVERAGE($AD$1077:$AD$1109)</f>
        <v>0.22596875</v>
      </c>
      <c r="J1077">
        <f>COUNTA($B$1077:$B$1109)</f>
        <v>33</v>
      </c>
      <c r="K1077">
        <f>COUNTA(_xlfn.UNIQUE($Q$1077:$Q$1109))</f>
        <v>12</v>
      </c>
      <c r="L1077">
        <v>5</v>
      </c>
      <c r="M1077" s="12">
        <f>_xlfn.VAR.P($AD$1077:$AD$1109)</f>
        <v>0.27615171777343755</v>
      </c>
      <c r="N1077">
        <f t="shared" ref="N1077:N1109" si="309">$O$1077/SQRT($J$1077)</f>
        <v>9.1478051312445158E-2</v>
      </c>
      <c r="O1077">
        <f>_xlfn.STDEV.P($AD$1077:$AD$1109)</f>
        <v>0.52550139654756156</v>
      </c>
      <c r="P1077" t="s">
        <v>1082</v>
      </c>
      <c r="Q1077" t="s">
        <v>1116</v>
      </c>
      <c r="R1077">
        <v>3.5590000000000002</v>
      </c>
      <c r="S1077">
        <f>AVERAGE($R$1077:$R$1109)</f>
        <v>4.4509090909090929</v>
      </c>
      <c r="U1077">
        <v>94</v>
      </c>
      <c r="V1077" t="s">
        <v>138</v>
      </c>
      <c r="W1077">
        <f>AVERAGE($U$1077:$U$1109)</f>
        <v>150.60606060606059</v>
      </c>
      <c r="Y1077">
        <v>2012</v>
      </c>
      <c r="Z1077">
        <f>2025-AVERAGE($Y$1077:$Y$1109)</f>
        <v>13.63636363636374</v>
      </c>
      <c r="AD1077" s="3">
        <v>0.15</v>
      </c>
      <c r="AE1077">
        <v>1</v>
      </c>
      <c r="AF1077" t="str">
        <f t="shared" si="289"/>
        <v>US</v>
      </c>
      <c r="AG1077">
        <v>2</v>
      </c>
      <c r="AI1077">
        <f>AVERAGE($AG$1077:$AG$1109)</f>
        <v>3.5757575757575757</v>
      </c>
      <c r="AK1077" t="s">
        <v>112</v>
      </c>
      <c r="AL1077">
        <v>32</v>
      </c>
      <c r="AN1077" t="s">
        <v>750</v>
      </c>
      <c r="AO1077">
        <v>0.99</v>
      </c>
    </row>
    <row r="1078" spans="1:41" ht="15.6">
      <c r="A1078">
        <v>24</v>
      </c>
      <c r="B1078" t="s">
        <v>1200</v>
      </c>
      <c r="C1078" t="s">
        <v>1115</v>
      </c>
      <c r="E1078" s="3">
        <f t="shared" ref="E1078:E1109" si="310">100*(3/33)</f>
        <v>9.0909090909090917</v>
      </c>
      <c r="F1078">
        <v>2020</v>
      </c>
      <c r="G1078">
        <f t="shared" si="292"/>
        <v>5</v>
      </c>
      <c r="H1078">
        <f t="shared" ref="H1078:H1109" si="311">AVERAGE($AD$1077:$AD$1109)</f>
        <v>0.22596875</v>
      </c>
      <c r="J1078">
        <f t="shared" ref="J1078:J1109" si="312">COUNTA($B$1077:$B$1109)</f>
        <v>33</v>
      </c>
      <c r="K1078">
        <f t="shared" ref="K1078:K1124" si="313">COUNTA(_xlfn.UNIQUE($Q$1077:$Q$1109))</f>
        <v>12</v>
      </c>
      <c r="L1078">
        <v>5</v>
      </c>
      <c r="M1078" s="12">
        <f t="shared" ref="M1078:M1109" si="314">_xlfn.VAR.P($AD$1077:$AD$1109)</f>
        <v>0.27615171777343755</v>
      </c>
      <c r="N1078">
        <f t="shared" si="309"/>
        <v>9.1478051312445158E-2</v>
      </c>
      <c r="O1078">
        <f t="shared" ref="O1078:O1109" si="315">_xlfn.STDEV.P($AD$1077:$AD$1109)</f>
        <v>0.52550139654756156</v>
      </c>
      <c r="P1078" t="s">
        <v>1083</v>
      </c>
      <c r="Q1078" t="s">
        <v>1116</v>
      </c>
      <c r="R1078">
        <v>3.5750000000000002</v>
      </c>
      <c r="S1078">
        <f t="shared" ref="S1078:S1109" si="316">AVERAGE($R$1077:$R$1109)</f>
        <v>4.4509090909090929</v>
      </c>
      <c r="U1078">
        <v>141</v>
      </c>
      <c r="V1078" t="s">
        <v>138</v>
      </c>
      <c r="W1078">
        <f t="shared" ref="W1078:W1109" si="317">AVERAGE($U$1077:$U$1109)</f>
        <v>150.60606060606059</v>
      </c>
      <c r="Y1078">
        <v>2011</v>
      </c>
      <c r="Z1078">
        <f>2025-AVERAGE($Y$1077:$Y$1109)</f>
        <v>13.63636363636374</v>
      </c>
      <c r="AD1078" s="3">
        <v>-0.38</v>
      </c>
      <c r="AE1078">
        <v>1</v>
      </c>
      <c r="AF1078" t="str">
        <f t="shared" si="289"/>
        <v>US</v>
      </c>
      <c r="AG1078">
        <v>4</v>
      </c>
      <c r="AI1078">
        <f t="shared" ref="AI1078:AI1109" si="318">AVERAGE($AG$1077:$AG$1109)</f>
        <v>3.5757575757575757</v>
      </c>
      <c r="AK1078" t="s">
        <v>112</v>
      </c>
      <c r="AL1078">
        <v>32</v>
      </c>
      <c r="AN1078" t="s">
        <v>750</v>
      </c>
      <c r="AO1078">
        <v>0.99</v>
      </c>
    </row>
    <row r="1079" spans="1:41" ht="15.6">
      <c r="A1079">
        <v>24</v>
      </c>
      <c r="B1079" t="s">
        <v>1200</v>
      </c>
      <c r="C1079" t="s">
        <v>1115</v>
      </c>
      <c r="E1079" s="3">
        <f t="shared" si="310"/>
        <v>9.0909090909090917</v>
      </c>
      <c r="F1079">
        <v>2020</v>
      </c>
      <c r="G1079">
        <f t="shared" si="292"/>
        <v>5</v>
      </c>
      <c r="H1079">
        <f t="shared" si="311"/>
        <v>0.22596875</v>
      </c>
      <c r="J1079">
        <f t="shared" si="312"/>
        <v>33</v>
      </c>
      <c r="K1079">
        <f t="shared" si="313"/>
        <v>12</v>
      </c>
      <c r="L1079">
        <v>5</v>
      </c>
      <c r="M1079" s="12">
        <f t="shared" si="314"/>
        <v>0.27615171777343755</v>
      </c>
      <c r="N1079">
        <f t="shared" si="309"/>
        <v>9.1478051312445158E-2</v>
      </c>
      <c r="O1079">
        <f t="shared" si="315"/>
        <v>0.52550139654756156</v>
      </c>
      <c r="P1079" t="s">
        <v>1084</v>
      </c>
      <c r="Q1079" t="s">
        <v>1117</v>
      </c>
      <c r="R1079">
        <v>1.9730000000000001</v>
      </c>
      <c r="S1079">
        <f t="shared" si="316"/>
        <v>4.4509090909090929</v>
      </c>
      <c r="U1079">
        <v>54</v>
      </c>
      <c r="V1079" t="s">
        <v>138</v>
      </c>
      <c r="W1079">
        <f t="shared" si="317"/>
        <v>150.60606060606059</v>
      </c>
      <c r="Y1079">
        <v>2011</v>
      </c>
      <c r="Z1079">
        <f>2025-AVERAGE($Y$1077:$Y$1109)</f>
        <v>13.63636363636374</v>
      </c>
      <c r="AD1079" s="3">
        <v>-1.1100000000000001</v>
      </c>
      <c r="AE1079">
        <v>1</v>
      </c>
      <c r="AF1079" t="str">
        <f t="shared" si="289"/>
        <v>US</v>
      </c>
      <c r="AG1079">
        <v>6</v>
      </c>
      <c r="AI1079">
        <f t="shared" si="318"/>
        <v>3.5757575757575757</v>
      </c>
      <c r="AK1079" t="s">
        <v>112</v>
      </c>
      <c r="AL1079">
        <v>32</v>
      </c>
      <c r="AN1079" t="s">
        <v>750</v>
      </c>
      <c r="AO1079">
        <v>0.99</v>
      </c>
    </row>
    <row r="1080" spans="1:41" ht="15.6">
      <c r="A1080">
        <v>24</v>
      </c>
      <c r="B1080" t="s">
        <v>1200</v>
      </c>
      <c r="C1080" t="s">
        <v>1115</v>
      </c>
      <c r="E1080" s="3">
        <f t="shared" si="310"/>
        <v>9.0909090909090917</v>
      </c>
      <c r="F1080">
        <v>2020</v>
      </c>
      <c r="G1080">
        <f t="shared" si="292"/>
        <v>5</v>
      </c>
      <c r="H1080">
        <f t="shared" si="311"/>
        <v>0.22596875</v>
      </c>
      <c r="J1080">
        <f t="shared" si="312"/>
        <v>33</v>
      </c>
      <c r="K1080">
        <f t="shared" si="313"/>
        <v>12</v>
      </c>
      <c r="L1080">
        <v>5</v>
      </c>
      <c r="M1080" s="12">
        <f t="shared" si="314"/>
        <v>0.27615171777343755</v>
      </c>
      <c r="N1080">
        <f t="shared" si="309"/>
        <v>9.1478051312445158E-2</v>
      </c>
      <c r="O1080">
        <f t="shared" si="315"/>
        <v>0.52550139654756156</v>
      </c>
      <c r="P1080" t="s">
        <v>1085</v>
      </c>
      <c r="Q1080" t="s">
        <v>1118</v>
      </c>
      <c r="R1080">
        <v>7.3280000000000003</v>
      </c>
      <c r="S1080">
        <f t="shared" si="316"/>
        <v>4.4509090909090929</v>
      </c>
      <c r="U1080">
        <v>394</v>
      </c>
      <c r="V1080" t="s">
        <v>138</v>
      </c>
      <c r="W1080">
        <f t="shared" si="317"/>
        <v>150.60606060606059</v>
      </c>
      <c r="Y1080">
        <v>2011</v>
      </c>
      <c r="Z1080">
        <f>2025-AVERAGE($Y$1077:$Y$1109)</f>
        <v>13.63636363636374</v>
      </c>
      <c r="AD1080" s="3">
        <v>-0.04</v>
      </c>
      <c r="AE1080">
        <v>1</v>
      </c>
      <c r="AF1080" t="str">
        <f t="shared" ref="AF1080:AF1109" si="319">IF(AE1080=1,"US","Non-US")</f>
        <v>US</v>
      </c>
      <c r="AG1080">
        <v>4</v>
      </c>
      <c r="AI1080">
        <f t="shared" si="318"/>
        <v>3.5757575757575757</v>
      </c>
      <c r="AK1080" t="s">
        <v>112</v>
      </c>
      <c r="AL1080">
        <v>32</v>
      </c>
      <c r="AN1080" t="s">
        <v>750</v>
      </c>
      <c r="AO1080">
        <v>0.99</v>
      </c>
    </row>
    <row r="1081" spans="1:41" ht="15.6">
      <c r="A1081">
        <v>24</v>
      </c>
      <c r="B1081" t="s">
        <v>1200</v>
      </c>
      <c r="C1081" t="s">
        <v>1115</v>
      </c>
      <c r="E1081" s="3">
        <f t="shared" si="310"/>
        <v>9.0909090909090917</v>
      </c>
      <c r="F1081">
        <v>2020</v>
      </c>
      <c r="G1081">
        <f t="shared" si="292"/>
        <v>5</v>
      </c>
      <c r="H1081">
        <f t="shared" si="311"/>
        <v>0.22596875</v>
      </c>
      <c r="J1081">
        <f t="shared" si="312"/>
        <v>33</v>
      </c>
      <c r="K1081">
        <f t="shared" si="313"/>
        <v>12</v>
      </c>
      <c r="L1081">
        <v>5</v>
      </c>
      <c r="M1081" s="12">
        <f t="shared" si="314"/>
        <v>0.27615171777343755</v>
      </c>
      <c r="N1081">
        <f t="shared" si="309"/>
        <v>9.1478051312445158E-2</v>
      </c>
      <c r="O1081">
        <f t="shared" si="315"/>
        <v>0.52550139654756156</v>
      </c>
      <c r="P1081" t="s">
        <v>1086</v>
      </c>
      <c r="Q1081" t="s">
        <v>1119</v>
      </c>
      <c r="R1081">
        <v>1.6619999999999999</v>
      </c>
      <c r="S1081">
        <f t="shared" si="316"/>
        <v>4.4509090909090929</v>
      </c>
      <c r="U1081">
        <v>81</v>
      </c>
      <c r="V1081" t="s">
        <v>138</v>
      </c>
      <c r="W1081">
        <f t="shared" si="317"/>
        <v>150.60606060606059</v>
      </c>
      <c r="Y1081">
        <v>2011</v>
      </c>
      <c r="Z1081">
        <f>2025-AVERAGE($Y$1077:$Y$1109)</f>
        <v>13.63636363636374</v>
      </c>
      <c r="AD1081" s="3">
        <v>0.32</v>
      </c>
      <c r="AE1081">
        <v>1</v>
      </c>
      <c r="AF1081" t="str">
        <f t="shared" si="319"/>
        <v>US</v>
      </c>
      <c r="AG1081">
        <v>3</v>
      </c>
      <c r="AI1081">
        <f t="shared" si="318"/>
        <v>3.5757575757575757</v>
      </c>
      <c r="AK1081" t="s">
        <v>112</v>
      </c>
      <c r="AL1081">
        <v>32</v>
      </c>
      <c r="AN1081" t="s">
        <v>750</v>
      </c>
      <c r="AO1081">
        <v>0.99</v>
      </c>
    </row>
    <row r="1082" spans="1:41" ht="15.6">
      <c r="A1082">
        <v>24</v>
      </c>
      <c r="B1082" t="s">
        <v>1200</v>
      </c>
      <c r="C1082" t="s">
        <v>1115</v>
      </c>
      <c r="E1082" s="3">
        <f t="shared" si="310"/>
        <v>9.0909090909090917</v>
      </c>
      <c r="F1082">
        <v>2020</v>
      </c>
      <c r="G1082">
        <f t="shared" si="292"/>
        <v>5</v>
      </c>
      <c r="H1082">
        <f t="shared" si="311"/>
        <v>0.22596875</v>
      </c>
      <c r="J1082">
        <f t="shared" si="312"/>
        <v>33</v>
      </c>
      <c r="K1082">
        <f t="shared" si="313"/>
        <v>12</v>
      </c>
      <c r="L1082">
        <v>5</v>
      </c>
      <c r="M1082" s="12">
        <f t="shared" si="314"/>
        <v>0.27615171777343755</v>
      </c>
      <c r="N1082">
        <f t="shared" si="309"/>
        <v>9.1478051312445158E-2</v>
      </c>
      <c r="O1082">
        <f t="shared" si="315"/>
        <v>0.52550139654756156</v>
      </c>
      <c r="P1082" t="s">
        <v>1087</v>
      </c>
      <c r="Q1082" t="s">
        <v>536</v>
      </c>
      <c r="R1082">
        <v>6.86</v>
      </c>
      <c r="S1082">
        <f t="shared" si="316"/>
        <v>4.4509090909090929</v>
      </c>
      <c r="U1082">
        <v>105</v>
      </c>
      <c r="V1082" t="s">
        <v>138</v>
      </c>
      <c r="W1082">
        <f t="shared" si="317"/>
        <v>150.60606060606059</v>
      </c>
      <c r="Y1082">
        <v>2012</v>
      </c>
      <c r="Z1082">
        <f>2025-AVERAGE($Y$1077:$Y$1109)</f>
        <v>13.63636363636374</v>
      </c>
      <c r="AD1082" s="3">
        <v>0.32</v>
      </c>
      <c r="AE1082">
        <v>1</v>
      </c>
      <c r="AF1082" t="str">
        <f t="shared" si="319"/>
        <v>US</v>
      </c>
      <c r="AG1082">
        <v>3</v>
      </c>
      <c r="AI1082">
        <f t="shared" si="318"/>
        <v>3.5757575757575757</v>
      </c>
      <c r="AK1082" t="s">
        <v>112</v>
      </c>
      <c r="AL1082">
        <v>32</v>
      </c>
      <c r="AN1082" t="s">
        <v>750</v>
      </c>
      <c r="AO1082">
        <v>0.99</v>
      </c>
    </row>
    <row r="1083" spans="1:41" ht="15.6">
      <c r="A1083">
        <v>24</v>
      </c>
      <c r="B1083" t="s">
        <v>1200</v>
      </c>
      <c r="C1083" t="s">
        <v>1115</v>
      </c>
      <c r="E1083" s="3">
        <f t="shared" si="310"/>
        <v>9.0909090909090917</v>
      </c>
      <c r="F1083">
        <v>2020</v>
      </c>
      <c r="G1083">
        <f t="shared" si="292"/>
        <v>5</v>
      </c>
      <c r="H1083">
        <f t="shared" si="311"/>
        <v>0.22596875</v>
      </c>
      <c r="J1083">
        <f t="shared" si="312"/>
        <v>33</v>
      </c>
      <c r="K1083">
        <f t="shared" si="313"/>
        <v>12</v>
      </c>
      <c r="L1083">
        <v>5</v>
      </c>
      <c r="M1083" s="12">
        <f t="shared" si="314"/>
        <v>0.27615171777343755</v>
      </c>
      <c r="N1083">
        <f t="shared" si="309"/>
        <v>9.1478051312445158E-2</v>
      </c>
      <c r="O1083">
        <f t="shared" si="315"/>
        <v>0.52550139654756156</v>
      </c>
      <c r="P1083" t="s">
        <v>1088</v>
      </c>
      <c r="Q1083" t="s">
        <v>536</v>
      </c>
      <c r="R1083">
        <v>5.7809999999999997</v>
      </c>
      <c r="S1083">
        <f t="shared" si="316"/>
        <v>4.4509090909090929</v>
      </c>
      <c r="U1083">
        <v>111</v>
      </c>
      <c r="V1083" t="s">
        <v>138</v>
      </c>
      <c r="W1083">
        <f t="shared" si="317"/>
        <v>150.60606060606059</v>
      </c>
      <c r="Y1083">
        <v>2011</v>
      </c>
      <c r="Z1083">
        <f>2025-AVERAGE($Y$1077:$Y$1109)</f>
        <v>13.63636363636374</v>
      </c>
      <c r="AD1083" s="3">
        <v>0.24</v>
      </c>
      <c r="AE1083">
        <v>1</v>
      </c>
      <c r="AF1083" t="str">
        <f t="shared" si="319"/>
        <v>US</v>
      </c>
      <c r="AG1083">
        <v>3</v>
      </c>
      <c r="AI1083">
        <f t="shared" si="318"/>
        <v>3.5757575757575757</v>
      </c>
      <c r="AK1083" t="s">
        <v>112</v>
      </c>
      <c r="AL1083">
        <v>32</v>
      </c>
      <c r="AN1083" t="s">
        <v>750</v>
      </c>
      <c r="AO1083">
        <v>0.99</v>
      </c>
    </row>
    <row r="1084" spans="1:41" ht="15.6">
      <c r="A1084">
        <v>24</v>
      </c>
      <c r="B1084" t="s">
        <v>1200</v>
      </c>
      <c r="C1084" t="s">
        <v>1115</v>
      </c>
      <c r="E1084" s="3">
        <f t="shared" si="310"/>
        <v>9.0909090909090917</v>
      </c>
      <c r="F1084">
        <v>2020</v>
      </c>
      <c r="G1084">
        <f t="shared" si="292"/>
        <v>5</v>
      </c>
      <c r="H1084">
        <f t="shared" si="311"/>
        <v>0.22596875</v>
      </c>
      <c r="J1084">
        <f t="shared" si="312"/>
        <v>33</v>
      </c>
      <c r="K1084">
        <f t="shared" si="313"/>
        <v>12</v>
      </c>
      <c r="L1084">
        <v>5</v>
      </c>
      <c r="M1084" s="12">
        <f t="shared" si="314"/>
        <v>0.27615171777343755</v>
      </c>
      <c r="N1084">
        <f t="shared" si="309"/>
        <v>9.1478051312445158E-2</v>
      </c>
      <c r="O1084">
        <f t="shared" si="315"/>
        <v>0.52550139654756156</v>
      </c>
      <c r="P1084" t="s">
        <v>1089</v>
      </c>
      <c r="Q1084" t="s">
        <v>1120</v>
      </c>
      <c r="R1084">
        <v>1.6140000000000001</v>
      </c>
      <c r="S1084">
        <f t="shared" si="316"/>
        <v>4.4509090909090929</v>
      </c>
      <c r="U1084">
        <v>51</v>
      </c>
      <c r="V1084" t="s">
        <v>138</v>
      </c>
      <c r="W1084">
        <f t="shared" si="317"/>
        <v>150.60606060606059</v>
      </c>
      <c r="Y1084">
        <v>2011</v>
      </c>
      <c r="Z1084">
        <f>2025-AVERAGE($Y$1077:$Y$1109)</f>
        <v>13.63636363636374</v>
      </c>
      <c r="AD1084" s="3">
        <v>0.04</v>
      </c>
      <c r="AE1084">
        <v>1</v>
      </c>
      <c r="AF1084" t="str">
        <f t="shared" si="319"/>
        <v>US</v>
      </c>
      <c r="AG1084">
        <v>7</v>
      </c>
      <c r="AI1084">
        <f t="shared" si="318"/>
        <v>3.5757575757575757</v>
      </c>
      <c r="AK1084" t="s">
        <v>112</v>
      </c>
      <c r="AL1084">
        <v>32</v>
      </c>
      <c r="AN1084" t="s">
        <v>750</v>
      </c>
      <c r="AO1084">
        <v>0.99</v>
      </c>
    </row>
    <row r="1085" spans="1:41" ht="15.6">
      <c r="A1085">
        <v>24</v>
      </c>
      <c r="B1085" t="s">
        <v>1200</v>
      </c>
      <c r="C1085" t="s">
        <v>1115</v>
      </c>
      <c r="E1085" s="3">
        <f t="shared" si="310"/>
        <v>9.0909090909090917</v>
      </c>
      <c r="F1085">
        <v>2020</v>
      </c>
      <c r="G1085">
        <f t="shared" si="292"/>
        <v>5</v>
      </c>
      <c r="H1085">
        <f t="shared" si="311"/>
        <v>0.22596875</v>
      </c>
      <c r="J1085">
        <f t="shared" si="312"/>
        <v>33</v>
      </c>
      <c r="K1085">
        <f t="shared" si="313"/>
        <v>12</v>
      </c>
      <c r="L1085">
        <v>5</v>
      </c>
      <c r="M1085" s="12">
        <f t="shared" si="314"/>
        <v>0.27615171777343755</v>
      </c>
      <c r="N1085">
        <f t="shared" si="309"/>
        <v>9.1478051312445158E-2</v>
      </c>
      <c r="O1085">
        <f t="shared" si="315"/>
        <v>0.52550139654756156</v>
      </c>
      <c r="P1085" t="s">
        <v>1090</v>
      </c>
      <c r="Q1085" t="s">
        <v>536</v>
      </c>
      <c r="R1085">
        <v>5.7809999999999997</v>
      </c>
      <c r="S1085">
        <f t="shared" si="316"/>
        <v>4.4509090909090929</v>
      </c>
      <c r="U1085">
        <v>125</v>
      </c>
      <c r="V1085" t="s">
        <v>138</v>
      </c>
      <c r="W1085">
        <f t="shared" si="317"/>
        <v>150.60606060606059</v>
      </c>
      <c r="Y1085">
        <v>2011</v>
      </c>
      <c r="Z1085">
        <f>2025-AVERAGE($Y$1077:$Y$1109)</f>
        <v>13.63636363636374</v>
      </c>
      <c r="AD1085" s="3">
        <v>0.21</v>
      </c>
      <c r="AE1085">
        <v>1</v>
      </c>
      <c r="AF1085" t="str">
        <f t="shared" si="319"/>
        <v>US</v>
      </c>
      <c r="AG1085">
        <v>5</v>
      </c>
      <c r="AI1085">
        <f t="shared" si="318"/>
        <v>3.5757575757575757</v>
      </c>
      <c r="AK1085" t="s">
        <v>112</v>
      </c>
      <c r="AL1085">
        <v>32</v>
      </c>
      <c r="AN1085" t="s">
        <v>750</v>
      </c>
      <c r="AO1085">
        <v>0.99</v>
      </c>
    </row>
    <row r="1086" spans="1:41" ht="15.6">
      <c r="A1086">
        <v>24</v>
      </c>
      <c r="B1086" t="s">
        <v>1200</v>
      </c>
      <c r="C1086" t="s">
        <v>1115</v>
      </c>
      <c r="E1086" s="3">
        <f t="shared" si="310"/>
        <v>9.0909090909090917</v>
      </c>
      <c r="F1086">
        <v>2020</v>
      </c>
      <c r="G1086">
        <f t="shared" si="292"/>
        <v>5</v>
      </c>
      <c r="H1086">
        <f t="shared" si="311"/>
        <v>0.22596875</v>
      </c>
      <c r="J1086">
        <f t="shared" si="312"/>
        <v>33</v>
      </c>
      <c r="K1086">
        <f t="shared" si="313"/>
        <v>12</v>
      </c>
      <c r="L1086">
        <v>5</v>
      </c>
      <c r="M1086" s="12">
        <f t="shared" si="314"/>
        <v>0.27615171777343755</v>
      </c>
      <c r="N1086">
        <f t="shared" si="309"/>
        <v>9.1478051312445158E-2</v>
      </c>
      <c r="O1086">
        <f t="shared" si="315"/>
        <v>0.52550139654756156</v>
      </c>
      <c r="P1086" t="s">
        <v>1091</v>
      </c>
      <c r="Q1086" t="s">
        <v>536</v>
      </c>
      <c r="R1086">
        <v>6.86</v>
      </c>
      <c r="S1086">
        <f t="shared" si="316"/>
        <v>4.4509090909090929</v>
      </c>
      <c r="U1086">
        <v>143</v>
      </c>
      <c r="V1086" t="s">
        <v>138</v>
      </c>
      <c r="W1086">
        <f t="shared" si="317"/>
        <v>150.60606060606059</v>
      </c>
      <c r="Y1086">
        <v>2012</v>
      </c>
      <c r="Z1086">
        <f>2025-AVERAGE($Y$1077:$Y$1109)</f>
        <v>13.63636363636374</v>
      </c>
      <c r="AD1086" s="3">
        <v>-0.16</v>
      </c>
      <c r="AE1086">
        <v>1</v>
      </c>
      <c r="AF1086" t="str">
        <f t="shared" si="319"/>
        <v>US</v>
      </c>
      <c r="AG1086">
        <v>3</v>
      </c>
      <c r="AI1086">
        <f t="shared" si="318"/>
        <v>3.5757575757575757</v>
      </c>
      <c r="AK1086" t="s">
        <v>112</v>
      </c>
      <c r="AL1086">
        <v>32</v>
      </c>
      <c r="AN1086" t="s">
        <v>750</v>
      </c>
      <c r="AO1086">
        <v>0.99</v>
      </c>
    </row>
    <row r="1087" spans="1:41" ht="15.6">
      <c r="A1087">
        <v>24</v>
      </c>
      <c r="B1087" t="s">
        <v>1200</v>
      </c>
      <c r="C1087" t="s">
        <v>1115</v>
      </c>
      <c r="E1087" s="3">
        <f t="shared" si="310"/>
        <v>9.0909090909090917</v>
      </c>
      <c r="F1087">
        <v>2020</v>
      </c>
      <c r="G1087">
        <f t="shared" si="292"/>
        <v>5</v>
      </c>
      <c r="H1087">
        <f t="shared" si="311"/>
        <v>0.22596875</v>
      </c>
      <c r="J1087">
        <f t="shared" si="312"/>
        <v>33</v>
      </c>
      <c r="K1087">
        <f t="shared" si="313"/>
        <v>12</v>
      </c>
      <c r="L1087">
        <v>5</v>
      </c>
      <c r="M1087" s="12">
        <f t="shared" si="314"/>
        <v>0.27615171777343755</v>
      </c>
      <c r="N1087">
        <f t="shared" si="309"/>
        <v>9.1478051312445158E-2</v>
      </c>
      <c r="O1087">
        <f t="shared" si="315"/>
        <v>0.52550139654756156</v>
      </c>
      <c r="P1087" t="s">
        <v>1092</v>
      </c>
      <c r="Q1087" t="s">
        <v>1118</v>
      </c>
      <c r="R1087">
        <v>8.7859999999999996</v>
      </c>
      <c r="S1087">
        <f t="shared" si="316"/>
        <v>4.4509090909090929</v>
      </c>
      <c r="U1087">
        <v>530</v>
      </c>
      <c r="V1087" t="s">
        <v>138</v>
      </c>
      <c r="W1087">
        <f t="shared" si="317"/>
        <v>150.60606060606059</v>
      </c>
      <c r="Y1087">
        <v>2012</v>
      </c>
      <c r="Z1087">
        <f>2025-AVERAGE($Y$1077:$Y$1109)</f>
        <v>13.63636363636374</v>
      </c>
      <c r="AD1087" s="3">
        <v>-0.01</v>
      </c>
      <c r="AE1087">
        <v>1</v>
      </c>
      <c r="AF1087" t="str">
        <f t="shared" si="319"/>
        <v>US</v>
      </c>
      <c r="AG1087">
        <v>4</v>
      </c>
      <c r="AI1087">
        <f t="shared" si="318"/>
        <v>3.5757575757575757</v>
      </c>
      <c r="AK1087" t="s">
        <v>112</v>
      </c>
      <c r="AL1087">
        <v>32</v>
      </c>
      <c r="AN1087" t="s">
        <v>750</v>
      </c>
      <c r="AO1087">
        <v>0.99</v>
      </c>
    </row>
    <row r="1088" spans="1:41" ht="15.6">
      <c r="A1088">
        <v>24</v>
      </c>
      <c r="B1088" t="s">
        <v>1200</v>
      </c>
      <c r="C1088" t="s">
        <v>1115</v>
      </c>
      <c r="E1088" s="3">
        <f t="shared" si="310"/>
        <v>9.0909090909090917</v>
      </c>
      <c r="F1088">
        <v>2020</v>
      </c>
      <c r="G1088">
        <f t="shared" si="292"/>
        <v>5</v>
      </c>
      <c r="H1088">
        <f t="shared" si="311"/>
        <v>0.22596875</v>
      </c>
      <c r="J1088">
        <f t="shared" si="312"/>
        <v>33</v>
      </c>
      <c r="K1088">
        <f t="shared" si="313"/>
        <v>12</v>
      </c>
      <c r="L1088">
        <v>5</v>
      </c>
      <c r="M1088" s="12">
        <f t="shared" si="314"/>
        <v>0.27615171777343755</v>
      </c>
      <c r="N1088">
        <f t="shared" si="309"/>
        <v>9.1478051312445158E-2</v>
      </c>
      <c r="O1088">
        <f t="shared" si="315"/>
        <v>0.52550139654756156</v>
      </c>
      <c r="P1088" t="s">
        <v>1093</v>
      </c>
      <c r="Q1088" t="s">
        <v>1121</v>
      </c>
      <c r="R1088">
        <v>0.872</v>
      </c>
      <c r="S1088">
        <f t="shared" si="316"/>
        <v>4.4509090909090929</v>
      </c>
      <c r="U1088">
        <v>54</v>
      </c>
      <c r="V1088" t="s">
        <v>138</v>
      </c>
      <c r="W1088">
        <f t="shared" si="317"/>
        <v>150.60606060606059</v>
      </c>
      <c r="Y1088">
        <v>2011</v>
      </c>
      <c r="Z1088">
        <f>2025-AVERAGE($Y$1077:$Y$1109)</f>
        <v>13.63636363636374</v>
      </c>
      <c r="AD1088" s="3">
        <v>0.27</v>
      </c>
      <c r="AE1088">
        <v>1</v>
      </c>
      <c r="AF1088" t="str">
        <f t="shared" si="319"/>
        <v>US</v>
      </c>
      <c r="AG1088">
        <v>2</v>
      </c>
      <c r="AI1088">
        <f t="shared" si="318"/>
        <v>3.5757575757575757</v>
      </c>
      <c r="AK1088" t="s">
        <v>112</v>
      </c>
      <c r="AL1088">
        <v>32</v>
      </c>
      <c r="AN1088" t="s">
        <v>750</v>
      </c>
      <c r="AO1088">
        <v>0.99</v>
      </c>
    </row>
    <row r="1089" spans="1:41" ht="15.6">
      <c r="A1089">
        <v>24</v>
      </c>
      <c r="B1089" t="s">
        <v>1200</v>
      </c>
      <c r="C1089" t="s">
        <v>1115</v>
      </c>
      <c r="E1089" s="3">
        <f t="shared" si="310"/>
        <v>9.0909090909090917</v>
      </c>
      <c r="F1089">
        <v>2020</v>
      </c>
      <c r="G1089">
        <f t="shared" si="292"/>
        <v>5</v>
      </c>
      <c r="H1089">
        <f t="shared" si="311"/>
        <v>0.22596875</v>
      </c>
      <c r="J1089">
        <f t="shared" si="312"/>
        <v>33</v>
      </c>
      <c r="K1089">
        <f t="shared" si="313"/>
        <v>12</v>
      </c>
      <c r="L1089">
        <v>5</v>
      </c>
      <c r="M1089" s="12">
        <f t="shared" si="314"/>
        <v>0.27615171777343755</v>
      </c>
      <c r="N1089">
        <f t="shared" si="309"/>
        <v>9.1478051312445158E-2</v>
      </c>
      <c r="O1089">
        <f t="shared" si="315"/>
        <v>0.52550139654756156</v>
      </c>
      <c r="P1089" t="s">
        <v>1094</v>
      </c>
      <c r="Q1089" t="s">
        <v>1118</v>
      </c>
      <c r="R1089">
        <v>7.3280000000000003</v>
      </c>
      <c r="S1089">
        <f t="shared" si="316"/>
        <v>4.4509090909090929</v>
      </c>
      <c r="U1089">
        <v>93</v>
      </c>
      <c r="V1089" t="s">
        <v>138</v>
      </c>
      <c r="W1089">
        <f t="shared" si="317"/>
        <v>150.60606060606059</v>
      </c>
      <c r="Y1089">
        <v>2011</v>
      </c>
      <c r="Z1089">
        <f>2025-AVERAGE($Y$1077:$Y$1109)</f>
        <v>13.63636363636374</v>
      </c>
      <c r="AD1089" s="3">
        <v>-0.33</v>
      </c>
      <c r="AE1089">
        <v>1</v>
      </c>
      <c r="AF1089" t="str">
        <f t="shared" si="319"/>
        <v>US</v>
      </c>
      <c r="AG1089">
        <v>9</v>
      </c>
      <c r="AI1089">
        <f t="shared" si="318"/>
        <v>3.5757575757575757</v>
      </c>
      <c r="AK1089" t="s">
        <v>112</v>
      </c>
      <c r="AL1089">
        <v>32</v>
      </c>
      <c r="AN1089" t="s">
        <v>750</v>
      </c>
      <c r="AO1089">
        <v>0.99</v>
      </c>
    </row>
    <row r="1090" spans="1:41" ht="15.6">
      <c r="A1090">
        <v>24</v>
      </c>
      <c r="B1090" t="s">
        <v>1200</v>
      </c>
      <c r="C1090" t="s">
        <v>1115</v>
      </c>
      <c r="E1090" s="3">
        <f t="shared" si="310"/>
        <v>9.0909090909090917</v>
      </c>
      <c r="F1090">
        <v>2020</v>
      </c>
      <c r="G1090">
        <f t="shared" si="292"/>
        <v>5</v>
      </c>
      <c r="H1090">
        <f t="shared" si="311"/>
        <v>0.22596875</v>
      </c>
      <c r="J1090">
        <f t="shared" si="312"/>
        <v>33</v>
      </c>
      <c r="K1090">
        <f t="shared" si="313"/>
        <v>12</v>
      </c>
      <c r="L1090">
        <v>5</v>
      </c>
      <c r="M1090" s="12">
        <f t="shared" si="314"/>
        <v>0.27615171777343755</v>
      </c>
      <c r="N1090">
        <f t="shared" si="309"/>
        <v>9.1478051312445158E-2</v>
      </c>
      <c r="O1090">
        <f t="shared" si="315"/>
        <v>0.52550139654756156</v>
      </c>
      <c r="P1090" t="s">
        <v>1095</v>
      </c>
      <c r="Q1090" t="s">
        <v>1118</v>
      </c>
      <c r="R1090">
        <v>7.3280000000000003</v>
      </c>
      <c r="S1090">
        <f t="shared" si="316"/>
        <v>4.4509090909090929</v>
      </c>
      <c r="U1090">
        <v>231</v>
      </c>
      <c r="V1090" t="s">
        <v>138</v>
      </c>
      <c r="W1090">
        <f t="shared" si="317"/>
        <v>150.60606060606059</v>
      </c>
      <c r="Y1090">
        <v>2011</v>
      </c>
      <c r="Z1090">
        <f>2025-AVERAGE($Y$1077:$Y$1109)</f>
        <v>13.63636363636374</v>
      </c>
      <c r="AB1090" t="s">
        <v>756</v>
      </c>
      <c r="AD1090" s="3">
        <v>7.0000000000000007E-2</v>
      </c>
      <c r="AE1090">
        <v>1</v>
      </c>
      <c r="AF1090" t="str">
        <f t="shared" si="319"/>
        <v>US</v>
      </c>
      <c r="AG1090">
        <v>3</v>
      </c>
      <c r="AI1090">
        <f t="shared" si="318"/>
        <v>3.5757575757575757</v>
      </c>
      <c r="AK1090" t="s">
        <v>112</v>
      </c>
      <c r="AL1090">
        <v>32</v>
      </c>
      <c r="AN1090" t="s">
        <v>750</v>
      </c>
      <c r="AO1090">
        <v>0.99</v>
      </c>
    </row>
    <row r="1091" spans="1:41" ht="15.6">
      <c r="A1091">
        <v>24</v>
      </c>
      <c r="B1091" t="s">
        <v>1200</v>
      </c>
      <c r="C1091" t="s">
        <v>1115</v>
      </c>
      <c r="E1091" s="3">
        <f t="shared" si="310"/>
        <v>9.0909090909090917</v>
      </c>
      <c r="F1091">
        <v>2020</v>
      </c>
      <c r="G1091">
        <f t="shared" si="292"/>
        <v>5</v>
      </c>
      <c r="H1091">
        <f t="shared" si="311"/>
        <v>0.22596875</v>
      </c>
      <c r="J1091">
        <f t="shared" si="312"/>
        <v>33</v>
      </c>
      <c r="K1091">
        <f t="shared" si="313"/>
        <v>12</v>
      </c>
      <c r="L1091">
        <v>5</v>
      </c>
      <c r="M1091" s="12">
        <f t="shared" si="314"/>
        <v>0.27615171777343755</v>
      </c>
      <c r="N1091">
        <f t="shared" si="309"/>
        <v>9.1478051312445158E-2</v>
      </c>
      <c r="O1091">
        <f t="shared" si="315"/>
        <v>0.52550139654756156</v>
      </c>
      <c r="P1091" t="s">
        <v>1096</v>
      </c>
      <c r="Q1091" t="s">
        <v>1118</v>
      </c>
      <c r="R1091">
        <v>8.7859999999999996</v>
      </c>
      <c r="S1091">
        <f t="shared" si="316"/>
        <v>4.4509090909090929</v>
      </c>
      <c r="U1091">
        <v>232</v>
      </c>
      <c r="V1091" t="s">
        <v>138</v>
      </c>
      <c r="W1091">
        <f t="shared" si="317"/>
        <v>150.60606060606059</v>
      </c>
      <c r="Y1091">
        <v>2012</v>
      </c>
      <c r="Z1091">
        <f>2025-AVERAGE($Y$1077:$Y$1109)</f>
        <v>13.63636363636374</v>
      </c>
      <c r="AD1091" s="3">
        <v>0.32600000000000001</v>
      </c>
      <c r="AE1091">
        <v>1</v>
      </c>
      <c r="AF1091" t="str">
        <f t="shared" si="319"/>
        <v>US</v>
      </c>
      <c r="AG1091">
        <v>2</v>
      </c>
      <c r="AI1091">
        <f t="shared" si="318"/>
        <v>3.5757575757575757</v>
      </c>
      <c r="AK1091" t="s">
        <v>112</v>
      </c>
      <c r="AL1091">
        <v>32</v>
      </c>
      <c r="AN1091" t="s">
        <v>750</v>
      </c>
      <c r="AO1091">
        <v>0.99</v>
      </c>
    </row>
    <row r="1092" spans="1:41" ht="15.6">
      <c r="A1092">
        <v>24</v>
      </c>
      <c r="B1092" t="s">
        <v>1200</v>
      </c>
      <c r="C1092" t="s">
        <v>1115</v>
      </c>
      <c r="E1092" s="3">
        <f t="shared" si="310"/>
        <v>9.0909090909090917</v>
      </c>
      <c r="F1092">
        <v>2020</v>
      </c>
      <c r="G1092">
        <f t="shared" si="292"/>
        <v>5</v>
      </c>
      <c r="H1092">
        <f t="shared" si="311"/>
        <v>0.22596875</v>
      </c>
      <c r="J1092">
        <f t="shared" si="312"/>
        <v>33</v>
      </c>
      <c r="K1092">
        <f t="shared" si="313"/>
        <v>12</v>
      </c>
      <c r="L1092">
        <v>5</v>
      </c>
      <c r="M1092" s="12">
        <f t="shared" si="314"/>
        <v>0.27615171777343755</v>
      </c>
      <c r="N1092">
        <f t="shared" si="309"/>
        <v>9.1478051312445158E-2</v>
      </c>
      <c r="O1092">
        <f t="shared" si="315"/>
        <v>0.52550139654756156</v>
      </c>
      <c r="P1092" t="s">
        <v>1097</v>
      </c>
      <c r="Q1092" t="s">
        <v>1122</v>
      </c>
      <c r="R1092">
        <v>1.7929999999999999</v>
      </c>
      <c r="S1092">
        <f t="shared" si="316"/>
        <v>4.4509090909090929</v>
      </c>
      <c r="U1092">
        <v>55</v>
      </c>
      <c r="V1092" t="s">
        <v>138</v>
      </c>
      <c r="W1092">
        <f t="shared" si="317"/>
        <v>150.60606060606059</v>
      </c>
      <c r="Y1092">
        <v>2011</v>
      </c>
      <c r="Z1092">
        <f>2025-AVERAGE($Y$1077:$Y$1109)</f>
        <v>13.63636363636374</v>
      </c>
      <c r="AD1092" s="3">
        <v>2.02</v>
      </c>
      <c r="AE1092">
        <v>1</v>
      </c>
      <c r="AF1092" t="str">
        <f t="shared" si="319"/>
        <v>US</v>
      </c>
      <c r="AG1092">
        <v>2</v>
      </c>
      <c r="AI1092">
        <f t="shared" si="318"/>
        <v>3.5757575757575757</v>
      </c>
      <c r="AK1092" t="s">
        <v>112</v>
      </c>
      <c r="AL1092">
        <v>32</v>
      </c>
      <c r="AN1092" t="s">
        <v>750</v>
      </c>
      <c r="AO1092">
        <v>0.99</v>
      </c>
    </row>
    <row r="1093" spans="1:41" ht="15.6">
      <c r="A1093">
        <v>24</v>
      </c>
      <c r="B1093" t="s">
        <v>1200</v>
      </c>
      <c r="C1093" t="s">
        <v>1115</v>
      </c>
      <c r="E1093" s="3">
        <f t="shared" si="310"/>
        <v>9.0909090909090917</v>
      </c>
      <c r="F1093">
        <v>2020</v>
      </c>
      <c r="G1093">
        <f t="shared" si="292"/>
        <v>5</v>
      </c>
      <c r="H1093">
        <f t="shared" si="311"/>
        <v>0.22596875</v>
      </c>
      <c r="J1093">
        <f t="shared" si="312"/>
        <v>33</v>
      </c>
      <c r="K1093">
        <f t="shared" si="313"/>
        <v>12</v>
      </c>
      <c r="L1093">
        <v>5</v>
      </c>
      <c r="M1093" s="12">
        <f t="shared" si="314"/>
        <v>0.27615171777343755</v>
      </c>
      <c r="N1093">
        <f t="shared" si="309"/>
        <v>9.1478051312445158E-2</v>
      </c>
      <c r="O1093">
        <f t="shared" si="315"/>
        <v>0.52550139654756156</v>
      </c>
      <c r="P1093" t="s">
        <v>1098</v>
      </c>
      <c r="Q1093" t="s">
        <v>1118</v>
      </c>
      <c r="R1093">
        <v>7.3280000000000003</v>
      </c>
      <c r="S1093">
        <f t="shared" si="316"/>
        <v>4.4509090909090929</v>
      </c>
      <c r="U1093">
        <v>122</v>
      </c>
      <c r="V1093" t="s">
        <v>138</v>
      </c>
      <c r="W1093">
        <f t="shared" si="317"/>
        <v>150.60606060606059</v>
      </c>
      <c r="Y1093">
        <v>2011</v>
      </c>
      <c r="Z1093">
        <f>2025-AVERAGE($Y$1077:$Y$1109)</f>
        <v>13.63636363636374</v>
      </c>
      <c r="AD1093" s="3">
        <v>0.13</v>
      </c>
      <c r="AE1093">
        <v>1</v>
      </c>
      <c r="AF1093" t="str">
        <f t="shared" si="319"/>
        <v>US</v>
      </c>
      <c r="AG1093">
        <v>2</v>
      </c>
      <c r="AI1093">
        <f t="shared" si="318"/>
        <v>3.5757575757575757</v>
      </c>
      <c r="AK1093" t="s">
        <v>112</v>
      </c>
      <c r="AL1093">
        <v>32</v>
      </c>
      <c r="AN1093" t="s">
        <v>750</v>
      </c>
      <c r="AO1093">
        <v>0.99</v>
      </c>
    </row>
    <row r="1094" spans="1:41" ht="15.6">
      <c r="A1094">
        <v>24</v>
      </c>
      <c r="B1094" t="s">
        <v>1200</v>
      </c>
      <c r="C1094" t="s">
        <v>1115</v>
      </c>
      <c r="E1094" s="3">
        <f t="shared" si="310"/>
        <v>9.0909090909090917</v>
      </c>
      <c r="F1094">
        <v>2020</v>
      </c>
      <c r="G1094">
        <f t="shared" si="292"/>
        <v>5</v>
      </c>
      <c r="H1094">
        <f t="shared" si="311"/>
        <v>0.22596875</v>
      </c>
      <c r="J1094">
        <f t="shared" si="312"/>
        <v>33</v>
      </c>
      <c r="K1094">
        <f t="shared" si="313"/>
        <v>12</v>
      </c>
      <c r="L1094">
        <v>5</v>
      </c>
      <c r="M1094" s="12">
        <f t="shared" si="314"/>
        <v>0.27615171777343755</v>
      </c>
      <c r="N1094">
        <f t="shared" si="309"/>
        <v>9.1478051312445158E-2</v>
      </c>
      <c r="O1094">
        <f t="shared" si="315"/>
        <v>0.52550139654756156</v>
      </c>
      <c r="P1094" t="s">
        <v>1099</v>
      </c>
      <c r="Q1094" t="s">
        <v>1117</v>
      </c>
      <c r="R1094">
        <v>2.0430000000000001</v>
      </c>
      <c r="S1094">
        <f t="shared" si="316"/>
        <v>4.4509090909090929</v>
      </c>
      <c r="U1094">
        <v>72</v>
      </c>
      <c r="V1094" t="s">
        <v>138</v>
      </c>
      <c r="W1094">
        <f t="shared" si="317"/>
        <v>150.60606060606059</v>
      </c>
      <c r="Y1094">
        <v>2012</v>
      </c>
      <c r="Z1094">
        <f>2025-AVERAGE($Y$1077:$Y$1109)</f>
        <v>13.63636363636374</v>
      </c>
      <c r="AD1094" s="3">
        <v>0.03</v>
      </c>
      <c r="AE1094">
        <v>1</v>
      </c>
      <c r="AF1094" t="str">
        <f t="shared" si="319"/>
        <v>US</v>
      </c>
      <c r="AG1094">
        <v>3</v>
      </c>
      <c r="AI1094">
        <f t="shared" si="318"/>
        <v>3.5757575757575757</v>
      </c>
      <c r="AK1094" t="s">
        <v>112</v>
      </c>
      <c r="AL1094">
        <v>32</v>
      </c>
      <c r="AN1094" t="s">
        <v>750</v>
      </c>
      <c r="AO1094">
        <v>0.99</v>
      </c>
    </row>
    <row r="1095" spans="1:41" ht="15.6">
      <c r="A1095">
        <v>24</v>
      </c>
      <c r="B1095" t="s">
        <v>1200</v>
      </c>
      <c r="C1095" t="s">
        <v>1115</v>
      </c>
      <c r="E1095" s="3">
        <f t="shared" si="310"/>
        <v>9.0909090909090917</v>
      </c>
      <c r="F1095">
        <v>2020</v>
      </c>
      <c r="G1095">
        <f t="shared" si="292"/>
        <v>5</v>
      </c>
      <c r="H1095">
        <f t="shared" si="311"/>
        <v>0.22596875</v>
      </c>
      <c r="J1095">
        <f t="shared" si="312"/>
        <v>33</v>
      </c>
      <c r="K1095">
        <f t="shared" si="313"/>
        <v>12</v>
      </c>
      <c r="L1095">
        <v>5</v>
      </c>
      <c r="M1095" s="12">
        <f t="shared" si="314"/>
        <v>0.27615171777343755</v>
      </c>
      <c r="N1095">
        <f t="shared" si="309"/>
        <v>9.1478051312445158E-2</v>
      </c>
      <c r="O1095">
        <f t="shared" si="315"/>
        <v>0.52550139654756156</v>
      </c>
      <c r="P1095" t="s">
        <v>1100</v>
      </c>
      <c r="Q1095" t="s">
        <v>1118</v>
      </c>
      <c r="R1095">
        <v>7.3280000000000003</v>
      </c>
      <c r="S1095">
        <f t="shared" si="316"/>
        <v>4.4509090909090929</v>
      </c>
      <c r="U1095">
        <v>146</v>
      </c>
      <c r="V1095" t="s">
        <v>138</v>
      </c>
      <c r="W1095">
        <f t="shared" si="317"/>
        <v>150.60606060606059</v>
      </c>
      <c r="Y1095">
        <v>2011</v>
      </c>
      <c r="Z1095">
        <f>2025-AVERAGE($Y$1077:$Y$1109)</f>
        <v>13.63636363636374</v>
      </c>
      <c r="AD1095" s="3">
        <v>1.55</v>
      </c>
      <c r="AE1095">
        <v>1</v>
      </c>
      <c r="AF1095" t="str">
        <f t="shared" si="319"/>
        <v>US</v>
      </c>
      <c r="AG1095">
        <v>4</v>
      </c>
      <c r="AI1095">
        <f t="shared" si="318"/>
        <v>3.5757575757575757</v>
      </c>
      <c r="AK1095" t="s">
        <v>112</v>
      </c>
      <c r="AL1095">
        <v>32</v>
      </c>
      <c r="AN1095" t="s">
        <v>750</v>
      </c>
      <c r="AO1095">
        <v>0.99</v>
      </c>
    </row>
    <row r="1096" spans="1:41" ht="15.6">
      <c r="A1096">
        <v>24</v>
      </c>
      <c r="B1096" t="s">
        <v>1200</v>
      </c>
      <c r="C1096" t="s">
        <v>1115</v>
      </c>
      <c r="E1096" s="3">
        <f t="shared" si="310"/>
        <v>9.0909090909090917</v>
      </c>
      <c r="F1096">
        <v>2020</v>
      </c>
      <c r="G1096">
        <f t="shared" si="292"/>
        <v>5</v>
      </c>
      <c r="H1096">
        <f t="shared" si="311"/>
        <v>0.22596875</v>
      </c>
      <c r="J1096">
        <f t="shared" si="312"/>
        <v>33</v>
      </c>
      <c r="K1096">
        <f t="shared" si="313"/>
        <v>12</v>
      </c>
      <c r="L1096">
        <v>5</v>
      </c>
      <c r="M1096" s="12">
        <f t="shared" si="314"/>
        <v>0.27615171777343755</v>
      </c>
      <c r="N1096">
        <f t="shared" si="309"/>
        <v>9.1478051312445158E-2</v>
      </c>
      <c r="O1096">
        <f t="shared" si="315"/>
        <v>0.52550139654756156</v>
      </c>
      <c r="P1096" t="s">
        <v>1101</v>
      </c>
      <c r="Q1096" t="s">
        <v>1121</v>
      </c>
      <c r="R1096">
        <v>0.872</v>
      </c>
      <c r="S1096">
        <f t="shared" si="316"/>
        <v>4.4509090909090929</v>
      </c>
      <c r="U1096">
        <v>60</v>
      </c>
      <c r="V1096" t="s">
        <v>138</v>
      </c>
      <c r="W1096">
        <f t="shared" si="317"/>
        <v>150.60606060606059</v>
      </c>
      <c r="Y1096">
        <v>2011</v>
      </c>
      <c r="Z1096">
        <f>2025-AVERAGE($Y$1077:$Y$1109)</f>
        <v>13.63636363636374</v>
      </c>
      <c r="AD1096" s="3">
        <v>0.24</v>
      </c>
      <c r="AE1096">
        <v>1</v>
      </c>
      <c r="AF1096" t="str">
        <f t="shared" si="319"/>
        <v>US</v>
      </c>
      <c r="AG1096">
        <v>4</v>
      </c>
      <c r="AI1096">
        <f t="shared" si="318"/>
        <v>3.5757575757575757</v>
      </c>
      <c r="AK1096" t="s">
        <v>112</v>
      </c>
      <c r="AL1096">
        <v>32</v>
      </c>
      <c r="AN1096" t="s">
        <v>750</v>
      </c>
      <c r="AO1096">
        <v>0.99</v>
      </c>
    </row>
    <row r="1097" spans="1:41" ht="15.6">
      <c r="A1097">
        <v>24</v>
      </c>
      <c r="B1097" t="s">
        <v>1200</v>
      </c>
      <c r="C1097" t="s">
        <v>1115</v>
      </c>
      <c r="E1097" s="3">
        <f t="shared" si="310"/>
        <v>9.0909090909090917</v>
      </c>
      <c r="F1097">
        <v>2020</v>
      </c>
      <c r="G1097">
        <f t="shared" si="292"/>
        <v>5</v>
      </c>
      <c r="H1097">
        <f t="shared" si="311"/>
        <v>0.22596875</v>
      </c>
      <c r="J1097">
        <f t="shared" si="312"/>
        <v>33</v>
      </c>
      <c r="K1097">
        <f t="shared" si="313"/>
        <v>12</v>
      </c>
      <c r="L1097">
        <v>5</v>
      </c>
      <c r="M1097" s="12">
        <f t="shared" si="314"/>
        <v>0.27615171777343755</v>
      </c>
      <c r="N1097">
        <f t="shared" si="309"/>
        <v>9.1478051312445158E-2</v>
      </c>
      <c r="O1097">
        <f t="shared" si="315"/>
        <v>0.52550139654756156</v>
      </c>
      <c r="P1097" t="s">
        <v>1102</v>
      </c>
      <c r="Q1097" t="s">
        <v>1120</v>
      </c>
      <c r="R1097">
        <v>1.6140000000000001</v>
      </c>
      <c r="S1097">
        <f t="shared" si="316"/>
        <v>4.4509090909090929</v>
      </c>
      <c r="U1097">
        <v>42</v>
      </c>
      <c r="V1097" t="s">
        <v>138</v>
      </c>
      <c r="W1097">
        <f t="shared" si="317"/>
        <v>150.60606060606059</v>
      </c>
      <c r="Y1097">
        <v>2011</v>
      </c>
      <c r="Z1097">
        <f>2025-AVERAGE($Y$1077:$Y$1109)</f>
        <v>13.63636363636374</v>
      </c>
      <c r="AD1097" s="3">
        <v>0.12</v>
      </c>
      <c r="AE1097">
        <v>1</v>
      </c>
      <c r="AF1097" t="str">
        <f t="shared" si="319"/>
        <v>US</v>
      </c>
      <c r="AG1097">
        <v>8</v>
      </c>
      <c r="AI1097">
        <f t="shared" si="318"/>
        <v>3.5757575757575757</v>
      </c>
      <c r="AK1097" t="s">
        <v>112</v>
      </c>
      <c r="AL1097">
        <v>32</v>
      </c>
      <c r="AN1097" t="s">
        <v>750</v>
      </c>
      <c r="AO1097">
        <v>0.99</v>
      </c>
    </row>
    <row r="1098" spans="1:41" ht="15.6">
      <c r="A1098">
        <v>24</v>
      </c>
      <c r="B1098" t="s">
        <v>1200</v>
      </c>
      <c r="C1098" t="s">
        <v>1115</v>
      </c>
      <c r="E1098" s="3">
        <f t="shared" si="310"/>
        <v>9.0909090909090917</v>
      </c>
      <c r="F1098">
        <v>2020</v>
      </c>
      <c r="G1098">
        <f t="shared" si="292"/>
        <v>5</v>
      </c>
      <c r="H1098">
        <f t="shared" si="311"/>
        <v>0.22596875</v>
      </c>
      <c r="J1098">
        <f t="shared" si="312"/>
        <v>33</v>
      </c>
      <c r="K1098">
        <f t="shared" si="313"/>
        <v>12</v>
      </c>
      <c r="L1098">
        <v>5</v>
      </c>
      <c r="M1098" s="12">
        <f t="shared" si="314"/>
        <v>0.27615171777343755</v>
      </c>
      <c r="N1098">
        <f t="shared" si="309"/>
        <v>9.1478051312445158E-2</v>
      </c>
      <c r="O1098">
        <f t="shared" si="315"/>
        <v>0.52550139654756156</v>
      </c>
      <c r="P1098" t="s">
        <v>1103</v>
      </c>
      <c r="Q1098" t="s">
        <v>1118</v>
      </c>
      <c r="R1098">
        <v>7.3280000000000003</v>
      </c>
      <c r="S1098">
        <f t="shared" si="316"/>
        <v>4.4509090909090929</v>
      </c>
      <c r="U1098">
        <v>276</v>
      </c>
      <c r="V1098" t="s">
        <v>138</v>
      </c>
      <c r="W1098">
        <f t="shared" si="317"/>
        <v>150.60606060606059</v>
      </c>
      <c r="Y1098">
        <v>2011</v>
      </c>
      <c r="Z1098">
        <f>2025-AVERAGE($Y$1077:$Y$1109)</f>
        <v>13.63636363636374</v>
      </c>
      <c r="AD1098" s="3">
        <v>0.27</v>
      </c>
      <c r="AE1098">
        <v>1</v>
      </c>
      <c r="AF1098" t="str">
        <f t="shared" si="319"/>
        <v>US</v>
      </c>
      <c r="AG1098">
        <v>2</v>
      </c>
      <c r="AI1098">
        <f t="shared" si="318"/>
        <v>3.5757575757575757</v>
      </c>
      <c r="AK1098" t="s">
        <v>112</v>
      </c>
      <c r="AL1098">
        <v>32</v>
      </c>
      <c r="AN1098" t="s">
        <v>750</v>
      </c>
      <c r="AO1098">
        <v>0.99</v>
      </c>
    </row>
    <row r="1099" spans="1:41" ht="15.6">
      <c r="A1099">
        <v>24</v>
      </c>
      <c r="B1099" t="s">
        <v>1200</v>
      </c>
      <c r="C1099" t="s">
        <v>1115</v>
      </c>
      <c r="E1099" s="3">
        <f t="shared" si="310"/>
        <v>9.0909090909090917</v>
      </c>
      <c r="F1099">
        <v>2020</v>
      </c>
      <c r="G1099">
        <f t="shared" si="292"/>
        <v>5</v>
      </c>
      <c r="H1099">
        <f t="shared" si="311"/>
        <v>0.22596875</v>
      </c>
      <c r="J1099">
        <f t="shared" si="312"/>
        <v>33</v>
      </c>
      <c r="K1099">
        <f t="shared" si="313"/>
        <v>12</v>
      </c>
      <c r="L1099">
        <v>5</v>
      </c>
      <c r="M1099" s="12">
        <f t="shared" si="314"/>
        <v>0.27615171777343755</v>
      </c>
      <c r="N1099">
        <f t="shared" si="309"/>
        <v>9.1478051312445158E-2</v>
      </c>
      <c r="O1099">
        <f t="shared" si="315"/>
        <v>0.52550139654756156</v>
      </c>
      <c r="P1099" t="s">
        <v>1104</v>
      </c>
      <c r="Q1099" t="s">
        <v>1123</v>
      </c>
      <c r="R1099">
        <v>2.194</v>
      </c>
      <c r="S1099">
        <f t="shared" si="316"/>
        <v>4.4509090909090929</v>
      </c>
      <c r="U1099">
        <v>96</v>
      </c>
      <c r="V1099" t="s">
        <v>138</v>
      </c>
      <c r="W1099">
        <f t="shared" si="317"/>
        <v>150.60606060606059</v>
      </c>
      <c r="Y1099">
        <v>2012</v>
      </c>
      <c r="Z1099">
        <f>2025-AVERAGE($Y$1077:$Y$1109)</f>
        <v>13.63636363636374</v>
      </c>
      <c r="AD1099" s="3">
        <v>0.87</v>
      </c>
      <c r="AE1099">
        <v>1</v>
      </c>
      <c r="AF1099" t="str">
        <f t="shared" si="319"/>
        <v>US</v>
      </c>
      <c r="AG1099">
        <v>6</v>
      </c>
      <c r="AI1099">
        <f t="shared" si="318"/>
        <v>3.5757575757575757</v>
      </c>
      <c r="AK1099" t="s">
        <v>112</v>
      </c>
      <c r="AL1099">
        <v>32</v>
      </c>
      <c r="AN1099" t="s">
        <v>750</v>
      </c>
      <c r="AO1099">
        <v>0.99</v>
      </c>
    </row>
    <row r="1100" spans="1:41" ht="15.6">
      <c r="A1100">
        <v>24</v>
      </c>
      <c r="B1100" t="s">
        <v>1200</v>
      </c>
      <c r="C1100" t="s">
        <v>1115</v>
      </c>
      <c r="E1100" s="3">
        <f t="shared" si="310"/>
        <v>9.0909090909090917</v>
      </c>
      <c r="F1100">
        <v>2020</v>
      </c>
      <c r="G1100">
        <f t="shared" si="292"/>
        <v>5</v>
      </c>
      <c r="H1100">
        <f t="shared" si="311"/>
        <v>0.22596875</v>
      </c>
      <c r="J1100">
        <f t="shared" si="312"/>
        <v>33</v>
      </c>
      <c r="K1100">
        <f t="shared" si="313"/>
        <v>12</v>
      </c>
      <c r="L1100">
        <v>5</v>
      </c>
      <c r="M1100" s="12">
        <f t="shared" si="314"/>
        <v>0.27615171777343755</v>
      </c>
      <c r="N1100">
        <f t="shared" si="309"/>
        <v>9.1478051312445158E-2</v>
      </c>
      <c r="O1100">
        <f t="shared" si="315"/>
        <v>0.52550139654756156</v>
      </c>
      <c r="P1100" t="s">
        <v>1105</v>
      </c>
      <c r="Q1100" t="s">
        <v>1119</v>
      </c>
      <c r="R1100">
        <v>1.825</v>
      </c>
      <c r="S1100">
        <f t="shared" si="316"/>
        <v>4.4509090909090929</v>
      </c>
      <c r="U1100">
        <v>51</v>
      </c>
      <c r="V1100" t="s">
        <v>138</v>
      </c>
      <c r="W1100">
        <f t="shared" si="317"/>
        <v>150.60606060606059</v>
      </c>
      <c r="Y1100">
        <v>2012</v>
      </c>
      <c r="Z1100">
        <f>2025-AVERAGE($Y$1077:$Y$1109)</f>
        <v>13.63636363636374</v>
      </c>
      <c r="AD1100" s="3">
        <v>-1E-3</v>
      </c>
      <c r="AE1100">
        <v>1</v>
      </c>
      <c r="AF1100" t="str">
        <f t="shared" si="319"/>
        <v>US</v>
      </c>
      <c r="AG1100">
        <v>5</v>
      </c>
      <c r="AI1100">
        <f t="shared" si="318"/>
        <v>3.5757575757575757</v>
      </c>
      <c r="AK1100" t="s">
        <v>112</v>
      </c>
      <c r="AL1100">
        <v>32</v>
      </c>
      <c r="AN1100" t="s">
        <v>750</v>
      </c>
      <c r="AO1100">
        <v>0.99</v>
      </c>
    </row>
    <row r="1101" spans="1:41" ht="15.6">
      <c r="A1101">
        <v>24</v>
      </c>
      <c r="B1101" t="s">
        <v>1200</v>
      </c>
      <c r="C1101" t="s">
        <v>1115</v>
      </c>
      <c r="E1101" s="3">
        <f t="shared" si="310"/>
        <v>9.0909090909090917</v>
      </c>
      <c r="F1101">
        <v>2020</v>
      </c>
      <c r="G1101">
        <f t="shared" si="292"/>
        <v>5</v>
      </c>
      <c r="H1101">
        <f t="shared" si="311"/>
        <v>0.22596875</v>
      </c>
      <c r="J1101">
        <f t="shared" si="312"/>
        <v>33</v>
      </c>
      <c r="K1101">
        <f t="shared" si="313"/>
        <v>12</v>
      </c>
      <c r="L1101">
        <v>5</v>
      </c>
      <c r="M1101" s="12">
        <f t="shared" si="314"/>
        <v>0.27615171777343755</v>
      </c>
      <c r="N1101">
        <f t="shared" si="309"/>
        <v>9.1478051312445158E-2</v>
      </c>
      <c r="O1101">
        <f t="shared" si="315"/>
        <v>0.52550139654756156</v>
      </c>
      <c r="P1101" t="s">
        <v>1106</v>
      </c>
      <c r="Q1101" t="s">
        <v>1124</v>
      </c>
      <c r="R1101">
        <v>3.403</v>
      </c>
      <c r="S1101">
        <f t="shared" si="316"/>
        <v>4.4509090909090929</v>
      </c>
      <c r="U1101">
        <v>103</v>
      </c>
      <c r="V1101" t="s">
        <v>138</v>
      </c>
      <c r="W1101">
        <f t="shared" si="317"/>
        <v>150.60606060606059</v>
      </c>
      <c r="Y1101">
        <v>2012</v>
      </c>
      <c r="Z1101">
        <f>2025-AVERAGE($Y$1077:$Y$1109)</f>
        <v>13.63636363636374</v>
      </c>
      <c r="AD1101" s="3">
        <v>0.37</v>
      </c>
      <c r="AE1101">
        <v>1</v>
      </c>
      <c r="AF1101" t="str">
        <f t="shared" si="319"/>
        <v>US</v>
      </c>
      <c r="AG1101">
        <v>3</v>
      </c>
      <c r="AI1101">
        <f t="shared" si="318"/>
        <v>3.5757575757575757</v>
      </c>
      <c r="AK1101" t="s">
        <v>112</v>
      </c>
      <c r="AL1101">
        <v>32</v>
      </c>
      <c r="AN1101" t="s">
        <v>750</v>
      </c>
      <c r="AO1101">
        <v>0.99</v>
      </c>
    </row>
    <row r="1102" spans="1:41" ht="15.6">
      <c r="A1102">
        <v>24</v>
      </c>
      <c r="B1102" t="s">
        <v>1200</v>
      </c>
      <c r="C1102" t="s">
        <v>1115</v>
      </c>
      <c r="E1102" s="3">
        <f t="shared" si="310"/>
        <v>9.0909090909090917</v>
      </c>
      <c r="F1102">
        <v>2020</v>
      </c>
      <c r="G1102">
        <f t="shared" si="292"/>
        <v>5</v>
      </c>
      <c r="H1102">
        <f t="shared" si="311"/>
        <v>0.22596875</v>
      </c>
      <c r="J1102">
        <f t="shared" si="312"/>
        <v>33</v>
      </c>
      <c r="K1102">
        <f t="shared" si="313"/>
        <v>12</v>
      </c>
      <c r="L1102">
        <v>5</v>
      </c>
      <c r="M1102" s="12">
        <f t="shared" si="314"/>
        <v>0.27615171777343755</v>
      </c>
      <c r="N1102">
        <f t="shared" si="309"/>
        <v>9.1478051312445158E-2</v>
      </c>
      <c r="O1102">
        <f t="shared" si="315"/>
        <v>0.52550139654756156</v>
      </c>
      <c r="P1102" t="s">
        <v>1107</v>
      </c>
      <c r="Q1102" t="s">
        <v>1119</v>
      </c>
      <c r="R1102">
        <v>1.6619999999999999</v>
      </c>
      <c r="S1102">
        <f t="shared" si="316"/>
        <v>4.4509090909090929</v>
      </c>
      <c r="U1102">
        <v>266</v>
      </c>
      <c r="V1102" t="s">
        <v>138</v>
      </c>
      <c r="W1102">
        <f t="shared" si="317"/>
        <v>150.60606060606059</v>
      </c>
      <c r="Y1102">
        <v>2011</v>
      </c>
      <c r="Z1102">
        <f>2025-AVERAGE($Y$1077:$Y$1109)</f>
        <v>13.63636363636374</v>
      </c>
      <c r="AD1102" s="3">
        <v>0.17299999999999999</v>
      </c>
      <c r="AE1102">
        <v>1</v>
      </c>
      <c r="AF1102" t="str">
        <f t="shared" si="319"/>
        <v>US</v>
      </c>
      <c r="AG1102">
        <v>2</v>
      </c>
      <c r="AI1102">
        <f t="shared" si="318"/>
        <v>3.5757575757575757</v>
      </c>
      <c r="AK1102" t="s">
        <v>112</v>
      </c>
      <c r="AL1102">
        <v>32</v>
      </c>
      <c r="AN1102" t="s">
        <v>750</v>
      </c>
      <c r="AO1102">
        <v>0.99</v>
      </c>
    </row>
    <row r="1103" spans="1:41" ht="15.6">
      <c r="A1103">
        <v>24</v>
      </c>
      <c r="B1103" t="s">
        <v>1200</v>
      </c>
      <c r="C1103" t="s">
        <v>1115</v>
      </c>
      <c r="E1103" s="3">
        <f t="shared" si="310"/>
        <v>9.0909090909090917</v>
      </c>
      <c r="F1103">
        <v>2020</v>
      </c>
      <c r="G1103">
        <f t="shared" si="292"/>
        <v>5</v>
      </c>
      <c r="H1103">
        <f t="shared" si="311"/>
        <v>0.22596875</v>
      </c>
      <c r="J1103">
        <f t="shared" si="312"/>
        <v>33</v>
      </c>
      <c r="K1103">
        <f t="shared" si="313"/>
        <v>12</v>
      </c>
      <c r="L1103">
        <v>5</v>
      </c>
      <c r="M1103" s="12">
        <f t="shared" si="314"/>
        <v>0.27615171777343755</v>
      </c>
      <c r="N1103">
        <f t="shared" si="309"/>
        <v>9.1478051312445158E-2</v>
      </c>
      <c r="O1103">
        <f t="shared" si="315"/>
        <v>0.52550139654756156</v>
      </c>
      <c r="P1103" t="s">
        <v>1108</v>
      </c>
      <c r="Q1103" t="s">
        <v>1125</v>
      </c>
      <c r="R1103">
        <v>2.8090000000000002</v>
      </c>
      <c r="S1103">
        <f t="shared" si="316"/>
        <v>4.4509090909090929</v>
      </c>
      <c r="U1103">
        <v>73</v>
      </c>
      <c r="V1103" t="s">
        <v>138</v>
      </c>
      <c r="W1103">
        <f t="shared" si="317"/>
        <v>150.60606060606059</v>
      </c>
      <c r="Y1103">
        <v>2011</v>
      </c>
      <c r="Z1103">
        <f>2025-AVERAGE($Y$1077:$Y$1109)</f>
        <v>13.63636363636374</v>
      </c>
      <c r="AD1103" s="3">
        <v>0.66</v>
      </c>
      <c r="AE1103">
        <v>1</v>
      </c>
      <c r="AF1103" t="str">
        <f t="shared" si="319"/>
        <v>US</v>
      </c>
      <c r="AG1103">
        <v>1</v>
      </c>
      <c r="AI1103">
        <f t="shared" si="318"/>
        <v>3.5757575757575757</v>
      </c>
      <c r="AK1103" t="s">
        <v>112</v>
      </c>
      <c r="AL1103">
        <v>32</v>
      </c>
      <c r="AN1103" t="s">
        <v>750</v>
      </c>
      <c r="AO1103">
        <v>0.99</v>
      </c>
    </row>
    <row r="1104" spans="1:41" ht="15.6">
      <c r="A1104">
        <v>24</v>
      </c>
      <c r="B1104" t="s">
        <v>1200</v>
      </c>
      <c r="C1104" t="s">
        <v>1115</v>
      </c>
      <c r="E1104" s="3">
        <f t="shared" si="310"/>
        <v>9.0909090909090917</v>
      </c>
      <c r="F1104">
        <v>2020</v>
      </c>
      <c r="G1104">
        <f t="shared" si="292"/>
        <v>5</v>
      </c>
      <c r="H1104">
        <f t="shared" si="311"/>
        <v>0.22596875</v>
      </c>
      <c r="J1104">
        <f t="shared" si="312"/>
        <v>33</v>
      </c>
      <c r="K1104">
        <f t="shared" si="313"/>
        <v>12</v>
      </c>
      <c r="L1104">
        <v>5</v>
      </c>
      <c r="M1104" s="12">
        <f t="shared" si="314"/>
        <v>0.27615171777343755</v>
      </c>
      <c r="N1104">
        <f t="shared" si="309"/>
        <v>9.1478051312445158E-2</v>
      </c>
      <c r="O1104">
        <f t="shared" si="315"/>
        <v>0.52550139654756156</v>
      </c>
      <c r="P1104" t="s">
        <v>1109</v>
      </c>
      <c r="Q1104" t="s">
        <v>1118</v>
      </c>
      <c r="R1104">
        <v>8.7859999999999996</v>
      </c>
      <c r="S1104">
        <f t="shared" si="316"/>
        <v>4.4509090909090929</v>
      </c>
      <c r="U1104">
        <v>265</v>
      </c>
      <c r="V1104" t="s">
        <v>138</v>
      </c>
      <c r="W1104">
        <f t="shared" si="317"/>
        <v>150.60606060606059</v>
      </c>
      <c r="Y1104">
        <v>2012</v>
      </c>
      <c r="Z1104">
        <f>2025-AVERAGE($Y$1077:$Y$1109)</f>
        <v>13.63636363636374</v>
      </c>
      <c r="AD1104" s="3">
        <v>0.09</v>
      </c>
      <c r="AE1104">
        <v>1</v>
      </c>
      <c r="AF1104" t="str">
        <f t="shared" si="319"/>
        <v>US</v>
      </c>
      <c r="AG1104">
        <v>4</v>
      </c>
      <c r="AI1104">
        <f t="shared" si="318"/>
        <v>3.5757575757575757</v>
      </c>
      <c r="AK1104" t="s">
        <v>112</v>
      </c>
      <c r="AL1104">
        <v>32</v>
      </c>
      <c r="AN1104" t="s">
        <v>750</v>
      </c>
      <c r="AO1104">
        <v>0.99</v>
      </c>
    </row>
    <row r="1105" spans="1:41" ht="15.6">
      <c r="A1105">
        <v>24</v>
      </c>
      <c r="B1105" t="s">
        <v>1200</v>
      </c>
      <c r="C1105" t="s">
        <v>1115</v>
      </c>
      <c r="E1105" s="3">
        <f t="shared" si="310"/>
        <v>9.0909090909090917</v>
      </c>
      <c r="F1105">
        <v>2020</v>
      </c>
      <c r="G1105">
        <f t="shared" si="292"/>
        <v>5</v>
      </c>
      <c r="H1105">
        <f t="shared" si="311"/>
        <v>0.22596875</v>
      </c>
      <c r="J1105">
        <f t="shared" si="312"/>
        <v>33</v>
      </c>
      <c r="K1105">
        <f t="shared" si="313"/>
        <v>12</v>
      </c>
      <c r="L1105">
        <v>5</v>
      </c>
      <c r="M1105" s="12">
        <f t="shared" si="314"/>
        <v>0.27615171777343755</v>
      </c>
      <c r="N1105">
        <f t="shared" si="309"/>
        <v>9.1478051312445158E-2</v>
      </c>
      <c r="O1105">
        <f t="shared" si="315"/>
        <v>0.52550139654756156</v>
      </c>
      <c r="P1105" t="s">
        <v>1110</v>
      </c>
      <c r="Q1105" t="s">
        <v>536</v>
      </c>
      <c r="R1105">
        <v>6.86</v>
      </c>
      <c r="S1105">
        <f t="shared" si="316"/>
        <v>4.4509090909090929</v>
      </c>
      <c r="U1105">
        <v>187</v>
      </c>
      <c r="V1105" t="s">
        <v>138</v>
      </c>
      <c r="W1105">
        <f t="shared" si="317"/>
        <v>150.60606060606059</v>
      </c>
      <c r="Y1105">
        <v>2012</v>
      </c>
      <c r="Z1105">
        <f>2025-AVERAGE($Y$1077:$Y$1109)</f>
        <v>13.63636363636374</v>
      </c>
      <c r="AD1105" s="3">
        <v>0.23</v>
      </c>
      <c r="AE1105">
        <v>1</v>
      </c>
      <c r="AF1105" t="str">
        <f t="shared" si="319"/>
        <v>US</v>
      </c>
      <c r="AG1105">
        <v>4</v>
      </c>
      <c r="AI1105">
        <f t="shared" si="318"/>
        <v>3.5757575757575757</v>
      </c>
      <c r="AK1105" t="s">
        <v>112</v>
      </c>
      <c r="AL1105">
        <v>32</v>
      </c>
      <c r="AN1105" t="s">
        <v>750</v>
      </c>
      <c r="AO1105">
        <v>0.99</v>
      </c>
    </row>
    <row r="1106" spans="1:41" ht="15.6">
      <c r="A1106">
        <v>24</v>
      </c>
      <c r="B1106" t="s">
        <v>1200</v>
      </c>
      <c r="C1106" t="s">
        <v>1115</v>
      </c>
      <c r="E1106" s="3">
        <f t="shared" si="310"/>
        <v>9.0909090909090917</v>
      </c>
      <c r="F1106">
        <v>2020</v>
      </c>
      <c r="G1106">
        <f t="shared" ref="G1106:G1169" si="320">2025-F1106</f>
        <v>5</v>
      </c>
      <c r="H1106">
        <f t="shared" si="311"/>
        <v>0.22596875</v>
      </c>
      <c r="J1106">
        <f t="shared" si="312"/>
        <v>33</v>
      </c>
      <c r="K1106">
        <f t="shared" si="313"/>
        <v>12</v>
      </c>
      <c r="L1106">
        <v>5</v>
      </c>
      <c r="M1106" s="12">
        <f t="shared" si="314"/>
        <v>0.27615171777343755</v>
      </c>
      <c r="N1106">
        <f t="shared" si="309"/>
        <v>9.1478051312445158E-2</v>
      </c>
      <c r="O1106">
        <f t="shared" si="315"/>
        <v>0.52550139654756156</v>
      </c>
      <c r="P1106" t="s">
        <v>1111</v>
      </c>
      <c r="Q1106" t="s">
        <v>1118</v>
      </c>
      <c r="R1106">
        <v>8.7859999999999996</v>
      </c>
      <c r="S1106">
        <f t="shared" si="316"/>
        <v>4.4509090909090929</v>
      </c>
      <c r="U1106">
        <v>340</v>
      </c>
      <c r="V1106" t="s">
        <v>138</v>
      </c>
      <c r="W1106">
        <f t="shared" si="317"/>
        <v>150.60606060606059</v>
      </c>
      <c r="Y1106">
        <v>2012</v>
      </c>
      <c r="Z1106">
        <f>2025-AVERAGE($Y$1077:$Y$1109)</f>
        <v>13.63636363636374</v>
      </c>
      <c r="AD1106" s="3">
        <v>0.61</v>
      </c>
      <c r="AE1106">
        <v>1</v>
      </c>
      <c r="AF1106" t="str">
        <f t="shared" si="319"/>
        <v>US</v>
      </c>
      <c r="AG1106">
        <v>3</v>
      </c>
      <c r="AI1106">
        <f t="shared" si="318"/>
        <v>3.5757575757575757</v>
      </c>
      <c r="AK1106" t="s">
        <v>112</v>
      </c>
      <c r="AL1106">
        <v>32</v>
      </c>
      <c r="AN1106" t="s">
        <v>750</v>
      </c>
      <c r="AO1106">
        <v>0.99</v>
      </c>
    </row>
    <row r="1107" spans="1:41" ht="15.6">
      <c r="A1107">
        <v>24</v>
      </c>
      <c r="B1107" t="s">
        <v>1200</v>
      </c>
      <c r="C1107" t="s">
        <v>1115</v>
      </c>
      <c r="E1107" s="3">
        <f t="shared" si="310"/>
        <v>9.0909090909090917</v>
      </c>
      <c r="F1107">
        <v>2020</v>
      </c>
      <c r="G1107">
        <f t="shared" si="320"/>
        <v>5</v>
      </c>
      <c r="H1107">
        <f t="shared" si="311"/>
        <v>0.22596875</v>
      </c>
      <c r="J1107">
        <f t="shared" si="312"/>
        <v>33</v>
      </c>
      <c r="K1107">
        <f t="shared" si="313"/>
        <v>12</v>
      </c>
      <c r="L1107">
        <v>5</v>
      </c>
      <c r="M1107" s="12">
        <f t="shared" si="314"/>
        <v>0.27615171777343755</v>
      </c>
      <c r="N1107">
        <f t="shared" si="309"/>
        <v>9.1478051312445158E-2</v>
      </c>
      <c r="O1107">
        <f t="shared" si="315"/>
        <v>0.52550139654756156</v>
      </c>
      <c r="P1107" t="s">
        <v>1112</v>
      </c>
      <c r="Q1107" t="s">
        <v>1120</v>
      </c>
      <c r="R1107">
        <v>1.6140000000000001</v>
      </c>
      <c r="S1107">
        <f t="shared" si="316"/>
        <v>4.4509090909090929</v>
      </c>
      <c r="U1107">
        <v>36</v>
      </c>
      <c r="V1107" t="s">
        <v>138</v>
      </c>
      <c r="W1107">
        <f t="shared" si="317"/>
        <v>150.60606060606059</v>
      </c>
      <c r="Y1107">
        <v>2011</v>
      </c>
      <c r="Z1107">
        <f>2025-AVERAGE($Y$1077:$Y$1109)</f>
        <v>13.63636363636374</v>
      </c>
      <c r="AE1107">
        <v>1</v>
      </c>
      <c r="AF1107" t="str">
        <f t="shared" si="319"/>
        <v>US</v>
      </c>
      <c r="AG1107">
        <v>1</v>
      </c>
      <c r="AI1107">
        <f t="shared" si="318"/>
        <v>3.5757575757575757</v>
      </c>
      <c r="AK1107" t="s">
        <v>112</v>
      </c>
      <c r="AL1107">
        <v>32</v>
      </c>
      <c r="AN1107" t="s">
        <v>750</v>
      </c>
      <c r="AO1107">
        <v>0.99</v>
      </c>
    </row>
    <row r="1108" spans="1:41" ht="15.6">
      <c r="A1108">
        <v>24</v>
      </c>
      <c r="B1108" t="s">
        <v>1200</v>
      </c>
      <c r="C1108" t="s">
        <v>1115</v>
      </c>
      <c r="E1108" s="3">
        <f t="shared" si="310"/>
        <v>9.0909090909090917</v>
      </c>
      <c r="F1108">
        <v>2020</v>
      </c>
      <c r="G1108">
        <f t="shared" si="320"/>
        <v>5</v>
      </c>
      <c r="H1108">
        <f t="shared" si="311"/>
        <v>0.22596875</v>
      </c>
      <c r="J1108">
        <f t="shared" si="312"/>
        <v>33</v>
      </c>
      <c r="K1108">
        <f t="shared" si="313"/>
        <v>12</v>
      </c>
      <c r="L1108">
        <v>5</v>
      </c>
      <c r="M1108" s="12">
        <f t="shared" si="314"/>
        <v>0.27615171777343755</v>
      </c>
      <c r="N1108">
        <f t="shared" si="309"/>
        <v>9.1478051312445158E-2</v>
      </c>
      <c r="O1108">
        <f t="shared" si="315"/>
        <v>0.52550139654756156</v>
      </c>
      <c r="P1108" t="s">
        <v>1113</v>
      </c>
      <c r="Q1108" t="s">
        <v>1126</v>
      </c>
      <c r="R1108">
        <v>0.88</v>
      </c>
      <c r="S1108">
        <f t="shared" si="316"/>
        <v>4.4509090909090929</v>
      </c>
      <c r="U1108">
        <v>233</v>
      </c>
      <c r="V1108" t="s">
        <v>138</v>
      </c>
      <c r="W1108">
        <f t="shared" si="317"/>
        <v>150.60606060606059</v>
      </c>
      <c r="Y1108">
        <v>2011</v>
      </c>
      <c r="Z1108">
        <f>2025-AVERAGE($Y$1077:$Y$1109)</f>
        <v>13.63636363636374</v>
      </c>
      <c r="AD1108" s="3">
        <v>2.3E-2</v>
      </c>
      <c r="AE1108">
        <v>1</v>
      </c>
      <c r="AF1108" t="str">
        <f t="shared" si="319"/>
        <v>US</v>
      </c>
      <c r="AG1108">
        <v>1</v>
      </c>
      <c r="AI1108">
        <f t="shared" si="318"/>
        <v>3.5757575757575757</v>
      </c>
      <c r="AK1108" t="s">
        <v>112</v>
      </c>
      <c r="AL1108">
        <v>32</v>
      </c>
      <c r="AN1108" t="s">
        <v>750</v>
      </c>
      <c r="AO1108">
        <v>0.99</v>
      </c>
    </row>
    <row r="1109" spans="1:41" s="3" customFormat="1" ht="15.6">
      <c r="A1109">
        <v>24</v>
      </c>
      <c r="B1109" t="s">
        <v>1200</v>
      </c>
      <c r="C1109" s="3" t="s">
        <v>1115</v>
      </c>
      <c r="E1109" s="3">
        <f t="shared" si="310"/>
        <v>9.0909090909090917</v>
      </c>
      <c r="F1109">
        <v>2020</v>
      </c>
      <c r="G1109">
        <f t="shared" si="320"/>
        <v>5</v>
      </c>
      <c r="H1109" s="3">
        <f t="shared" si="311"/>
        <v>0.22596875</v>
      </c>
      <c r="J1109" s="3">
        <f t="shared" si="312"/>
        <v>33</v>
      </c>
      <c r="K1109" s="3">
        <f t="shared" si="313"/>
        <v>12</v>
      </c>
      <c r="L1109" s="3">
        <v>5</v>
      </c>
      <c r="M1109" s="12">
        <f t="shared" si="314"/>
        <v>0.27615171777343755</v>
      </c>
      <c r="N1109" s="3">
        <f t="shared" si="309"/>
        <v>9.1478051312445158E-2</v>
      </c>
      <c r="O1109" s="3">
        <f t="shared" si="315"/>
        <v>0.52550139654756156</v>
      </c>
      <c r="P1109" s="3" t="s">
        <v>1114</v>
      </c>
      <c r="Q1109" s="3" t="s">
        <v>1119</v>
      </c>
      <c r="R1109" s="3">
        <v>1.6619999999999999</v>
      </c>
      <c r="S1109" s="3">
        <f t="shared" si="316"/>
        <v>4.4509090909090929</v>
      </c>
      <c r="U1109" s="3">
        <v>108</v>
      </c>
      <c r="V1109" s="3" t="s">
        <v>138</v>
      </c>
      <c r="W1109" s="3">
        <f t="shared" si="317"/>
        <v>150.60606060606059</v>
      </c>
      <c r="Y1109" s="3">
        <v>2011</v>
      </c>
      <c r="Z1109" s="3">
        <f>2025-AVERAGE($Y$1077:$Y$1109)</f>
        <v>13.63636363636374</v>
      </c>
      <c r="AD1109" s="3">
        <v>-7.0000000000000007E-2</v>
      </c>
      <c r="AE1109" s="3">
        <v>1</v>
      </c>
      <c r="AF1109" t="str">
        <f t="shared" si="319"/>
        <v>US</v>
      </c>
      <c r="AG1109" s="3">
        <v>3</v>
      </c>
      <c r="AI1109">
        <f t="shared" si="318"/>
        <v>3.5757575757575757</v>
      </c>
      <c r="AK1109" s="3" t="s">
        <v>112</v>
      </c>
      <c r="AL1109" s="3">
        <v>32</v>
      </c>
      <c r="AN1109" s="3" t="s">
        <v>750</v>
      </c>
      <c r="AO1109" s="3">
        <v>0.99</v>
      </c>
    </row>
    <row r="1110" spans="1:41" ht="15.6">
      <c r="A1110">
        <v>25</v>
      </c>
      <c r="B1110" t="s">
        <v>1201</v>
      </c>
      <c r="C1110" t="s">
        <v>1137</v>
      </c>
      <c r="D1110" s="3">
        <f>100*(3/10)</f>
        <v>30</v>
      </c>
      <c r="F1110">
        <v>2016</v>
      </c>
      <c r="G1110">
        <f t="shared" si="320"/>
        <v>9</v>
      </c>
      <c r="H1110">
        <f t="shared" ref="H1110:H1119" si="321">AVERAGE($AD$1110:$AD$1119)</f>
        <v>0.12901009999999999</v>
      </c>
      <c r="J1110">
        <v>10</v>
      </c>
      <c r="K1110">
        <f t="shared" si="313"/>
        <v>12</v>
      </c>
      <c r="L1110">
        <v>6</v>
      </c>
      <c r="M1110" s="12">
        <f>_xlfn.VAR.P($AD$1110:$AD$1119)</f>
        <v>6.7366395098090004E-2</v>
      </c>
      <c r="N1110">
        <f t="shared" ref="N1110:N1119" si="322">$O$1110/SQRT($J$1110)</f>
        <v>8.2077033997391746E-2</v>
      </c>
      <c r="O1110">
        <f t="shared" ref="O1110:O1119" si="323">_xlfn.STDEV.P($AD$1110:$AD$1119)</f>
        <v>0.25955037102283252</v>
      </c>
      <c r="P1110" t="s">
        <v>1127</v>
      </c>
      <c r="Q1110" t="s">
        <v>527</v>
      </c>
      <c r="R1110">
        <v>3.419</v>
      </c>
      <c r="S1110">
        <f>AVERAGE($R$1110:$R$1119)</f>
        <v>3.0135000000000001</v>
      </c>
      <c r="U1110">
        <v>39</v>
      </c>
      <c r="V1110" t="s">
        <v>138</v>
      </c>
      <c r="W1110">
        <f>AVERAGE($U$1110:$U$1119)</f>
        <v>38.9</v>
      </c>
      <c r="Y1110">
        <v>2006</v>
      </c>
      <c r="Z1110">
        <f>2025-AVERAGE($Y$1110:$Y$1119)</f>
        <v>25.599999999999909</v>
      </c>
      <c r="AC1110">
        <v>0.77</v>
      </c>
      <c r="AD1110" s="3">
        <v>0.03</v>
      </c>
      <c r="AE1110">
        <v>1</v>
      </c>
      <c r="AF1110" t="str">
        <f t="shared" ref="AF1110:AF1124" si="324">IF(AE1110=1,"US","Non-US")</f>
        <v>US</v>
      </c>
      <c r="AG1110">
        <v>4</v>
      </c>
      <c r="AI1110">
        <f>AVERAGE($AG$1110:$AG$1119)</f>
        <v>2.7</v>
      </c>
      <c r="AK1110" t="s">
        <v>112</v>
      </c>
      <c r="AL1110">
        <v>47</v>
      </c>
      <c r="AN1110" t="s">
        <v>521</v>
      </c>
      <c r="AO1110">
        <v>2.089</v>
      </c>
    </row>
    <row r="1111" spans="1:41" ht="15.6">
      <c r="A1111">
        <v>25</v>
      </c>
      <c r="B1111" t="s">
        <v>1201</v>
      </c>
      <c r="C1111" t="s">
        <v>1137</v>
      </c>
      <c r="D1111" s="3">
        <f t="shared" ref="D1111:D1119" si="325">100*(3/10)</f>
        <v>30</v>
      </c>
      <c r="F1111">
        <v>2016</v>
      </c>
      <c r="G1111">
        <f t="shared" si="320"/>
        <v>9</v>
      </c>
      <c r="H1111">
        <f t="shared" si="321"/>
        <v>0.12901009999999999</v>
      </c>
      <c r="J1111">
        <v>10</v>
      </c>
      <c r="K1111">
        <f t="shared" si="313"/>
        <v>12</v>
      </c>
      <c r="L1111">
        <v>6</v>
      </c>
      <c r="M1111" s="12">
        <f t="shared" ref="M1111:M1119" si="326">_xlfn.VAR.P($AD$1110:$AD$1119)</f>
        <v>6.7366395098090004E-2</v>
      </c>
      <c r="N1111">
        <f t="shared" si="322"/>
        <v>8.2077033997391746E-2</v>
      </c>
      <c r="O1111">
        <f t="shared" si="323"/>
        <v>0.25955037102283252</v>
      </c>
      <c r="P1111" t="s">
        <v>1128</v>
      </c>
      <c r="Q1111" t="s">
        <v>1138</v>
      </c>
      <c r="R1111">
        <v>4.867</v>
      </c>
      <c r="S1111">
        <f t="shared" ref="S1111:S1119" si="327">AVERAGE($R$1110:$R$1119)</f>
        <v>3.0135000000000001</v>
      </c>
      <c r="U1111">
        <v>47</v>
      </c>
      <c r="V1111" t="s">
        <v>138</v>
      </c>
      <c r="W1111">
        <f t="shared" ref="W1111:W1119" si="328">AVERAGE($U$1110:$U$1119)</f>
        <v>38.9</v>
      </c>
      <c r="Y1111">
        <v>2001</v>
      </c>
      <c r="Z1111">
        <f>2025-AVERAGE($Y$1110:$Y$1119)</f>
        <v>25.599999999999909</v>
      </c>
      <c r="AC1111">
        <v>0.04</v>
      </c>
      <c r="AD1111" s="3">
        <v>0</v>
      </c>
      <c r="AE1111">
        <v>1</v>
      </c>
      <c r="AF1111" t="str">
        <f t="shared" si="324"/>
        <v>US</v>
      </c>
      <c r="AG1111">
        <v>2</v>
      </c>
      <c r="AI1111">
        <f t="shared" ref="AI1111:AI1119" si="329">AVERAGE($AG$1110:$AG$1119)</f>
        <v>2.7</v>
      </c>
      <c r="AK1111" t="s">
        <v>112</v>
      </c>
      <c r="AL1111">
        <v>47</v>
      </c>
      <c r="AN1111" t="s">
        <v>521</v>
      </c>
      <c r="AO1111">
        <v>2.089</v>
      </c>
    </row>
    <row r="1112" spans="1:41" ht="15.6">
      <c r="A1112">
        <v>25</v>
      </c>
      <c r="B1112" t="s">
        <v>1201</v>
      </c>
      <c r="C1112" t="s">
        <v>1137</v>
      </c>
      <c r="D1112" s="3">
        <f t="shared" si="325"/>
        <v>30</v>
      </c>
      <c r="F1112">
        <v>2016</v>
      </c>
      <c r="G1112">
        <f t="shared" si="320"/>
        <v>9</v>
      </c>
      <c r="H1112">
        <f t="shared" si="321"/>
        <v>0.12901009999999999</v>
      </c>
      <c r="J1112">
        <v>10</v>
      </c>
      <c r="K1112">
        <f t="shared" si="313"/>
        <v>12</v>
      </c>
      <c r="L1112">
        <v>6</v>
      </c>
      <c r="M1112" s="12">
        <f t="shared" si="326"/>
        <v>6.7366395098090004E-2</v>
      </c>
      <c r="N1112">
        <f t="shared" si="322"/>
        <v>8.2077033997391746E-2</v>
      </c>
      <c r="O1112">
        <f t="shared" si="323"/>
        <v>0.25955037102283252</v>
      </c>
      <c r="P1112" t="s">
        <v>1129</v>
      </c>
      <c r="Q1112" t="s">
        <v>1138</v>
      </c>
      <c r="R1112">
        <v>4.1890000000000001</v>
      </c>
      <c r="S1112">
        <f t="shared" si="327"/>
        <v>3.0135000000000001</v>
      </c>
      <c r="U1112">
        <v>48</v>
      </c>
      <c r="V1112" t="s">
        <v>138</v>
      </c>
      <c r="W1112">
        <f t="shared" si="328"/>
        <v>38.9</v>
      </c>
      <c r="Y1112">
        <v>2002</v>
      </c>
      <c r="Z1112">
        <f>2025-AVERAGE($Y$1110:$Y$1119)</f>
        <v>25.599999999999909</v>
      </c>
      <c r="AC1112" t="s">
        <v>261</v>
      </c>
      <c r="AD1112" s="3">
        <v>1E-4</v>
      </c>
      <c r="AE1112">
        <v>1</v>
      </c>
      <c r="AF1112" t="str">
        <f t="shared" si="324"/>
        <v>US</v>
      </c>
      <c r="AG1112">
        <v>2</v>
      </c>
      <c r="AI1112">
        <f t="shared" si="329"/>
        <v>2.7</v>
      </c>
      <c r="AK1112" t="s">
        <v>112</v>
      </c>
      <c r="AL1112">
        <v>47</v>
      </c>
      <c r="AN1112" t="s">
        <v>521</v>
      </c>
      <c r="AO1112">
        <v>2.089</v>
      </c>
    </row>
    <row r="1113" spans="1:41" ht="15.6">
      <c r="A1113">
        <v>25</v>
      </c>
      <c r="B1113" t="s">
        <v>1201</v>
      </c>
      <c r="C1113" t="s">
        <v>1137</v>
      </c>
      <c r="D1113" s="3">
        <f t="shared" si="325"/>
        <v>30</v>
      </c>
      <c r="F1113">
        <v>2016</v>
      </c>
      <c r="G1113">
        <f t="shared" si="320"/>
        <v>9</v>
      </c>
      <c r="H1113">
        <f t="shared" si="321"/>
        <v>0.12901009999999999</v>
      </c>
      <c r="J1113">
        <v>10</v>
      </c>
      <c r="K1113">
        <f t="shared" si="313"/>
        <v>12</v>
      </c>
      <c r="L1113">
        <v>6</v>
      </c>
      <c r="M1113" s="12">
        <f t="shared" si="326"/>
        <v>6.7366395098090004E-2</v>
      </c>
      <c r="N1113">
        <f t="shared" si="322"/>
        <v>8.2077033997391746E-2</v>
      </c>
      <c r="O1113">
        <f t="shared" si="323"/>
        <v>0.25955037102283252</v>
      </c>
      <c r="P1113" t="s">
        <v>1130</v>
      </c>
      <c r="Q1113" t="s">
        <v>771</v>
      </c>
      <c r="R1113" t="s">
        <v>261</v>
      </c>
      <c r="S1113">
        <f t="shared" si="327"/>
        <v>3.0135000000000001</v>
      </c>
      <c r="U1113">
        <v>30</v>
      </c>
      <c r="V1113" t="s">
        <v>138</v>
      </c>
      <c r="W1113">
        <f t="shared" si="328"/>
        <v>38.9</v>
      </c>
      <c r="Y1113">
        <v>1973</v>
      </c>
      <c r="Z1113">
        <f>2025-AVERAGE($Y$1110:$Y$1119)</f>
        <v>25.599999999999909</v>
      </c>
      <c r="AC1113">
        <v>0.82</v>
      </c>
      <c r="AD1113" s="3">
        <v>7.0000000000000007E-2</v>
      </c>
      <c r="AE1113">
        <v>1</v>
      </c>
      <c r="AF1113" t="str">
        <f t="shared" si="324"/>
        <v>US</v>
      </c>
      <c r="AG1113">
        <v>2</v>
      </c>
      <c r="AI1113">
        <f t="shared" si="329"/>
        <v>2.7</v>
      </c>
      <c r="AK1113" t="s">
        <v>112</v>
      </c>
      <c r="AL1113">
        <v>47</v>
      </c>
      <c r="AN1113" t="s">
        <v>521</v>
      </c>
      <c r="AO1113">
        <v>2.089</v>
      </c>
    </row>
    <row r="1114" spans="1:41" ht="15.6">
      <c r="A1114">
        <v>25</v>
      </c>
      <c r="B1114" t="s">
        <v>1201</v>
      </c>
      <c r="C1114" t="s">
        <v>1137</v>
      </c>
      <c r="D1114" s="3">
        <f t="shared" si="325"/>
        <v>30</v>
      </c>
      <c r="F1114">
        <v>2016</v>
      </c>
      <c r="G1114">
        <f t="shared" si="320"/>
        <v>9</v>
      </c>
      <c r="H1114">
        <f t="shared" si="321"/>
        <v>0.12901009999999999</v>
      </c>
      <c r="J1114">
        <v>10</v>
      </c>
      <c r="K1114">
        <f t="shared" si="313"/>
        <v>12</v>
      </c>
      <c r="L1114">
        <v>6</v>
      </c>
      <c r="M1114" s="12">
        <f t="shared" si="326"/>
        <v>6.7366395098090004E-2</v>
      </c>
      <c r="N1114">
        <f t="shared" si="322"/>
        <v>8.2077033997391746E-2</v>
      </c>
      <c r="O1114">
        <f t="shared" si="323"/>
        <v>0.25955037102283252</v>
      </c>
      <c r="P1114" t="s">
        <v>1131</v>
      </c>
      <c r="Q1114" t="s">
        <v>527</v>
      </c>
      <c r="R1114">
        <v>3.508</v>
      </c>
      <c r="S1114">
        <f t="shared" si="327"/>
        <v>3.0135000000000001</v>
      </c>
      <c r="U1114">
        <v>30</v>
      </c>
      <c r="V1114" t="s">
        <v>138</v>
      </c>
      <c r="W1114">
        <f t="shared" si="328"/>
        <v>38.9</v>
      </c>
      <c r="Y1114">
        <v>2007</v>
      </c>
      <c r="Z1114">
        <f>2025-AVERAGE($Y$1110:$Y$1119)</f>
        <v>25.599999999999909</v>
      </c>
      <c r="AC1114">
        <v>2.04</v>
      </c>
      <c r="AD1114" s="3">
        <v>0.89</v>
      </c>
      <c r="AE1114">
        <v>1</v>
      </c>
      <c r="AF1114" t="str">
        <f t="shared" si="324"/>
        <v>US</v>
      </c>
      <c r="AG1114">
        <v>2</v>
      </c>
      <c r="AI1114">
        <f t="shared" si="329"/>
        <v>2.7</v>
      </c>
      <c r="AK1114" t="s">
        <v>112</v>
      </c>
      <c r="AL1114">
        <v>47</v>
      </c>
      <c r="AN1114" t="s">
        <v>521</v>
      </c>
      <c r="AO1114">
        <v>2.089</v>
      </c>
    </row>
    <row r="1115" spans="1:41" ht="15.6">
      <c r="A1115">
        <v>25</v>
      </c>
      <c r="B1115" t="s">
        <v>1201</v>
      </c>
      <c r="C1115" t="s">
        <v>1137</v>
      </c>
      <c r="D1115" s="3">
        <f t="shared" si="325"/>
        <v>30</v>
      </c>
      <c r="F1115">
        <v>2016</v>
      </c>
      <c r="G1115">
        <f t="shared" si="320"/>
        <v>9</v>
      </c>
      <c r="H1115">
        <f t="shared" si="321"/>
        <v>0.12901009999999999</v>
      </c>
      <c r="J1115">
        <v>10</v>
      </c>
      <c r="K1115">
        <f t="shared" si="313"/>
        <v>12</v>
      </c>
      <c r="L1115">
        <v>6</v>
      </c>
      <c r="M1115" s="12">
        <f t="shared" si="326"/>
        <v>6.7366395098090004E-2</v>
      </c>
      <c r="N1115">
        <f t="shared" si="322"/>
        <v>8.2077033997391746E-2</v>
      </c>
      <c r="O1115">
        <f t="shared" si="323"/>
        <v>0.25955037102283252</v>
      </c>
      <c r="P1115" t="s">
        <v>1132</v>
      </c>
      <c r="Q1115" t="s">
        <v>359</v>
      </c>
      <c r="R1115">
        <v>0.78700000000000003</v>
      </c>
      <c r="S1115">
        <f t="shared" si="327"/>
        <v>3.0135000000000001</v>
      </c>
      <c r="U1115">
        <v>60</v>
      </c>
      <c r="V1115" t="s">
        <v>1139</v>
      </c>
      <c r="W1115">
        <f t="shared" si="328"/>
        <v>38.9</v>
      </c>
      <c r="Y1115">
        <v>2013</v>
      </c>
      <c r="Z1115">
        <f>2025-AVERAGE($Y$1110:$Y$1119)</f>
        <v>25.599999999999909</v>
      </c>
      <c r="AC1115">
        <v>0.86</v>
      </c>
      <c r="AD1115" s="3">
        <v>0.06</v>
      </c>
      <c r="AE1115">
        <v>1</v>
      </c>
      <c r="AF1115" t="str">
        <f t="shared" si="324"/>
        <v>US</v>
      </c>
      <c r="AG1115">
        <v>5</v>
      </c>
      <c r="AI1115">
        <f t="shared" si="329"/>
        <v>2.7</v>
      </c>
      <c r="AK1115" t="s">
        <v>112</v>
      </c>
      <c r="AL1115">
        <v>47</v>
      </c>
      <c r="AN1115" t="s">
        <v>521</v>
      </c>
      <c r="AO1115">
        <v>2.089</v>
      </c>
    </row>
    <row r="1116" spans="1:41" ht="15.6">
      <c r="A1116">
        <v>25</v>
      </c>
      <c r="B1116" t="s">
        <v>1201</v>
      </c>
      <c r="C1116" t="s">
        <v>1137</v>
      </c>
      <c r="D1116" s="3">
        <f t="shared" si="325"/>
        <v>30</v>
      </c>
      <c r="F1116">
        <v>2016</v>
      </c>
      <c r="G1116">
        <f t="shared" si="320"/>
        <v>9</v>
      </c>
      <c r="H1116">
        <f t="shared" si="321"/>
        <v>0.12901009999999999</v>
      </c>
      <c r="J1116">
        <v>10</v>
      </c>
      <c r="K1116">
        <f t="shared" si="313"/>
        <v>12</v>
      </c>
      <c r="L1116">
        <v>6</v>
      </c>
      <c r="M1116" s="12">
        <f t="shared" si="326"/>
        <v>6.7366395098090004E-2</v>
      </c>
      <c r="N1116">
        <f t="shared" si="322"/>
        <v>8.2077033997391746E-2</v>
      </c>
      <c r="O1116">
        <f t="shared" si="323"/>
        <v>0.25955037102283252</v>
      </c>
      <c r="P1116" t="s">
        <v>1133</v>
      </c>
      <c r="Q1116" t="s">
        <v>1138</v>
      </c>
      <c r="R1116" t="s">
        <v>261</v>
      </c>
      <c r="S1116">
        <f t="shared" si="327"/>
        <v>3.0135000000000001</v>
      </c>
      <c r="U1116">
        <v>39</v>
      </c>
      <c r="V1116" t="s">
        <v>138</v>
      </c>
      <c r="W1116">
        <f t="shared" si="328"/>
        <v>38.9</v>
      </c>
      <c r="Y1116">
        <v>1983</v>
      </c>
      <c r="Z1116">
        <f>2025-AVERAGE($Y$1110:$Y$1119)</f>
        <v>25.599999999999909</v>
      </c>
      <c r="AC1116">
        <v>0.17</v>
      </c>
      <c r="AD1116" s="3">
        <v>9.9999999999999995E-7</v>
      </c>
      <c r="AE1116">
        <v>1</v>
      </c>
      <c r="AF1116" t="str">
        <f t="shared" si="324"/>
        <v>US</v>
      </c>
      <c r="AG1116">
        <v>3</v>
      </c>
      <c r="AI1116">
        <f t="shared" si="329"/>
        <v>2.7</v>
      </c>
      <c r="AK1116" t="s">
        <v>112</v>
      </c>
      <c r="AL1116">
        <v>47</v>
      </c>
      <c r="AN1116" t="s">
        <v>521</v>
      </c>
      <c r="AO1116">
        <v>2.089</v>
      </c>
    </row>
    <row r="1117" spans="1:41" ht="15.6">
      <c r="A1117">
        <v>25</v>
      </c>
      <c r="B1117" t="s">
        <v>1201</v>
      </c>
      <c r="C1117" t="s">
        <v>1137</v>
      </c>
      <c r="D1117" s="3">
        <f t="shared" si="325"/>
        <v>30</v>
      </c>
      <c r="F1117">
        <v>2016</v>
      </c>
      <c r="G1117">
        <f t="shared" si="320"/>
        <v>9</v>
      </c>
      <c r="H1117">
        <f t="shared" si="321"/>
        <v>0.12901009999999999</v>
      </c>
      <c r="J1117">
        <v>10</v>
      </c>
      <c r="K1117">
        <f t="shared" si="313"/>
        <v>12</v>
      </c>
      <c r="L1117">
        <v>6</v>
      </c>
      <c r="M1117" s="12">
        <f t="shared" si="326"/>
        <v>6.7366395098090004E-2</v>
      </c>
      <c r="N1117">
        <f t="shared" si="322"/>
        <v>8.2077033997391746E-2</v>
      </c>
      <c r="O1117">
        <f t="shared" si="323"/>
        <v>0.25955037102283252</v>
      </c>
      <c r="P1117" t="s">
        <v>1134</v>
      </c>
      <c r="Q1117" t="s">
        <v>1140</v>
      </c>
      <c r="R1117">
        <v>0.89100000000000001</v>
      </c>
      <c r="S1117">
        <f t="shared" si="327"/>
        <v>3.0135000000000001</v>
      </c>
      <c r="U1117">
        <v>60</v>
      </c>
      <c r="V1117" t="s">
        <v>755</v>
      </c>
      <c r="W1117">
        <f t="shared" si="328"/>
        <v>38.9</v>
      </c>
      <c r="Y1117">
        <v>2000</v>
      </c>
      <c r="Z1117">
        <f>2025-AVERAGE($Y$1110:$Y$1119)</f>
        <v>25.599999999999909</v>
      </c>
      <c r="AC1117">
        <v>1.04</v>
      </c>
      <c r="AD1117" s="3">
        <v>0</v>
      </c>
      <c r="AE1117">
        <v>1</v>
      </c>
      <c r="AF1117" t="str">
        <f t="shared" si="324"/>
        <v>US</v>
      </c>
      <c r="AG1117">
        <v>3</v>
      </c>
      <c r="AI1117">
        <f t="shared" si="329"/>
        <v>2.7</v>
      </c>
      <c r="AK1117" t="s">
        <v>112</v>
      </c>
      <c r="AL1117">
        <v>47</v>
      </c>
      <c r="AN1117" t="s">
        <v>521</v>
      </c>
      <c r="AO1117">
        <v>2.089</v>
      </c>
    </row>
    <row r="1118" spans="1:41" ht="15.6">
      <c r="A1118">
        <v>25</v>
      </c>
      <c r="B1118" t="s">
        <v>1201</v>
      </c>
      <c r="C1118" t="s">
        <v>1137</v>
      </c>
      <c r="D1118" s="3">
        <f t="shared" si="325"/>
        <v>30</v>
      </c>
      <c r="F1118">
        <v>2016</v>
      </c>
      <c r="G1118">
        <f t="shared" si="320"/>
        <v>9</v>
      </c>
      <c r="H1118">
        <f t="shared" si="321"/>
        <v>0.12901009999999999</v>
      </c>
      <c r="J1118">
        <v>10</v>
      </c>
      <c r="K1118">
        <f t="shared" si="313"/>
        <v>12</v>
      </c>
      <c r="L1118">
        <v>6</v>
      </c>
      <c r="M1118" s="12">
        <f t="shared" si="326"/>
        <v>6.7366395098090004E-2</v>
      </c>
      <c r="N1118">
        <f t="shared" si="322"/>
        <v>8.2077033997391746E-2</v>
      </c>
      <c r="O1118">
        <f t="shared" si="323"/>
        <v>0.25955037102283252</v>
      </c>
      <c r="P1118" t="s">
        <v>1135</v>
      </c>
      <c r="Q1118" t="s">
        <v>460</v>
      </c>
      <c r="R1118">
        <v>2.1480000000000001</v>
      </c>
      <c r="S1118">
        <f t="shared" si="327"/>
        <v>3.0135000000000001</v>
      </c>
      <c r="U1118">
        <v>18</v>
      </c>
      <c r="V1118" t="s">
        <v>753</v>
      </c>
      <c r="W1118">
        <f t="shared" si="328"/>
        <v>38.9</v>
      </c>
      <c r="Y1118">
        <v>2000</v>
      </c>
      <c r="Z1118">
        <f>2025-AVERAGE($Y$1110:$Y$1119)</f>
        <v>25.599999999999909</v>
      </c>
      <c r="AC1118">
        <v>0.63</v>
      </c>
      <c r="AD1118" s="3">
        <v>0.19</v>
      </c>
      <c r="AE1118">
        <v>1</v>
      </c>
      <c r="AF1118" t="str">
        <f t="shared" si="324"/>
        <v>US</v>
      </c>
      <c r="AG1118">
        <v>1</v>
      </c>
      <c r="AI1118">
        <f t="shared" si="329"/>
        <v>2.7</v>
      </c>
      <c r="AK1118" t="s">
        <v>112</v>
      </c>
      <c r="AL1118">
        <v>47</v>
      </c>
      <c r="AN1118" t="s">
        <v>521</v>
      </c>
      <c r="AO1118">
        <v>2.089</v>
      </c>
    </row>
    <row r="1119" spans="1:41" ht="15.6">
      <c r="A1119">
        <v>25</v>
      </c>
      <c r="B1119" t="s">
        <v>1201</v>
      </c>
      <c r="C1119" t="s">
        <v>1137</v>
      </c>
      <c r="D1119" s="3">
        <f t="shared" si="325"/>
        <v>30</v>
      </c>
      <c r="F1119">
        <v>2016</v>
      </c>
      <c r="G1119">
        <f t="shared" si="320"/>
        <v>9</v>
      </c>
      <c r="H1119">
        <f t="shared" si="321"/>
        <v>0.12901009999999999</v>
      </c>
      <c r="J1119">
        <v>10</v>
      </c>
      <c r="K1119">
        <f t="shared" si="313"/>
        <v>12</v>
      </c>
      <c r="L1119">
        <v>6</v>
      </c>
      <c r="M1119" s="12">
        <f t="shared" si="326"/>
        <v>6.7366395098090004E-2</v>
      </c>
      <c r="N1119">
        <f t="shared" si="322"/>
        <v>8.2077033997391746E-2</v>
      </c>
      <c r="O1119">
        <f t="shared" si="323"/>
        <v>0.25955037102283252</v>
      </c>
      <c r="P1119" t="s">
        <v>1136</v>
      </c>
      <c r="Q1119" t="s">
        <v>527</v>
      </c>
      <c r="R1119">
        <v>4.2990000000000004</v>
      </c>
      <c r="S1119">
        <f t="shared" si="327"/>
        <v>3.0135000000000001</v>
      </c>
      <c r="U1119">
        <v>18</v>
      </c>
      <c r="V1119" t="s">
        <v>138</v>
      </c>
      <c r="W1119">
        <f t="shared" si="328"/>
        <v>38.9</v>
      </c>
      <c r="Y1119">
        <v>2009</v>
      </c>
      <c r="Z1119">
        <f>2025-AVERAGE($Y$1110:$Y$1119)</f>
        <v>25.599999999999909</v>
      </c>
      <c r="AC1119">
        <v>0.59</v>
      </c>
      <c r="AD1119" s="3">
        <v>0.05</v>
      </c>
      <c r="AE1119">
        <v>1</v>
      </c>
      <c r="AF1119" t="str">
        <f t="shared" si="324"/>
        <v>US</v>
      </c>
      <c r="AG1119">
        <v>3</v>
      </c>
      <c r="AI1119">
        <f t="shared" si="329"/>
        <v>2.7</v>
      </c>
      <c r="AK1119" t="s">
        <v>112</v>
      </c>
      <c r="AL1119">
        <v>47</v>
      </c>
      <c r="AN1119" t="s">
        <v>521</v>
      </c>
      <c r="AO1119">
        <v>2.089</v>
      </c>
    </row>
    <row r="1120" spans="1:41" s="3" customFormat="1" ht="15.6">
      <c r="A1120" s="3">
        <v>26</v>
      </c>
      <c r="B1120" s="3" t="s">
        <v>1190</v>
      </c>
      <c r="C1120" s="3" t="s">
        <v>1189</v>
      </c>
      <c r="D1120" s="3">
        <v>64</v>
      </c>
      <c r="E1120" s="3">
        <v>68</v>
      </c>
      <c r="F1120" s="3">
        <v>2022</v>
      </c>
      <c r="G1120">
        <f t="shared" si="320"/>
        <v>3</v>
      </c>
      <c r="H1120" s="3">
        <f>AVERAGE($AD$1120:$AD$1124)</f>
        <v>0.24238222589069264</v>
      </c>
      <c r="J1120" s="3">
        <v>300</v>
      </c>
      <c r="K1120" s="3">
        <f t="shared" si="313"/>
        <v>12</v>
      </c>
      <c r="L1120" s="3">
        <v>5</v>
      </c>
      <c r="M1120" s="12">
        <f>_xlfn.VAR.P($AD$1120:$AD$1124)</f>
        <v>1.5997442024337882E-3</v>
      </c>
      <c r="N1120">
        <f>$O$1120/SQRT($J$1120)</f>
        <v>2.3092164633873743E-3</v>
      </c>
      <c r="O1120">
        <f>_xlfn.STDEV.P($AD$1120:$AD$1124)</f>
        <v>3.9996802402614488E-2</v>
      </c>
      <c r="P1120" s="3" t="s">
        <v>366</v>
      </c>
      <c r="Q1120" t="s">
        <v>527</v>
      </c>
      <c r="R1120">
        <v>3.3029999999999999</v>
      </c>
      <c r="S1120">
        <f>AVERAGE($R$1120:$R$1124)</f>
        <v>5.3888000000000007</v>
      </c>
      <c r="U1120" s="3">
        <v>32</v>
      </c>
      <c r="V1120" s="3" t="s">
        <v>138</v>
      </c>
      <c r="W1120">
        <f>AVERAGE($U$1120:$U$1124)</f>
        <v>46</v>
      </c>
      <c r="Y1120" s="3">
        <v>2019</v>
      </c>
      <c r="Z1120">
        <f>2025-AVERAGE($Y$1120:$Y$1124)</f>
        <v>7</v>
      </c>
      <c r="AD1120" s="3">
        <v>0.30499999999999999</v>
      </c>
      <c r="AE1120">
        <v>1</v>
      </c>
      <c r="AF1120" t="str">
        <f t="shared" si="324"/>
        <v>US</v>
      </c>
      <c r="AG1120" s="3">
        <v>1</v>
      </c>
      <c r="AI1120">
        <f>AVERAGE($AG$1120:$AG$1124)</f>
        <v>80.72</v>
      </c>
      <c r="AK1120" s="3" t="s">
        <v>112</v>
      </c>
      <c r="AL1120" s="3">
        <v>202</v>
      </c>
      <c r="AN1120" t="s">
        <v>826</v>
      </c>
      <c r="AO1120">
        <v>9.2260000000000009</v>
      </c>
    </row>
    <row r="1121" spans="1:41" s="3" customFormat="1" ht="15.6">
      <c r="A1121" s="3">
        <v>26</v>
      </c>
      <c r="B1121" s="3" t="s">
        <v>1190</v>
      </c>
      <c r="C1121" s="3" t="s">
        <v>1189</v>
      </c>
      <c r="D1121" s="3">
        <v>64</v>
      </c>
      <c r="E1121" s="3">
        <v>68</v>
      </c>
      <c r="F1121" s="3">
        <v>2022</v>
      </c>
      <c r="G1121">
        <f t="shared" si="320"/>
        <v>3</v>
      </c>
      <c r="H1121" s="3">
        <f t="shared" ref="H1121:H1124" si="330">AVERAGE($AD$1120:$AD$1124)</f>
        <v>0.24238222589069264</v>
      </c>
      <c r="J1121" s="3">
        <v>300</v>
      </c>
      <c r="K1121" s="3">
        <f t="shared" si="313"/>
        <v>12</v>
      </c>
      <c r="L1121" s="3">
        <v>5</v>
      </c>
      <c r="M1121" s="12">
        <f t="shared" ref="M1121:M1124" si="331">_xlfn.VAR.P($AD$1120:$AD$1124)</f>
        <v>1.5997442024337882E-3</v>
      </c>
      <c r="N1121">
        <f>$O$1120/SQRT($J$1120)</f>
        <v>2.3092164633873743E-3</v>
      </c>
      <c r="O1121">
        <f t="shared" ref="O1121:O1124" si="332">_xlfn.STDEV.P($AD$1120:$AD$1124)</f>
        <v>3.9996802402614488E-2</v>
      </c>
      <c r="P1121" s="3" t="s">
        <v>141</v>
      </c>
      <c r="Q1121" s="3" t="s">
        <v>185</v>
      </c>
      <c r="R1121" s="3">
        <v>4.0519999999999996</v>
      </c>
      <c r="S1121">
        <f t="shared" ref="S1121:S1134" si="333">AVERAGE($R$1120:$R$1124)</f>
        <v>5.3888000000000007</v>
      </c>
      <c r="U1121" s="3">
        <v>56</v>
      </c>
      <c r="V1121" s="3" t="s">
        <v>186</v>
      </c>
      <c r="W1121">
        <f t="shared" ref="W1121:W1124" si="334">AVERAGE($U$1120:$U$1124)</f>
        <v>46</v>
      </c>
      <c r="Y1121" s="3">
        <v>2018</v>
      </c>
      <c r="Z1121">
        <f>2025-AVERAGE($Y$1120:$Y$1124)</f>
        <v>7</v>
      </c>
      <c r="AD1121" s="3">
        <v>0.24613711904761909</v>
      </c>
      <c r="AE1121">
        <v>1</v>
      </c>
      <c r="AF1121" t="str">
        <f t="shared" si="324"/>
        <v>US</v>
      </c>
      <c r="AG1121" s="3">
        <v>24</v>
      </c>
      <c r="AI1121">
        <f t="shared" ref="AI1121:AI1124" si="335">AVERAGE($AG$1120:$AG$1124)</f>
        <v>80.72</v>
      </c>
      <c r="AK1121" s="3" t="s">
        <v>112</v>
      </c>
      <c r="AL1121" s="3">
        <v>202</v>
      </c>
      <c r="AN1121" t="s">
        <v>826</v>
      </c>
      <c r="AO1121">
        <v>9.2260000000000009</v>
      </c>
    </row>
    <row r="1122" spans="1:41" s="3" customFormat="1" ht="15.6">
      <c r="A1122" s="3">
        <v>26</v>
      </c>
      <c r="B1122" s="3" t="s">
        <v>1190</v>
      </c>
      <c r="C1122" s="3" t="s">
        <v>1189</v>
      </c>
      <c r="D1122" s="3">
        <v>64</v>
      </c>
      <c r="E1122" s="3">
        <v>68</v>
      </c>
      <c r="F1122" s="3">
        <v>2022</v>
      </c>
      <c r="G1122">
        <f t="shared" si="320"/>
        <v>3</v>
      </c>
      <c r="H1122" s="3">
        <f t="shared" si="330"/>
        <v>0.24238222589069264</v>
      </c>
      <c r="J1122" s="3">
        <v>300</v>
      </c>
      <c r="K1122" s="3">
        <f t="shared" si="313"/>
        <v>12</v>
      </c>
      <c r="L1122" s="3">
        <v>5</v>
      </c>
      <c r="M1122" s="12">
        <f t="shared" si="331"/>
        <v>1.5997442024337882E-3</v>
      </c>
      <c r="N1122">
        <f>$O$1120/SQRT($J$1120)</f>
        <v>2.3092164633873743E-3</v>
      </c>
      <c r="O1122">
        <f t="shared" si="332"/>
        <v>3.9996802402614488E-2</v>
      </c>
      <c r="P1122" s="3" t="s">
        <v>1185</v>
      </c>
      <c r="Q1122" s="3" t="s">
        <v>111</v>
      </c>
      <c r="R1122" s="3">
        <v>12.872</v>
      </c>
      <c r="S1122">
        <f t="shared" si="333"/>
        <v>5.3888000000000007</v>
      </c>
      <c r="U1122" s="3">
        <v>37</v>
      </c>
      <c r="V1122" s="3" t="s">
        <v>138</v>
      </c>
      <c r="W1122">
        <f t="shared" si="334"/>
        <v>46</v>
      </c>
      <c r="Y1122" s="3">
        <v>2015</v>
      </c>
      <c r="Z1122">
        <f>2025-AVERAGE($Y$1120:$Y$1124)</f>
        <v>7</v>
      </c>
      <c r="AD1122" s="3">
        <v>0.20100000000000001</v>
      </c>
      <c r="AE1122">
        <v>1</v>
      </c>
      <c r="AF1122" t="str">
        <f t="shared" si="324"/>
        <v>US</v>
      </c>
      <c r="AG1122" s="3">
        <v>270</v>
      </c>
      <c r="AI1122">
        <f t="shared" si="335"/>
        <v>80.72</v>
      </c>
      <c r="AK1122" s="3" t="s">
        <v>112</v>
      </c>
      <c r="AL1122" s="3">
        <v>202</v>
      </c>
      <c r="AN1122" t="s">
        <v>826</v>
      </c>
      <c r="AO1122">
        <v>9.2260000000000009</v>
      </c>
    </row>
    <row r="1123" spans="1:41" s="3" customFormat="1" ht="43.2">
      <c r="A1123" s="3">
        <v>26</v>
      </c>
      <c r="B1123" s="3" t="s">
        <v>1190</v>
      </c>
      <c r="C1123" s="3" t="s">
        <v>1189</v>
      </c>
      <c r="D1123" s="3">
        <v>64</v>
      </c>
      <c r="E1123" s="3">
        <v>68</v>
      </c>
      <c r="F1123" s="3">
        <v>2022</v>
      </c>
      <c r="G1123">
        <f t="shared" si="320"/>
        <v>3</v>
      </c>
      <c r="H1123" s="3">
        <f t="shared" si="330"/>
        <v>0.24238222589069264</v>
      </c>
      <c r="J1123" s="3">
        <v>300</v>
      </c>
      <c r="K1123" s="3">
        <f t="shared" si="313"/>
        <v>12</v>
      </c>
      <c r="L1123" s="3">
        <v>5</v>
      </c>
      <c r="M1123" s="12">
        <f t="shared" si="331"/>
        <v>1.5997442024337882E-3</v>
      </c>
      <c r="N1123">
        <f>$O$1120/SQRT($J$1120)</f>
        <v>2.3092164633873743E-3</v>
      </c>
      <c r="O1123">
        <f t="shared" si="332"/>
        <v>3.9996802402614488E-2</v>
      </c>
      <c r="P1123" s="8" t="s">
        <v>1186</v>
      </c>
      <c r="Q1123" s="3" t="s">
        <v>1188</v>
      </c>
      <c r="R1123" s="3">
        <v>0.62</v>
      </c>
      <c r="S1123">
        <f t="shared" si="333"/>
        <v>5.3888000000000007</v>
      </c>
      <c r="U1123" s="3">
        <v>57</v>
      </c>
      <c r="V1123" s="3" t="s">
        <v>186</v>
      </c>
      <c r="W1123">
        <f t="shared" si="334"/>
        <v>46</v>
      </c>
      <c r="Y1123" s="3">
        <v>2017</v>
      </c>
      <c r="Z1123">
        <f>2025-AVERAGE($Y$1120:$Y$1124)</f>
        <v>7</v>
      </c>
      <c r="AD1123" s="3">
        <v>0.19795828415584407</v>
      </c>
      <c r="AE1123">
        <v>1</v>
      </c>
      <c r="AF1123" t="str">
        <f t="shared" si="324"/>
        <v>US</v>
      </c>
      <c r="AG1123" s="3">
        <v>91.6</v>
      </c>
      <c r="AI1123">
        <f t="shared" si="335"/>
        <v>80.72</v>
      </c>
      <c r="AK1123" s="3" t="s">
        <v>112</v>
      </c>
      <c r="AL1123" s="3">
        <v>202</v>
      </c>
      <c r="AN1123" t="s">
        <v>826</v>
      </c>
      <c r="AO1123">
        <v>9.2260000000000009</v>
      </c>
    </row>
    <row r="1124" spans="1:41" s="3" customFormat="1" ht="15.6">
      <c r="A1124" s="3">
        <v>26</v>
      </c>
      <c r="B1124" s="3" t="s">
        <v>1190</v>
      </c>
      <c r="C1124" s="3" t="s">
        <v>1189</v>
      </c>
      <c r="D1124" s="3">
        <v>64</v>
      </c>
      <c r="E1124" s="3">
        <v>68</v>
      </c>
      <c r="F1124" s="3">
        <v>2022</v>
      </c>
      <c r="G1124">
        <f t="shared" si="320"/>
        <v>3</v>
      </c>
      <c r="H1124" s="3">
        <f t="shared" si="330"/>
        <v>0.24238222589069264</v>
      </c>
      <c r="J1124" s="3">
        <v>300</v>
      </c>
      <c r="K1124" s="3">
        <f t="shared" si="313"/>
        <v>12</v>
      </c>
      <c r="L1124" s="3">
        <v>5</v>
      </c>
      <c r="M1124" s="12">
        <f t="shared" si="331"/>
        <v>1.5997442024337882E-3</v>
      </c>
      <c r="N1124">
        <f>$O$1120/SQRT($J$1120)</f>
        <v>2.3092164633873743E-3</v>
      </c>
      <c r="O1124">
        <f t="shared" si="332"/>
        <v>3.9996802402614488E-2</v>
      </c>
      <c r="P1124" t="s">
        <v>1187</v>
      </c>
      <c r="Q1124" s="3" t="s">
        <v>185</v>
      </c>
      <c r="R1124" s="3">
        <v>6.0970000000000004</v>
      </c>
      <c r="S1124">
        <f t="shared" si="333"/>
        <v>5.3888000000000007</v>
      </c>
      <c r="U1124" s="3">
        <v>48</v>
      </c>
      <c r="V1124" s="3" t="s">
        <v>186</v>
      </c>
      <c r="W1124">
        <f t="shared" si="334"/>
        <v>46</v>
      </c>
      <c r="Y1124" s="3">
        <v>2021</v>
      </c>
      <c r="Z1124">
        <f>2025-AVERAGE($Y$1120:$Y$1124)</f>
        <v>7</v>
      </c>
      <c r="AD1124" s="3">
        <v>0.26181572624999999</v>
      </c>
      <c r="AE1124">
        <v>1</v>
      </c>
      <c r="AF1124" t="str">
        <f t="shared" si="324"/>
        <v>US</v>
      </c>
      <c r="AG1124" s="3">
        <v>17</v>
      </c>
      <c r="AI1124">
        <f t="shared" si="335"/>
        <v>80.72</v>
      </c>
      <c r="AK1124" s="3" t="s">
        <v>112</v>
      </c>
      <c r="AL1124" s="3">
        <v>202</v>
      </c>
      <c r="AN1124" t="s">
        <v>826</v>
      </c>
      <c r="AO1124">
        <v>9.2260000000000009</v>
      </c>
    </row>
    <row r="1125" spans="1:41" ht="15.6">
      <c r="A1125">
        <v>27</v>
      </c>
      <c r="B1125" t="s">
        <v>1144</v>
      </c>
      <c r="C1125" t="s">
        <v>1145</v>
      </c>
      <c r="D1125" s="3">
        <f>100*(6/10)</f>
        <v>60</v>
      </c>
      <c r="E1125" s="3">
        <f>100*(6/10)</f>
        <v>60</v>
      </c>
      <c r="F1125">
        <v>2016</v>
      </c>
      <c r="G1125">
        <f t="shared" si="320"/>
        <v>9</v>
      </c>
      <c r="H1125">
        <f t="shared" ref="H1125:H1133" si="336">AVERAGE($AD$1125:$AD$1134)</f>
        <v>0.22444444444444445</v>
      </c>
      <c r="J1125">
        <f t="shared" ref="J1125:J1133" si="337">COUNTA($Q$1125:$Q$1134)</f>
        <v>10</v>
      </c>
      <c r="K1125">
        <v>0</v>
      </c>
      <c r="L1125">
        <v>82</v>
      </c>
      <c r="M1125" s="12">
        <f>_xlfn.VAR.P($AD$1125:$AD$1134)</f>
        <v>0.22406913580246909</v>
      </c>
      <c r="N1125">
        <f t="shared" ref="N1125:N1134" si="338">$O$1125/SQRT($J$1125)</f>
        <v>0.14968939033961928</v>
      </c>
      <c r="O1125">
        <f t="shared" ref="O1125:O1133" si="339">_xlfn.STDEV.P($AD$1125:$AD$1134)</f>
        <v>0.47335941503520251</v>
      </c>
      <c r="P1125" t="s">
        <v>1146</v>
      </c>
      <c r="Q1125" t="s">
        <v>1163</v>
      </c>
      <c r="R1125">
        <v>0</v>
      </c>
      <c r="S1125">
        <v>0</v>
      </c>
      <c r="U1125">
        <v>0</v>
      </c>
      <c r="V1125" t="s">
        <v>138</v>
      </c>
      <c r="W1125">
        <v>0</v>
      </c>
      <c r="Y1125">
        <v>2016</v>
      </c>
      <c r="Z1125">
        <f>2025-AVERAGE($Y$1125:$Y$1134)</f>
        <v>9</v>
      </c>
      <c r="AB1125">
        <v>8.9999999999999998E-4</v>
      </c>
      <c r="AD1125" s="3">
        <v>0.9</v>
      </c>
      <c r="AE1125">
        <v>1</v>
      </c>
      <c r="AF1125" t="str">
        <f t="shared" ref="AF1125:AF1134" si="340">IF(AE1125=1,"US","Non-US")</f>
        <v>US</v>
      </c>
      <c r="AG1125">
        <v>3</v>
      </c>
      <c r="AH1125" t="s">
        <v>261</v>
      </c>
      <c r="AI1125">
        <f>AVERAGE($AG$1125:$AG$1134)</f>
        <v>2.9</v>
      </c>
      <c r="AK1125" t="s">
        <v>112</v>
      </c>
      <c r="AL1125">
        <v>96</v>
      </c>
      <c r="AN1125" t="s">
        <v>521</v>
      </c>
      <c r="AO1125">
        <v>2.089</v>
      </c>
    </row>
    <row r="1126" spans="1:41" ht="15.6">
      <c r="A1126">
        <v>27</v>
      </c>
      <c r="B1126" t="s">
        <v>1144</v>
      </c>
      <c r="C1126" t="s">
        <v>1145</v>
      </c>
      <c r="D1126" s="3">
        <f t="shared" ref="D1126:E1134" si="341">100*(6/10)</f>
        <v>60</v>
      </c>
      <c r="E1126" s="3">
        <f t="shared" si="341"/>
        <v>60</v>
      </c>
      <c r="F1126">
        <v>2016</v>
      </c>
      <c r="G1126">
        <f t="shared" si="320"/>
        <v>9</v>
      </c>
      <c r="H1126">
        <f t="shared" si="336"/>
        <v>0.22444444444444445</v>
      </c>
      <c r="J1126">
        <f t="shared" si="337"/>
        <v>10</v>
      </c>
      <c r="K1126">
        <v>0</v>
      </c>
      <c r="L1126">
        <v>82</v>
      </c>
      <c r="M1126" s="12">
        <f t="shared" ref="M1126:M1133" si="342">_xlfn.VAR.P($AD$1125:$AD$1134)</f>
        <v>0.22406913580246909</v>
      </c>
      <c r="N1126">
        <f t="shared" si="338"/>
        <v>0.14968939033961928</v>
      </c>
      <c r="O1126">
        <f t="shared" si="339"/>
        <v>0.47335941503520251</v>
      </c>
      <c r="P1126" t="s">
        <v>1147</v>
      </c>
      <c r="Q1126" t="s">
        <v>1163</v>
      </c>
      <c r="R1126">
        <v>0</v>
      </c>
      <c r="S1126">
        <v>0</v>
      </c>
      <c r="U1126">
        <v>0</v>
      </c>
      <c r="V1126" t="s">
        <v>138</v>
      </c>
      <c r="W1126">
        <v>0</v>
      </c>
      <c r="Y1126">
        <v>2016</v>
      </c>
      <c r="Z1126">
        <f>2025-AVERAGE($Y$1125:$Y$1134)</f>
        <v>9</v>
      </c>
      <c r="AB1126">
        <v>1E-3</v>
      </c>
      <c r="AD1126" s="3">
        <v>-0.31</v>
      </c>
      <c r="AE1126">
        <v>1</v>
      </c>
      <c r="AF1126" t="str">
        <f t="shared" si="340"/>
        <v>US</v>
      </c>
      <c r="AG1126">
        <v>3</v>
      </c>
      <c r="AH1126" t="s">
        <v>261</v>
      </c>
      <c r="AI1126">
        <f t="shared" ref="AI1126:AI1134" si="343">AVERAGE($AG$1125:$AG$1134)</f>
        <v>2.9</v>
      </c>
      <c r="AK1126" t="s">
        <v>112</v>
      </c>
      <c r="AL1126">
        <v>96</v>
      </c>
      <c r="AN1126" t="s">
        <v>521</v>
      </c>
      <c r="AO1126">
        <v>2.089</v>
      </c>
    </row>
    <row r="1127" spans="1:41" ht="15.6">
      <c r="A1127">
        <v>27</v>
      </c>
      <c r="B1127" t="s">
        <v>1144</v>
      </c>
      <c r="C1127" t="s">
        <v>1145</v>
      </c>
      <c r="D1127" s="3">
        <f t="shared" si="341"/>
        <v>60</v>
      </c>
      <c r="E1127" s="3">
        <f t="shared" si="341"/>
        <v>60</v>
      </c>
      <c r="F1127">
        <v>2016</v>
      </c>
      <c r="G1127">
        <f t="shared" si="320"/>
        <v>9</v>
      </c>
      <c r="H1127">
        <f t="shared" si="336"/>
        <v>0.22444444444444445</v>
      </c>
      <c r="J1127">
        <f t="shared" si="337"/>
        <v>10</v>
      </c>
      <c r="K1127">
        <v>0</v>
      </c>
      <c r="L1127">
        <v>82</v>
      </c>
      <c r="M1127" s="12">
        <f t="shared" si="342"/>
        <v>0.22406913580246909</v>
      </c>
      <c r="N1127">
        <f t="shared" si="338"/>
        <v>0.14968939033961928</v>
      </c>
      <c r="O1127">
        <f t="shared" si="339"/>
        <v>0.47335941503520251</v>
      </c>
      <c r="P1127" t="s">
        <v>1148</v>
      </c>
      <c r="Q1127" t="s">
        <v>1163</v>
      </c>
      <c r="R1127">
        <v>0</v>
      </c>
      <c r="S1127">
        <v>0</v>
      </c>
      <c r="U1127">
        <v>0</v>
      </c>
      <c r="V1127" t="s">
        <v>138</v>
      </c>
      <c r="W1127">
        <v>0</v>
      </c>
      <c r="Y1127">
        <v>2016</v>
      </c>
      <c r="Z1127">
        <f>2025-AVERAGE($Y$1125:$Y$1134)</f>
        <v>9</v>
      </c>
      <c r="AB1127">
        <v>1E-3</v>
      </c>
      <c r="AD1127" s="3">
        <v>0.6</v>
      </c>
      <c r="AE1127">
        <v>1</v>
      </c>
      <c r="AF1127" t="str">
        <f t="shared" si="340"/>
        <v>US</v>
      </c>
      <c r="AG1127">
        <v>3</v>
      </c>
      <c r="AH1127" t="s">
        <v>261</v>
      </c>
      <c r="AI1127">
        <f t="shared" si="343"/>
        <v>2.9</v>
      </c>
      <c r="AK1127" t="s">
        <v>112</v>
      </c>
      <c r="AL1127">
        <v>96</v>
      </c>
      <c r="AN1127" t="s">
        <v>521</v>
      </c>
      <c r="AO1127">
        <v>2.089</v>
      </c>
    </row>
    <row r="1128" spans="1:41" ht="15.6">
      <c r="A1128">
        <v>27</v>
      </c>
      <c r="B1128" t="s">
        <v>1144</v>
      </c>
      <c r="C1128" t="s">
        <v>1145</v>
      </c>
      <c r="D1128" s="3">
        <f t="shared" si="341"/>
        <v>60</v>
      </c>
      <c r="E1128" s="3">
        <f t="shared" si="341"/>
        <v>60</v>
      </c>
      <c r="F1128">
        <v>2016</v>
      </c>
      <c r="G1128">
        <f t="shared" si="320"/>
        <v>9</v>
      </c>
      <c r="H1128">
        <f t="shared" si="336"/>
        <v>0.22444444444444445</v>
      </c>
      <c r="J1128">
        <f t="shared" si="337"/>
        <v>10</v>
      </c>
      <c r="K1128">
        <v>0</v>
      </c>
      <c r="L1128">
        <v>82</v>
      </c>
      <c r="M1128" s="12">
        <f t="shared" si="342"/>
        <v>0.22406913580246909</v>
      </c>
      <c r="N1128">
        <f t="shared" si="338"/>
        <v>0.14968939033961928</v>
      </c>
      <c r="O1128">
        <f t="shared" si="339"/>
        <v>0.47335941503520251</v>
      </c>
      <c r="P1128" t="s">
        <v>1149</v>
      </c>
      <c r="Q1128" t="s">
        <v>1163</v>
      </c>
      <c r="R1128">
        <v>0</v>
      </c>
      <c r="S1128">
        <v>0</v>
      </c>
      <c r="U1128">
        <v>0</v>
      </c>
      <c r="V1128" t="s">
        <v>138</v>
      </c>
      <c r="W1128">
        <v>0</v>
      </c>
      <c r="Y1128">
        <v>2016</v>
      </c>
      <c r="Z1128">
        <f>2025-AVERAGE($Y$1125:$Y$1134)</f>
        <v>9</v>
      </c>
      <c r="AB1128" s="4">
        <v>9.5999999999999992E-3</v>
      </c>
      <c r="AD1128" s="3">
        <v>0.19</v>
      </c>
      <c r="AE1128">
        <v>1</v>
      </c>
      <c r="AF1128" t="str">
        <f t="shared" si="340"/>
        <v>US</v>
      </c>
      <c r="AG1128">
        <v>3</v>
      </c>
      <c r="AH1128" t="s">
        <v>261</v>
      </c>
      <c r="AI1128">
        <f t="shared" si="343"/>
        <v>2.9</v>
      </c>
      <c r="AK1128" t="s">
        <v>112</v>
      </c>
      <c r="AL1128">
        <v>96</v>
      </c>
      <c r="AN1128" t="s">
        <v>521</v>
      </c>
      <c r="AO1128">
        <v>2.089</v>
      </c>
    </row>
    <row r="1129" spans="1:41" ht="15.6">
      <c r="A1129">
        <v>27</v>
      </c>
      <c r="B1129" t="s">
        <v>1144</v>
      </c>
      <c r="C1129" t="s">
        <v>1145</v>
      </c>
      <c r="D1129" s="3">
        <f t="shared" si="341"/>
        <v>60</v>
      </c>
      <c r="E1129" s="3">
        <f t="shared" si="341"/>
        <v>60</v>
      </c>
      <c r="F1129">
        <v>2016</v>
      </c>
      <c r="G1129">
        <f t="shared" si="320"/>
        <v>9</v>
      </c>
      <c r="H1129">
        <f t="shared" si="336"/>
        <v>0.22444444444444445</v>
      </c>
      <c r="J1129">
        <f t="shared" si="337"/>
        <v>10</v>
      </c>
      <c r="K1129">
        <v>0</v>
      </c>
      <c r="L1129">
        <v>82</v>
      </c>
      <c r="M1129" s="12">
        <f t="shared" si="342"/>
        <v>0.22406913580246909</v>
      </c>
      <c r="N1129">
        <f t="shared" si="338"/>
        <v>0.14968939033961928</v>
      </c>
      <c r="O1129">
        <f t="shared" si="339"/>
        <v>0.47335941503520251</v>
      </c>
      <c r="P1129" t="s">
        <v>1150</v>
      </c>
      <c r="Q1129" t="s">
        <v>1163</v>
      </c>
      <c r="R1129">
        <v>0</v>
      </c>
      <c r="S1129">
        <v>0</v>
      </c>
      <c r="U1129">
        <v>0</v>
      </c>
      <c r="V1129" t="s">
        <v>138</v>
      </c>
      <c r="W1129">
        <v>0</v>
      </c>
      <c r="Y1129">
        <v>2016</v>
      </c>
      <c r="Z1129">
        <f>2025-AVERAGE($Y$1125:$Y$1134)</f>
        <v>9</v>
      </c>
      <c r="AB1129">
        <v>1E-3</v>
      </c>
      <c r="AD1129" s="3">
        <v>-0.49</v>
      </c>
      <c r="AE1129">
        <v>1</v>
      </c>
      <c r="AF1129" t="str">
        <f t="shared" si="340"/>
        <v>US</v>
      </c>
      <c r="AG1129">
        <v>3</v>
      </c>
      <c r="AH1129" t="s">
        <v>261</v>
      </c>
      <c r="AI1129">
        <f t="shared" si="343"/>
        <v>2.9</v>
      </c>
      <c r="AK1129" t="s">
        <v>112</v>
      </c>
      <c r="AL1129">
        <v>96</v>
      </c>
      <c r="AN1129" t="s">
        <v>521</v>
      </c>
      <c r="AO1129">
        <v>2.089</v>
      </c>
    </row>
    <row r="1130" spans="1:41" ht="15.6">
      <c r="A1130">
        <v>27</v>
      </c>
      <c r="B1130" t="s">
        <v>1144</v>
      </c>
      <c r="C1130" t="s">
        <v>1145</v>
      </c>
      <c r="D1130" s="3">
        <f t="shared" si="341"/>
        <v>60</v>
      </c>
      <c r="E1130" s="3">
        <f t="shared" si="341"/>
        <v>60</v>
      </c>
      <c r="F1130">
        <v>2016</v>
      </c>
      <c r="G1130">
        <f t="shared" si="320"/>
        <v>9</v>
      </c>
      <c r="H1130">
        <f t="shared" si="336"/>
        <v>0.22444444444444445</v>
      </c>
      <c r="J1130">
        <f t="shared" si="337"/>
        <v>10</v>
      </c>
      <c r="K1130">
        <v>0</v>
      </c>
      <c r="L1130">
        <v>82</v>
      </c>
      <c r="M1130" s="12">
        <f t="shared" si="342"/>
        <v>0.22406913580246909</v>
      </c>
      <c r="N1130">
        <f t="shared" si="338"/>
        <v>0.14968939033961928</v>
      </c>
      <c r="O1130">
        <f t="shared" si="339"/>
        <v>0.47335941503520251</v>
      </c>
      <c r="P1130" t="s">
        <v>1151</v>
      </c>
      <c r="Q1130" t="s">
        <v>1163</v>
      </c>
      <c r="R1130">
        <v>0</v>
      </c>
      <c r="S1130">
        <v>0</v>
      </c>
      <c r="U1130">
        <v>0</v>
      </c>
      <c r="V1130" t="s">
        <v>138</v>
      </c>
      <c r="W1130">
        <v>0</v>
      </c>
      <c r="Y1130">
        <v>2016</v>
      </c>
      <c r="Z1130">
        <f>2025-AVERAGE($Y$1125:$Y$1134)</f>
        <v>9</v>
      </c>
      <c r="AB1130">
        <v>1E-3</v>
      </c>
      <c r="AD1130" s="3">
        <v>0.03</v>
      </c>
      <c r="AE1130">
        <v>1</v>
      </c>
      <c r="AF1130" t="str">
        <f t="shared" si="340"/>
        <v>US</v>
      </c>
      <c r="AG1130">
        <v>3</v>
      </c>
      <c r="AH1130" t="s">
        <v>261</v>
      </c>
      <c r="AI1130">
        <f t="shared" si="343"/>
        <v>2.9</v>
      </c>
      <c r="AK1130" t="s">
        <v>112</v>
      </c>
      <c r="AL1130">
        <v>96</v>
      </c>
      <c r="AN1130" t="s">
        <v>521</v>
      </c>
      <c r="AO1130">
        <v>2.089</v>
      </c>
    </row>
    <row r="1131" spans="1:41" ht="15.6">
      <c r="A1131">
        <v>27</v>
      </c>
      <c r="B1131" t="s">
        <v>1144</v>
      </c>
      <c r="C1131" t="s">
        <v>1145</v>
      </c>
      <c r="D1131" s="3">
        <f t="shared" si="341"/>
        <v>60</v>
      </c>
      <c r="E1131" s="3">
        <f t="shared" si="341"/>
        <v>60</v>
      </c>
      <c r="F1131">
        <v>2016</v>
      </c>
      <c r="G1131">
        <f t="shared" si="320"/>
        <v>9</v>
      </c>
      <c r="H1131">
        <f t="shared" si="336"/>
        <v>0.22444444444444445</v>
      </c>
      <c r="J1131">
        <f t="shared" si="337"/>
        <v>10</v>
      </c>
      <c r="K1131">
        <v>0</v>
      </c>
      <c r="L1131">
        <v>82</v>
      </c>
      <c r="M1131" s="12">
        <f t="shared" si="342"/>
        <v>0.22406913580246909</v>
      </c>
      <c r="N1131">
        <f t="shared" si="338"/>
        <v>0.14968939033961928</v>
      </c>
      <c r="O1131">
        <f t="shared" si="339"/>
        <v>0.47335941503520251</v>
      </c>
      <c r="P1131" t="s">
        <v>1152</v>
      </c>
      <c r="Q1131" t="s">
        <v>1163</v>
      </c>
      <c r="R1131">
        <v>0</v>
      </c>
      <c r="S1131">
        <v>0</v>
      </c>
      <c r="U1131">
        <v>0</v>
      </c>
      <c r="V1131" t="s">
        <v>138</v>
      </c>
      <c r="W1131">
        <v>0</v>
      </c>
      <c r="Y1131">
        <v>2016</v>
      </c>
      <c r="Z1131">
        <f>2025-AVERAGE($Y$1125:$Y$1134)</f>
        <v>9</v>
      </c>
      <c r="AB1131">
        <v>8.9999999999999998E-4</v>
      </c>
      <c r="AD1131" s="3">
        <v>-0.12</v>
      </c>
      <c r="AE1131">
        <v>1</v>
      </c>
      <c r="AF1131" t="str">
        <f t="shared" si="340"/>
        <v>US</v>
      </c>
      <c r="AG1131">
        <v>3</v>
      </c>
      <c r="AH1131" t="s">
        <v>261</v>
      </c>
      <c r="AI1131">
        <f t="shared" si="343"/>
        <v>2.9</v>
      </c>
      <c r="AK1131" t="s">
        <v>112</v>
      </c>
      <c r="AL1131">
        <v>96</v>
      </c>
      <c r="AN1131" t="s">
        <v>521</v>
      </c>
      <c r="AO1131">
        <v>2.089</v>
      </c>
    </row>
    <row r="1132" spans="1:41" ht="15.6">
      <c r="A1132">
        <v>27</v>
      </c>
      <c r="B1132" t="s">
        <v>1144</v>
      </c>
      <c r="C1132" t="s">
        <v>1145</v>
      </c>
      <c r="D1132" s="3">
        <f t="shared" si="341"/>
        <v>60</v>
      </c>
      <c r="E1132" s="3">
        <f t="shared" si="341"/>
        <v>60</v>
      </c>
      <c r="F1132">
        <v>2016</v>
      </c>
      <c r="G1132">
        <f t="shared" si="320"/>
        <v>9</v>
      </c>
      <c r="H1132">
        <f t="shared" si="336"/>
        <v>0.22444444444444445</v>
      </c>
      <c r="J1132">
        <f t="shared" si="337"/>
        <v>10</v>
      </c>
      <c r="K1132">
        <v>0</v>
      </c>
      <c r="L1132">
        <v>82</v>
      </c>
      <c r="M1132" s="12">
        <f t="shared" si="342"/>
        <v>0.22406913580246909</v>
      </c>
      <c r="N1132">
        <f t="shared" si="338"/>
        <v>0.14968939033961928</v>
      </c>
      <c r="O1132">
        <f t="shared" si="339"/>
        <v>0.47335941503520251</v>
      </c>
      <c r="P1132" t="s">
        <v>1153</v>
      </c>
      <c r="Q1132" t="s">
        <v>1163</v>
      </c>
      <c r="R1132">
        <v>0</v>
      </c>
      <c r="S1132">
        <v>0</v>
      </c>
      <c r="U1132">
        <v>0</v>
      </c>
      <c r="V1132" t="s">
        <v>138</v>
      </c>
      <c r="W1132">
        <v>0</v>
      </c>
      <c r="Y1132">
        <v>2016</v>
      </c>
      <c r="Z1132">
        <f>2025-AVERAGE($Y$1125:$Y$1134)</f>
        <v>9</v>
      </c>
      <c r="AB1132">
        <v>1E-3</v>
      </c>
      <c r="AD1132" s="3">
        <v>0.32</v>
      </c>
      <c r="AE1132">
        <v>1</v>
      </c>
      <c r="AF1132" t="str">
        <f t="shared" si="340"/>
        <v>US</v>
      </c>
      <c r="AG1132">
        <v>3</v>
      </c>
      <c r="AH1132" t="s">
        <v>261</v>
      </c>
      <c r="AI1132">
        <f t="shared" si="343"/>
        <v>2.9</v>
      </c>
      <c r="AK1132" t="s">
        <v>112</v>
      </c>
      <c r="AL1132">
        <v>96</v>
      </c>
      <c r="AN1132" t="s">
        <v>521</v>
      </c>
      <c r="AO1132">
        <v>2.089</v>
      </c>
    </row>
    <row r="1133" spans="1:41" ht="15.6">
      <c r="A1133">
        <v>27</v>
      </c>
      <c r="B1133" t="s">
        <v>1144</v>
      </c>
      <c r="C1133" t="s">
        <v>1145</v>
      </c>
      <c r="D1133" s="3">
        <f t="shared" si="341"/>
        <v>60</v>
      </c>
      <c r="E1133" s="3">
        <f t="shared" si="341"/>
        <v>60</v>
      </c>
      <c r="F1133">
        <v>2016</v>
      </c>
      <c r="G1133">
        <f t="shared" si="320"/>
        <v>9</v>
      </c>
      <c r="H1133">
        <f t="shared" si="336"/>
        <v>0.22444444444444445</v>
      </c>
      <c r="J1133">
        <f t="shared" si="337"/>
        <v>10</v>
      </c>
      <c r="K1133">
        <v>0</v>
      </c>
      <c r="L1133">
        <v>82</v>
      </c>
      <c r="M1133" s="12">
        <f t="shared" si="342"/>
        <v>0.22406913580246909</v>
      </c>
      <c r="N1133">
        <f t="shared" si="338"/>
        <v>0.14968939033961928</v>
      </c>
      <c r="O1133">
        <f t="shared" si="339"/>
        <v>0.47335941503520251</v>
      </c>
      <c r="P1133" t="s">
        <v>1154</v>
      </c>
      <c r="Q1133" t="s">
        <v>1163</v>
      </c>
      <c r="R1133">
        <v>0</v>
      </c>
      <c r="S1133">
        <v>0</v>
      </c>
      <c r="U1133">
        <v>0</v>
      </c>
      <c r="V1133" t="s">
        <v>138</v>
      </c>
      <c r="W1133">
        <v>0</v>
      </c>
      <c r="Y1133">
        <v>2016</v>
      </c>
      <c r="Z1133">
        <f>2025-AVERAGE($Y$1125:$Y$1134)</f>
        <v>9</v>
      </c>
      <c r="AA1133">
        <v>8.9999999999999998E-4</v>
      </c>
      <c r="AB1133">
        <v>8.9999999999999998E-4</v>
      </c>
      <c r="AC1133" s="5">
        <v>0.87</v>
      </c>
      <c r="AD1133" s="11">
        <v>0.9</v>
      </c>
      <c r="AE1133">
        <v>1</v>
      </c>
      <c r="AF1133" t="str">
        <f t="shared" si="340"/>
        <v>US</v>
      </c>
      <c r="AG1133">
        <v>2</v>
      </c>
      <c r="AH1133" t="s">
        <v>261</v>
      </c>
      <c r="AI1133">
        <f t="shared" si="343"/>
        <v>2.9</v>
      </c>
      <c r="AK1133" t="s">
        <v>112</v>
      </c>
      <c r="AL1133">
        <v>96</v>
      </c>
      <c r="AN1133" t="s">
        <v>521</v>
      </c>
      <c r="AO1133">
        <v>2.089</v>
      </c>
    </row>
    <row r="1134" spans="1:41" ht="15.6">
      <c r="A1134">
        <v>27</v>
      </c>
      <c r="B1134" t="s">
        <v>1144</v>
      </c>
      <c r="C1134" t="s">
        <v>1145</v>
      </c>
      <c r="D1134" s="3">
        <f t="shared" si="341"/>
        <v>60</v>
      </c>
      <c r="E1134" s="3">
        <f t="shared" si="341"/>
        <v>60</v>
      </c>
      <c r="F1134">
        <v>2016</v>
      </c>
      <c r="G1134">
        <f t="shared" si="320"/>
        <v>9</v>
      </c>
      <c r="H1134">
        <f>AVERAGE($AD$1125:$AD$1134)</f>
        <v>0.22444444444444445</v>
      </c>
      <c r="J1134">
        <f>COUNTA($Q$1125:$Q$1134)</f>
        <v>10</v>
      </c>
      <c r="K1134">
        <v>0</v>
      </c>
      <c r="L1134">
        <v>82</v>
      </c>
      <c r="M1134" s="12">
        <f>_xlfn.VAR.P($AD$1125:$AD$1134)</f>
        <v>0.22406913580246909</v>
      </c>
      <c r="N1134">
        <f t="shared" si="338"/>
        <v>0.14968939033961928</v>
      </c>
      <c r="O1134">
        <f>_xlfn.STDEV.P($AD$1125:$AD$1134)</f>
        <v>0.47335941503520251</v>
      </c>
      <c r="P1134" t="s">
        <v>1155</v>
      </c>
      <c r="Q1134" t="s">
        <v>1163</v>
      </c>
      <c r="R1134">
        <v>0</v>
      </c>
      <c r="S1134">
        <v>0</v>
      </c>
      <c r="U1134">
        <v>0</v>
      </c>
      <c r="V1134" t="s">
        <v>138</v>
      </c>
      <c r="W1134">
        <v>0</v>
      </c>
      <c r="Y1134">
        <v>2016</v>
      </c>
      <c r="Z1134">
        <f>2025-AVERAGE($Y$1125:$Y$1134)</f>
        <v>9</v>
      </c>
      <c r="AB1134" t="s">
        <v>261</v>
      </c>
      <c r="AD1134" s="3" t="s">
        <v>261</v>
      </c>
      <c r="AE1134">
        <v>1</v>
      </c>
      <c r="AF1134" t="str">
        <f t="shared" si="340"/>
        <v>US</v>
      </c>
      <c r="AG1134">
        <v>3</v>
      </c>
      <c r="AH1134" t="s">
        <v>261</v>
      </c>
      <c r="AI1134">
        <f t="shared" si="343"/>
        <v>2.9</v>
      </c>
      <c r="AK1134" t="s">
        <v>112</v>
      </c>
      <c r="AL1134">
        <v>96</v>
      </c>
      <c r="AN1134" t="s">
        <v>521</v>
      </c>
      <c r="AO1134">
        <v>2.089</v>
      </c>
    </row>
    <row r="1135" spans="1:41" ht="15.6">
      <c r="A1135">
        <v>28</v>
      </c>
      <c r="B1135" t="s">
        <v>1204</v>
      </c>
      <c r="C1135" t="s">
        <v>1205</v>
      </c>
      <c r="D1135" s="3">
        <v>54</v>
      </c>
      <c r="F1135">
        <v>2024</v>
      </c>
      <c r="G1135">
        <f t="shared" si="320"/>
        <v>1</v>
      </c>
      <c r="H1135">
        <f>AVERAGE($AD$1135:$AD$1175)</f>
        <v>0.25339999999999996</v>
      </c>
      <c r="J1135">
        <f>COUNTA($B$1135:$B$1175)</f>
        <v>41</v>
      </c>
      <c r="L1135">
        <v>22</v>
      </c>
      <c r="M1135" s="12">
        <f>_xlfn.VAR.P($AD$1135:$AD$1175)</f>
        <v>0.12266863923076926</v>
      </c>
      <c r="N1135">
        <f>$O$1135/SQRT($J$1135)</f>
        <v>5.4698428039741349E-2</v>
      </c>
      <c r="O1135">
        <f>_xlfn.STDEV.P($AD$1135:$AD$1175)</f>
        <v>0.35024083033074438</v>
      </c>
      <c r="P1135" t="s">
        <v>1206</v>
      </c>
      <c r="Q1135" t="s">
        <v>483</v>
      </c>
      <c r="R1135">
        <f>IF(Y1135=2015, 6.814, IF(Y1135=2016, 6.576, IF(Y1135=2017, 6.092, IF(Y1135=2018, 5.601, ""))))</f>
        <v>6.8140000000000001</v>
      </c>
      <c r="S1135">
        <f>AVERAGE($R$1135:$R$1175)</f>
        <v>6.2847073170731722</v>
      </c>
      <c r="Y1135" s="14">
        <f>VALUE(MID(P1135,SEARCH("(",P1135)+1,4))</f>
        <v>2015</v>
      </c>
      <c r="Z1135" s="14">
        <f>2025-AVERAGE($Y$1135:$Y$1175)</f>
        <v>8.5121951219512084</v>
      </c>
      <c r="AC1135">
        <v>0.36509999999999998</v>
      </c>
      <c r="AD1135">
        <v>2.7300000000000001E-2</v>
      </c>
      <c r="AN1135" t="s">
        <v>185</v>
      </c>
      <c r="AO1135">
        <v>6.0970000000000004</v>
      </c>
    </row>
    <row r="1136" spans="1:41" ht="15.6">
      <c r="A1136">
        <v>28</v>
      </c>
      <c r="B1136" t="s">
        <v>1204</v>
      </c>
      <c r="C1136" t="s">
        <v>1205</v>
      </c>
      <c r="D1136" s="3">
        <v>54</v>
      </c>
      <c r="F1136">
        <v>2024</v>
      </c>
      <c r="G1136">
        <f t="shared" si="320"/>
        <v>1</v>
      </c>
      <c r="H1136">
        <f t="shared" ref="H1136:H1175" si="344">AVERAGE($AD$1135:$AD$1175)</f>
        <v>0.25339999999999996</v>
      </c>
      <c r="J1136">
        <f t="shared" ref="J1136:J1175" si="345">COUNTA($B$1135:$B$1175)</f>
        <v>41</v>
      </c>
      <c r="L1136">
        <v>22</v>
      </c>
      <c r="M1136" s="12">
        <f t="shared" ref="M1136:M1175" si="346">_xlfn.VAR.P($AD$1135:$AD$1175)</f>
        <v>0.12266863923076926</v>
      </c>
      <c r="N1136">
        <f t="shared" ref="N1136:N1175" si="347">$O$1135/SQRT($J$1135)</f>
        <v>5.4698428039741349E-2</v>
      </c>
      <c r="O1136">
        <f t="shared" ref="O1136:O1175" si="348">_xlfn.STDEV.P($AD$1135:$AD$1175)</f>
        <v>0.35024083033074438</v>
      </c>
      <c r="P1136" t="s">
        <v>1207</v>
      </c>
      <c r="Q1136" t="s">
        <v>483</v>
      </c>
      <c r="R1136">
        <f t="shared" ref="R1136:R1192" si="349">IF(Y1136=2015, 6.814, IF(Y1136=2016, 6.576, IF(Y1136=2017, 6.092, IF(Y1136=2018, 5.601, ""))))</f>
        <v>5.601</v>
      </c>
      <c r="S1136">
        <f t="shared" ref="S1136:S1175" si="350">AVERAGE($R$1135:$R$1175)</f>
        <v>6.2847073170731722</v>
      </c>
      <c r="Y1136" s="14">
        <f t="shared" ref="Y1136:Y1199" si="351">VALUE(MID(P1136,SEARCH("(",P1136)+1,4))</f>
        <v>2018</v>
      </c>
      <c r="Z1136" s="14">
        <f>2025-AVERAGE($Y$1135:$Y$1175)</f>
        <v>8.5121951219512084</v>
      </c>
      <c r="AC1136">
        <v>9.1200000000000003E-2</v>
      </c>
      <c r="AD1136">
        <v>8.8000000000000005E-3</v>
      </c>
      <c r="AN1136" t="s">
        <v>185</v>
      </c>
      <c r="AO1136">
        <v>6.0970000000000004</v>
      </c>
    </row>
    <row r="1137" spans="1:41" ht="15.6">
      <c r="A1137">
        <v>28</v>
      </c>
      <c r="B1137" t="s">
        <v>1204</v>
      </c>
      <c r="C1137" t="s">
        <v>1205</v>
      </c>
      <c r="D1137" s="3">
        <v>54</v>
      </c>
      <c r="F1137">
        <v>2024</v>
      </c>
      <c r="G1137">
        <f t="shared" si="320"/>
        <v>1</v>
      </c>
      <c r="H1137">
        <f t="shared" si="344"/>
        <v>0.25339999999999996</v>
      </c>
      <c r="J1137">
        <f t="shared" si="345"/>
        <v>41</v>
      </c>
      <c r="L1137">
        <v>22</v>
      </c>
      <c r="M1137" s="12">
        <f t="shared" si="346"/>
        <v>0.12266863923076926</v>
      </c>
      <c r="N1137">
        <f t="shared" si="347"/>
        <v>5.4698428039741349E-2</v>
      </c>
      <c r="O1137">
        <f t="shared" si="348"/>
        <v>0.35024083033074438</v>
      </c>
      <c r="P1137" t="s">
        <v>1208</v>
      </c>
      <c r="Q1137" t="s">
        <v>483</v>
      </c>
      <c r="R1137">
        <f t="shared" si="349"/>
        <v>6.5759999999999996</v>
      </c>
      <c r="S1137">
        <f t="shared" si="350"/>
        <v>6.2847073170731722</v>
      </c>
      <c r="Y1137" s="14">
        <f t="shared" si="351"/>
        <v>2016</v>
      </c>
      <c r="Z1137" s="14">
        <f>2025-AVERAGE($Y$1135:$Y$1175)</f>
        <v>8.5121951219512084</v>
      </c>
      <c r="AC1137">
        <v>0.62790000000000001</v>
      </c>
      <c r="AD1137">
        <v>4.8899999999999999E-2</v>
      </c>
      <c r="AN1137" t="s">
        <v>185</v>
      </c>
      <c r="AO1137">
        <v>6.0970000000000004</v>
      </c>
    </row>
    <row r="1138" spans="1:41" ht="15.6">
      <c r="A1138">
        <v>28</v>
      </c>
      <c r="B1138" t="s">
        <v>1204</v>
      </c>
      <c r="C1138" t="s">
        <v>1205</v>
      </c>
      <c r="D1138" s="3">
        <v>54</v>
      </c>
      <c r="F1138">
        <v>2024</v>
      </c>
      <c r="G1138">
        <f t="shared" si="320"/>
        <v>1</v>
      </c>
      <c r="H1138">
        <f t="shared" si="344"/>
        <v>0.25339999999999996</v>
      </c>
      <c r="J1138">
        <f t="shared" si="345"/>
        <v>41</v>
      </c>
      <c r="L1138">
        <v>22</v>
      </c>
      <c r="M1138" s="12">
        <f t="shared" si="346"/>
        <v>0.12266863923076926</v>
      </c>
      <c r="N1138">
        <f t="shared" si="347"/>
        <v>5.4698428039741349E-2</v>
      </c>
      <c r="O1138">
        <f t="shared" si="348"/>
        <v>0.35024083033074438</v>
      </c>
      <c r="P1138" t="s">
        <v>1209</v>
      </c>
      <c r="Q1138" t="s">
        <v>483</v>
      </c>
      <c r="R1138">
        <f t="shared" si="349"/>
        <v>6.0919999999999996</v>
      </c>
      <c r="S1138">
        <f t="shared" si="350"/>
        <v>6.2847073170731722</v>
      </c>
      <c r="Y1138" s="14">
        <f t="shared" si="351"/>
        <v>2017</v>
      </c>
      <c r="Z1138" s="14">
        <f>2025-AVERAGE($Y$1135:$Y$1175)</f>
        <v>8.5121951219512084</v>
      </c>
      <c r="AC1138">
        <v>0.1865</v>
      </c>
      <c r="AD1138"/>
      <c r="AN1138" t="s">
        <v>185</v>
      </c>
      <c r="AO1138">
        <v>6.0970000000000004</v>
      </c>
    </row>
    <row r="1139" spans="1:41" ht="15.6">
      <c r="A1139">
        <v>28</v>
      </c>
      <c r="B1139" t="s">
        <v>1204</v>
      </c>
      <c r="C1139" t="s">
        <v>1205</v>
      </c>
      <c r="D1139" s="3">
        <v>54</v>
      </c>
      <c r="F1139">
        <v>2024</v>
      </c>
      <c r="G1139">
        <f t="shared" si="320"/>
        <v>1</v>
      </c>
      <c r="H1139">
        <f t="shared" si="344"/>
        <v>0.25339999999999996</v>
      </c>
      <c r="J1139">
        <f t="shared" si="345"/>
        <v>41</v>
      </c>
      <c r="L1139">
        <v>22</v>
      </c>
      <c r="M1139" s="12">
        <f t="shared" si="346"/>
        <v>0.12266863923076926</v>
      </c>
      <c r="N1139">
        <f t="shared" si="347"/>
        <v>5.4698428039741349E-2</v>
      </c>
      <c r="O1139">
        <f t="shared" si="348"/>
        <v>0.35024083033074438</v>
      </c>
      <c r="P1139" t="s">
        <v>1210</v>
      </c>
      <c r="Q1139" t="s">
        <v>483</v>
      </c>
      <c r="R1139">
        <f t="shared" si="349"/>
        <v>5.601</v>
      </c>
      <c r="S1139">
        <f t="shared" si="350"/>
        <v>6.2847073170731722</v>
      </c>
      <c r="Y1139" s="14">
        <f t="shared" si="351"/>
        <v>2018</v>
      </c>
      <c r="Z1139" s="14">
        <f>2025-AVERAGE($Y$1135:$Y$1175)</f>
        <v>8.5121951219512084</v>
      </c>
      <c r="AC1139">
        <v>0.66610000000000003</v>
      </c>
      <c r="AD1139">
        <v>0.82930000000000004</v>
      </c>
      <c r="AN1139" t="s">
        <v>185</v>
      </c>
      <c r="AO1139">
        <v>6.0970000000000004</v>
      </c>
    </row>
    <row r="1140" spans="1:41" ht="15.6">
      <c r="A1140">
        <v>28</v>
      </c>
      <c r="B1140" t="s">
        <v>1204</v>
      </c>
      <c r="C1140" t="s">
        <v>1205</v>
      </c>
      <c r="D1140" s="3">
        <v>54</v>
      </c>
      <c r="F1140">
        <v>2024</v>
      </c>
      <c r="G1140">
        <f t="shared" si="320"/>
        <v>1</v>
      </c>
      <c r="H1140">
        <f t="shared" si="344"/>
        <v>0.25339999999999996</v>
      </c>
      <c r="J1140">
        <f t="shared" si="345"/>
        <v>41</v>
      </c>
      <c r="L1140">
        <v>22</v>
      </c>
      <c r="M1140" s="12">
        <f t="shared" si="346"/>
        <v>0.12266863923076926</v>
      </c>
      <c r="N1140">
        <f t="shared" si="347"/>
        <v>5.4698428039741349E-2</v>
      </c>
      <c r="O1140">
        <f t="shared" si="348"/>
        <v>0.35024083033074438</v>
      </c>
      <c r="P1140" t="s">
        <v>1211</v>
      </c>
      <c r="Q1140" t="s">
        <v>483</v>
      </c>
      <c r="R1140">
        <f t="shared" si="349"/>
        <v>6.5759999999999996</v>
      </c>
      <c r="S1140">
        <f t="shared" si="350"/>
        <v>6.2847073170731722</v>
      </c>
      <c r="Y1140" s="14">
        <f t="shared" si="351"/>
        <v>2016</v>
      </c>
      <c r="Z1140" s="14">
        <f>2025-AVERAGE($Y$1135:$Y$1175)</f>
        <v>8.5121951219512084</v>
      </c>
      <c r="AC1140">
        <v>0.3246</v>
      </c>
      <c r="AD1140"/>
      <c r="AN1140" t="s">
        <v>185</v>
      </c>
      <c r="AO1140">
        <v>6.0970000000000004</v>
      </c>
    </row>
    <row r="1141" spans="1:41" ht="15.6">
      <c r="A1141">
        <v>28</v>
      </c>
      <c r="B1141" t="s">
        <v>1204</v>
      </c>
      <c r="C1141" t="s">
        <v>1205</v>
      </c>
      <c r="D1141" s="3">
        <v>54</v>
      </c>
      <c r="F1141">
        <v>2024</v>
      </c>
      <c r="G1141">
        <f t="shared" si="320"/>
        <v>1</v>
      </c>
      <c r="H1141">
        <f t="shared" si="344"/>
        <v>0.25339999999999996</v>
      </c>
      <c r="J1141">
        <f t="shared" si="345"/>
        <v>41</v>
      </c>
      <c r="L1141">
        <v>22</v>
      </c>
      <c r="M1141" s="12">
        <f t="shared" si="346"/>
        <v>0.12266863923076926</v>
      </c>
      <c r="N1141">
        <f t="shared" si="347"/>
        <v>5.4698428039741349E-2</v>
      </c>
      <c r="O1141">
        <f t="shared" si="348"/>
        <v>0.35024083033074438</v>
      </c>
      <c r="P1141" t="s">
        <v>1212</v>
      </c>
      <c r="Q1141" t="s">
        <v>483</v>
      </c>
      <c r="R1141">
        <f t="shared" si="349"/>
        <v>6.0919999999999996</v>
      </c>
      <c r="S1141">
        <f t="shared" si="350"/>
        <v>6.2847073170731722</v>
      </c>
      <c r="Y1141" s="14">
        <f t="shared" si="351"/>
        <v>2017</v>
      </c>
      <c r="Z1141" s="14">
        <f>2025-AVERAGE($Y$1135:$Y$1175)</f>
        <v>8.5121951219512084</v>
      </c>
      <c r="AC1141">
        <v>0.28389999999999999</v>
      </c>
      <c r="AD1141"/>
      <c r="AN1141" t="s">
        <v>185</v>
      </c>
      <c r="AO1141">
        <v>6.0970000000000004</v>
      </c>
    </row>
    <row r="1142" spans="1:41" ht="15.6">
      <c r="A1142">
        <v>28</v>
      </c>
      <c r="B1142" t="s">
        <v>1204</v>
      </c>
      <c r="C1142" t="s">
        <v>1205</v>
      </c>
      <c r="D1142" s="3">
        <v>54</v>
      </c>
      <c r="F1142">
        <v>2024</v>
      </c>
      <c r="G1142">
        <f t="shared" si="320"/>
        <v>1</v>
      </c>
      <c r="H1142">
        <f t="shared" si="344"/>
        <v>0.25339999999999996</v>
      </c>
      <c r="J1142">
        <f t="shared" si="345"/>
        <v>41</v>
      </c>
      <c r="L1142">
        <v>22</v>
      </c>
      <c r="M1142" s="12">
        <f t="shared" si="346"/>
        <v>0.12266863923076926</v>
      </c>
      <c r="N1142">
        <f t="shared" si="347"/>
        <v>5.4698428039741349E-2</v>
      </c>
      <c r="O1142">
        <f t="shared" si="348"/>
        <v>0.35024083033074438</v>
      </c>
      <c r="P1142" t="s">
        <v>1213</v>
      </c>
      <c r="Q1142" t="s">
        <v>483</v>
      </c>
      <c r="R1142">
        <f t="shared" si="349"/>
        <v>6.0919999999999996</v>
      </c>
      <c r="S1142">
        <f t="shared" si="350"/>
        <v>6.2847073170731722</v>
      </c>
      <c r="Y1142" s="14">
        <f t="shared" si="351"/>
        <v>2017</v>
      </c>
      <c r="Z1142" s="14">
        <f>2025-AVERAGE($Y$1135:$Y$1175)</f>
        <v>8.5121951219512084</v>
      </c>
      <c r="AC1142">
        <v>0.20430000000000001</v>
      </c>
      <c r="AD1142">
        <v>0.1043</v>
      </c>
      <c r="AN1142" t="s">
        <v>185</v>
      </c>
      <c r="AO1142">
        <v>6.0970000000000004</v>
      </c>
    </row>
    <row r="1143" spans="1:41" ht="15.6">
      <c r="A1143">
        <v>28</v>
      </c>
      <c r="B1143" t="s">
        <v>1204</v>
      </c>
      <c r="C1143" t="s">
        <v>1205</v>
      </c>
      <c r="D1143" s="3">
        <v>54</v>
      </c>
      <c r="F1143">
        <v>2024</v>
      </c>
      <c r="G1143">
        <f t="shared" si="320"/>
        <v>1</v>
      </c>
      <c r="H1143">
        <f t="shared" si="344"/>
        <v>0.25339999999999996</v>
      </c>
      <c r="J1143">
        <f t="shared" si="345"/>
        <v>41</v>
      </c>
      <c r="L1143">
        <v>22</v>
      </c>
      <c r="M1143" s="12">
        <f t="shared" si="346"/>
        <v>0.12266863923076926</v>
      </c>
      <c r="N1143">
        <f t="shared" si="347"/>
        <v>5.4698428039741349E-2</v>
      </c>
      <c r="O1143">
        <f t="shared" si="348"/>
        <v>0.35024083033074438</v>
      </c>
      <c r="P1143" t="s">
        <v>1214</v>
      </c>
      <c r="Q1143" t="s">
        <v>483</v>
      </c>
      <c r="R1143">
        <f t="shared" si="349"/>
        <v>6.5759999999999996</v>
      </c>
      <c r="S1143">
        <f t="shared" si="350"/>
        <v>6.2847073170731722</v>
      </c>
      <c r="Y1143" s="14">
        <f t="shared" si="351"/>
        <v>2016</v>
      </c>
      <c r="Z1143" s="14">
        <f>2025-AVERAGE($Y$1135:$Y$1175)</f>
        <v>8.5121951219512084</v>
      </c>
      <c r="AC1143">
        <v>0.32040000000000002</v>
      </c>
      <c r="AD1143">
        <v>-5.4399999999999997E-2</v>
      </c>
      <c r="AN1143" t="s">
        <v>185</v>
      </c>
      <c r="AO1143">
        <v>6.0970000000000004</v>
      </c>
    </row>
    <row r="1144" spans="1:41" ht="15.6">
      <c r="A1144">
        <v>28</v>
      </c>
      <c r="B1144" t="s">
        <v>1204</v>
      </c>
      <c r="C1144" t="s">
        <v>1205</v>
      </c>
      <c r="D1144" s="3">
        <v>54</v>
      </c>
      <c r="F1144">
        <v>2024</v>
      </c>
      <c r="G1144">
        <f t="shared" si="320"/>
        <v>1</v>
      </c>
      <c r="H1144">
        <f t="shared" si="344"/>
        <v>0.25339999999999996</v>
      </c>
      <c r="J1144">
        <f t="shared" si="345"/>
        <v>41</v>
      </c>
      <c r="L1144">
        <v>22</v>
      </c>
      <c r="M1144" s="12">
        <f t="shared" si="346"/>
        <v>0.12266863923076926</v>
      </c>
      <c r="N1144">
        <f t="shared" si="347"/>
        <v>5.4698428039741349E-2</v>
      </c>
      <c r="O1144">
        <f t="shared" si="348"/>
        <v>0.35024083033074438</v>
      </c>
      <c r="P1144" t="s">
        <v>1215</v>
      </c>
      <c r="Q1144" t="s">
        <v>483</v>
      </c>
      <c r="R1144">
        <f t="shared" si="349"/>
        <v>6.8140000000000001</v>
      </c>
      <c r="S1144">
        <f t="shared" si="350"/>
        <v>6.2847073170731722</v>
      </c>
      <c r="Y1144" s="14">
        <f t="shared" si="351"/>
        <v>2015</v>
      </c>
      <c r="Z1144" s="14">
        <f>2025-AVERAGE($Y$1135:$Y$1175)</f>
        <v>8.5121951219512084</v>
      </c>
      <c r="AC1144">
        <v>1.1189</v>
      </c>
      <c r="AD1144"/>
      <c r="AN1144" t="s">
        <v>185</v>
      </c>
      <c r="AO1144">
        <v>6.0970000000000004</v>
      </c>
    </row>
    <row r="1145" spans="1:41" ht="15.6">
      <c r="A1145">
        <v>28</v>
      </c>
      <c r="B1145" t="s">
        <v>1204</v>
      </c>
      <c r="C1145" t="s">
        <v>1205</v>
      </c>
      <c r="D1145" s="3">
        <v>54</v>
      </c>
      <c r="F1145">
        <v>2024</v>
      </c>
      <c r="G1145">
        <f t="shared" si="320"/>
        <v>1</v>
      </c>
      <c r="H1145">
        <f t="shared" si="344"/>
        <v>0.25339999999999996</v>
      </c>
      <c r="J1145">
        <f t="shared" si="345"/>
        <v>41</v>
      </c>
      <c r="L1145">
        <v>22</v>
      </c>
      <c r="M1145" s="12">
        <f t="shared" si="346"/>
        <v>0.12266863923076926</v>
      </c>
      <c r="N1145">
        <f t="shared" si="347"/>
        <v>5.4698428039741349E-2</v>
      </c>
      <c r="O1145">
        <f t="shared" si="348"/>
        <v>0.35024083033074438</v>
      </c>
      <c r="P1145" t="s">
        <v>1216</v>
      </c>
      <c r="Q1145" t="s">
        <v>483</v>
      </c>
      <c r="R1145">
        <f t="shared" si="349"/>
        <v>6.5759999999999996</v>
      </c>
      <c r="S1145">
        <f t="shared" si="350"/>
        <v>6.2847073170731722</v>
      </c>
      <c r="Y1145" s="14">
        <f t="shared" si="351"/>
        <v>2016</v>
      </c>
      <c r="Z1145" s="14">
        <f>2025-AVERAGE($Y$1135:$Y$1175)</f>
        <v>8.5121951219512084</v>
      </c>
      <c r="AC1145">
        <v>0.67220000000000002</v>
      </c>
      <c r="AD1145">
        <v>0.24360000000000001</v>
      </c>
      <c r="AN1145" t="s">
        <v>185</v>
      </c>
      <c r="AO1145">
        <v>6.0970000000000004</v>
      </c>
    </row>
    <row r="1146" spans="1:41" ht="15.6">
      <c r="A1146">
        <v>28</v>
      </c>
      <c r="B1146" t="s">
        <v>1204</v>
      </c>
      <c r="C1146" t="s">
        <v>1205</v>
      </c>
      <c r="D1146" s="3">
        <v>54</v>
      </c>
      <c r="F1146">
        <v>2024</v>
      </c>
      <c r="G1146">
        <f t="shared" si="320"/>
        <v>1</v>
      </c>
      <c r="H1146">
        <f t="shared" si="344"/>
        <v>0.25339999999999996</v>
      </c>
      <c r="J1146">
        <f t="shared" si="345"/>
        <v>41</v>
      </c>
      <c r="L1146">
        <v>22</v>
      </c>
      <c r="M1146" s="12">
        <f t="shared" si="346"/>
        <v>0.12266863923076926</v>
      </c>
      <c r="N1146">
        <f t="shared" si="347"/>
        <v>5.4698428039741349E-2</v>
      </c>
      <c r="O1146">
        <f t="shared" si="348"/>
        <v>0.35024083033074438</v>
      </c>
      <c r="P1146" t="s">
        <v>1217</v>
      </c>
      <c r="Q1146" t="s">
        <v>483</v>
      </c>
      <c r="R1146">
        <f t="shared" si="349"/>
        <v>6.8140000000000001</v>
      </c>
      <c r="S1146">
        <f t="shared" si="350"/>
        <v>6.2847073170731722</v>
      </c>
      <c r="Y1146" s="14">
        <f t="shared" si="351"/>
        <v>2015</v>
      </c>
      <c r="Z1146" s="14">
        <f>2025-AVERAGE($Y$1135:$Y$1175)</f>
        <v>8.5121951219512084</v>
      </c>
      <c r="AC1146">
        <v>0.3241</v>
      </c>
      <c r="AD1146">
        <v>-1.3299999999999999E-2</v>
      </c>
      <c r="AN1146" t="s">
        <v>185</v>
      </c>
      <c r="AO1146">
        <v>6.0970000000000004</v>
      </c>
    </row>
    <row r="1147" spans="1:41" ht="15.6">
      <c r="A1147">
        <v>28</v>
      </c>
      <c r="B1147" t="s">
        <v>1204</v>
      </c>
      <c r="C1147" t="s">
        <v>1205</v>
      </c>
      <c r="D1147" s="3">
        <v>54</v>
      </c>
      <c r="F1147">
        <v>2024</v>
      </c>
      <c r="G1147">
        <f t="shared" si="320"/>
        <v>1</v>
      </c>
      <c r="H1147">
        <f t="shared" si="344"/>
        <v>0.25339999999999996</v>
      </c>
      <c r="J1147">
        <f t="shared" si="345"/>
        <v>41</v>
      </c>
      <c r="L1147">
        <v>22</v>
      </c>
      <c r="M1147" s="12">
        <f t="shared" si="346"/>
        <v>0.12266863923076926</v>
      </c>
      <c r="N1147">
        <f t="shared" si="347"/>
        <v>5.4698428039741349E-2</v>
      </c>
      <c r="O1147">
        <f t="shared" si="348"/>
        <v>0.35024083033074438</v>
      </c>
      <c r="P1147" t="s">
        <v>1218</v>
      </c>
      <c r="Q1147" t="s">
        <v>483</v>
      </c>
      <c r="R1147">
        <f t="shared" si="349"/>
        <v>5.601</v>
      </c>
      <c r="S1147">
        <f t="shared" si="350"/>
        <v>6.2847073170731722</v>
      </c>
      <c r="Y1147" s="14">
        <f t="shared" si="351"/>
        <v>2018</v>
      </c>
      <c r="Z1147" s="14">
        <f>2025-AVERAGE($Y$1135:$Y$1175)</f>
        <v>8.5121951219512084</v>
      </c>
      <c r="AC1147">
        <v>0.47610000000000002</v>
      </c>
      <c r="AD1147"/>
      <c r="AN1147" t="s">
        <v>185</v>
      </c>
      <c r="AO1147">
        <v>6.0970000000000004</v>
      </c>
    </row>
    <row r="1148" spans="1:41" ht="15.6">
      <c r="A1148">
        <v>28</v>
      </c>
      <c r="B1148" t="s">
        <v>1204</v>
      </c>
      <c r="C1148" t="s">
        <v>1205</v>
      </c>
      <c r="D1148" s="3">
        <v>54</v>
      </c>
      <c r="F1148">
        <v>2024</v>
      </c>
      <c r="G1148">
        <f t="shared" si="320"/>
        <v>1</v>
      </c>
      <c r="H1148">
        <f t="shared" si="344"/>
        <v>0.25339999999999996</v>
      </c>
      <c r="J1148">
        <f t="shared" si="345"/>
        <v>41</v>
      </c>
      <c r="L1148">
        <v>22</v>
      </c>
      <c r="M1148" s="12">
        <f t="shared" si="346"/>
        <v>0.12266863923076926</v>
      </c>
      <c r="N1148">
        <f t="shared" si="347"/>
        <v>5.4698428039741349E-2</v>
      </c>
      <c r="O1148">
        <f t="shared" si="348"/>
        <v>0.35024083033074438</v>
      </c>
      <c r="P1148" t="s">
        <v>1219</v>
      </c>
      <c r="Q1148" t="s">
        <v>483</v>
      </c>
      <c r="R1148">
        <f t="shared" si="349"/>
        <v>6.0919999999999996</v>
      </c>
      <c r="S1148">
        <f t="shared" si="350"/>
        <v>6.2847073170731722</v>
      </c>
      <c r="Y1148" s="14">
        <f t="shared" si="351"/>
        <v>2017</v>
      </c>
      <c r="Z1148" s="14">
        <f>2025-AVERAGE($Y$1135:$Y$1175)</f>
        <v>8.5121951219512084</v>
      </c>
      <c r="AC1148">
        <v>0.18709999999999999</v>
      </c>
      <c r="AD1148">
        <v>0.13750000000000001</v>
      </c>
      <c r="AN1148" t="s">
        <v>185</v>
      </c>
      <c r="AO1148">
        <v>6.0970000000000004</v>
      </c>
    </row>
    <row r="1149" spans="1:41" ht="15.6">
      <c r="A1149">
        <v>28</v>
      </c>
      <c r="B1149" t="s">
        <v>1204</v>
      </c>
      <c r="C1149" t="s">
        <v>1205</v>
      </c>
      <c r="D1149" s="3">
        <v>54</v>
      </c>
      <c r="F1149">
        <v>2024</v>
      </c>
      <c r="G1149">
        <f t="shared" si="320"/>
        <v>1</v>
      </c>
      <c r="H1149">
        <f t="shared" si="344"/>
        <v>0.25339999999999996</v>
      </c>
      <c r="J1149">
        <f t="shared" si="345"/>
        <v>41</v>
      </c>
      <c r="L1149">
        <v>22</v>
      </c>
      <c r="M1149" s="12">
        <f t="shared" si="346"/>
        <v>0.12266863923076926</v>
      </c>
      <c r="N1149">
        <f t="shared" si="347"/>
        <v>5.4698428039741349E-2</v>
      </c>
      <c r="O1149">
        <f t="shared" si="348"/>
        <v>0.35024083033074438</v>
      </c>
      <c r="P1149" t="s">
        <v>1220</v>
      </c>
      <c r="Q1149" t="s">
        <v>483</v>
      </c>
      <c r="R1149">
        <f t="shared" si="349"/>
        <v>6.0919999999999996</v>
      </c>
      <c r="S1149">
        <f t="shared" si="350"/>
        <v>6.2847073170731722</v>
      </c>
      <c r="Y1149" s="14">
        <f t="shared" si="351"/>
        <v>2017</v>
      </c>
      <c r="Z1149" s="14">
        <f>2025-AVERAGE($Y$1135:$Y$1175)</f>
        <v>8.5121951219512084</v>
      </c>
      <c r="AC1149">
        <v>0.1065</v>
      </c>
      <c r="AD1149">
        <v>0.14499999999999999</v>
      </c>
      <c r="AN1149" t="s">
        <v>185</v>
      </c>
      <c r="AO1149">
        <v>6.0970000000000004</v>
      </c>
    </row>
    <row r="1150" spans="1:41" ht="15.6">
      <c r="A1150">
        <v>28</v>
      </c>
      <c r="B1150" t="s">
        <v>1204</v>
      </c>
      <c r="C1150" t="s">
        <v>1205</v>
      </c>
      <c r="D1150" s="3">
        <v>54</v>
      </c>
      <c r="F1150">
        <v>2024</v>
      </c>
      <c r="G1150">
        <f t="shared" si="320"/>
        <v>1</v>
      </c>
      <c r="H1150">
        <f t="shared" si="344"/>
        <v>0.25339999999999996</v>
      </c>
      <c r="J1150">
        <f t="shared" si="345"/>
        <v>41</v>
      </c>
      <c r="L1150">
        <v>22</v>
      </c>
      <c r="M1150" s="12">
        <f t="shared" si="346"/>
        <v>0.12266863923076926</v>
      </c>
      <c r="N1150">
        <f t="shared" si="347"/>
        <v>5.4698428039741349E-2</v>
      </c>
      <c r="O1150">
        <f t="shared" si="348"/>
        <v>0.35024083033074438</v>
      </c>
      <c r="P1150" t="s">
        <v>1221</v>
      </c>
      <c r="Q1150" t="s">
        <v>483</v>
      </c>
      <c r="R1150">
        <f t="shared" si="349"/>
        <v>5.601</v>
      </c>
      <c r="S1150">
        <f t="shared" si="350"/>
        <v>6.2847073170731722</v>
      </c>
      <c r="Y1150" s="14">
        <f t="shared" si="351"/>
        <v>2018</v>
      </c>
      <c r="Z1150" s="14">
        <f>2025-AVERAGE($Y$1135:$Y$1175)</f>
        <v>8.5121951219512084</v>
      </c>
      <c r="AC1150">
        <v>1.3092999999999999</v>
      </c>
      <c r="AD1150">
        <v>-6.7900000000000002E-2</v>
      </c>
      <c r="AN1150" t="s">
        <v>185</v>
      </c>
      <c r="AO1150">
        <v>6.0970000000000004</v>
      </c>
    </row>
    <row r="1151" spans="1:41" ht="15.6">
      <c r="A1151">
        <v>28</v>
      </c>
      <c r="B1151" t="s">
        <v>1204</v>
      </c>
      <c r="C1151" t="s">
        <v>1205</v>
      </c>
      <c r="D1151" s="3">
        <v>54</v>
      </c>
      <c r="F1151">
        <v>2024</v>
      </c>
      <c r="G1151">
        <f t="shared" si="320"/>
        <v>1</v>
      </c>
      <c r="H1151">
        <f t="shared" si="344"/>
        <v>0.25339999999999996</v>
      </c>
      <c r="J1151">
        <f t="shared" si="345"/>
        <v>41</v>
      </c>
      <c r="L1151">
        <v>22</v>
      </c>
      <c r="M1151" s="12">
        <f t="shared" si="346"/>
        <v>0.12266863923076926</v>
      </c>
      <c r="N1151">
        <f t="shared" si="347"/>
        <v>5.4698428039741349E-2</v>
      </c>
      <c r="O1151">
        <f t="shared" si="348"/>
        <v>0.35024083033074438</v>
      </c>
      <c r="P1151" t="s">
        <v>1222</v>
      </c>
      <c r="Q1151" t="s">
        <v>483</v>
      </c>
      <c r="R1151">
        <f t="shared" si="349"/>
        <v>6.8140000000000001</v>
      </c>
      <c r="S1151">
        <f t="shared" si="350"/>
        <v>6.2847073170731722</v>
      </c>
      <c r="Y1151" s="14">
        <f t="shared" si="351"/>
        <v>2015</v>
      </c>
      <c r="Z1151" s="14">
        <f>2025-AVERAGE($Y$1135:$Y$1175)</f>
        <v>8.5121951219512084</v>
      </c>
      <c r="AC1151">
        <v>0.90110000000000001</v>
      </c>
      <c r="AD1151">
        <v>0.5988</v>
      </c>
      <c r="AN1151" t="s">
        <v>185</v>
      </c>
      <c r="AO1151">
        <v>6.0970000000000004</v>
      </c>
    </row>
    <row r="1152" spans="1:41" ht="15.6">
      <c r="A1152">
        <v>28</v>
      </c>
      <c r="B1152" t="s">
        <v>1204</v>
      </c>
      <c r="C1152" t="s">
        <v>1205</v>
      </c>
      <c r="D1152" s="3">
        <v>54</v>
      </c>
      <c r="F1152">
        <v>2024</v>
      </c>
      <c r="G1152">
        <f t="shared" si="320"/>
        <v>1</v>
      </c>
      <c r="H1152">
        <f t="shared" si="344"/>
        <v>0.25339999999999996</v>
      </c>
      <c r="J1152">
        <f t="shared" si="345"/>
        <v>41</v>
      </c>
      <c r="L1152">
        <v>22</v>
      </c>
      <c r="M1152" s="12">
        <f t="shared" si="346"/>
        <v>0.12266863923076926</v>
      </c>
      <c r="N1152">
        <f t="shared" si="347"/>
        <v>5.4698428039741349E-2</v>
      </c>
      <c r="O1152">
        <f t="shared" si="348"/>
        <v>0.35024083033074438</v>
      </c>
      <c r="P1152" t="s">
        <v>1223</v>
      </c>
      <c r="Q1152" t="s">
        <v>483</v>
      </c>
      <c r="R1152">
        <f t="shared" si="349"/>
        <v>6.8140000000000001</v>
      </c>
      <c r="S1152">
        <f t="shared" si="350"/>
        <v>6.2847073170731722</v>
      </c>
      <c r="Y1152" s="14">
        <f t="shared" si="351"/>
        <v>2015</v>
      </c>
      <c r="Z1152" s="14">
        <f>2025-AVERAGE($Y$1135:$Y$1175)</f>
        <v>8.5121951219512084</v>
      </c>
      <c r="AC1152">
        <v>0.45960000000000001</v>
      </c>
      <c r="AD1152"/>
      <c r="AN1152" t="s">
        <v>185</v>
      </c>
      <c r="AO1152">
        <v>6.0970000000000004</v>
      </c>
    </row>
    <row r="1153" spans="1:41" ht="15.6">
      <c r="A1153">
        <v>28</v>
      </c>
      <c r="B1153" t="s">
        <v>1204</v>
      </c>
      <c r="C1153" t="s">
        <v>1205</v>
      </c>
      <c r="D1153" s="3">
        <v>54</v>
      </c>
      <c r="F1153">
        <v>2024</v>
      </c>
      <c r="G1153">
        <f t="shared" si="320"/>
        <v>1</v>
      </c>
      <c r="H1153">
        <f t="shared" si="344"/>
        <v>0.25339999999999996</v>
      </c>
      <c r="J1153">
        <f t="shared" si="345"/>
        <v>41</v>
      </c>
      <c r="L1153">
        <v>22</v>
      </c>
      <c r="M1153" s="12">
        <f t="shared" si="346"/>
        <v>0.12266863923076926</v>
      </c>
      <c r="N1153">
        <f t="shared" si="347"/>
        <v>5.4698428039741349E-2</v>
      </c>
      <c r="O1153">
        <f t="shared" si="348"/>
        <v>0.35024083033074438</v>
      </c>
      <c r="P1153" t="s">
        <v>1224</v>
      </c>
      <c r="Q1153" t="s">
        <v>483</v>
      </c>
      <c r="R1153">
        <f t="shared" si="349"/>
        <v>6.5759999999999996</v>
      </c>
      <c r="S1153">
        <f t="shared" si="350"/>
        <v>6.2847073170731722</v>
      </c>
      <c r="Y1153" s="14">
        <f t="shared" si="351"/>
        <v>2016</v>
      </c>
      <c r="Z1153" s="14">
        <f>2025-AVERAGE($Y$1135:$Y$1175)</f>
        <v>8.5121951219512084</v>
      </c>
      <c r="AC1153">
        <v>0.87080000000000002</v>
      </c>
      <c r="AD1153">
        <v>9.2299999999999993E-2</v>
      </c>
      <c r="AN1153" t="s">
        <v>185</v>
      </c>
      <c r="AO1153">
        <v>6.0970000000000004</v>
      </c>
    </row>
    <row r="1154" spans="1:41" ht="15.6">
      <c r="A1154">
        <v>28</v>
      </c>
      <c r="B1154" t="s">
        <v>1204</v>
      </c>
      <c r="C1154" t="s">
        <v>1205</v>
      </c>
      <c r="D1154" s="3">
        <v>54</v>
      </c>
      <c r="F1154">
        <v>2024</v>
      </c>
      <c r="G1154">
        <f t="shared" si="320"/>
        <v>1</v>
      </c>
      <c r="H1154">
        <f t="shared" si="344"/>
        <v>0.25339999999999996</v>
      </c>
      <c r="J1154">
        <f t="shared" si="345"/>
        <v>41</v>
      </c>
      <c r="L1154">
        <v>22</v>
      </c>
      <c r="M1154" s="12">
        <f t="shared" si="346"/>
        <v>0.12266863923076926</v>
      </c>
      <c r="N1154">
        <f t="shared" si="347"/>
        <v>5.4698428039741349E-2</v>
      </c>
      <c r="O1154">
        <f t="shared" si="348"/>
        <v>0.35024083033074438</v>
      </c>
      <c r="P1154" t="s">
        <v>1225</v>
      </c>
      <c r="Q1154" t="s">
        <v>483</v>
      </c>
      <c r="R1154">
        <f t="shared" si="349"/>
        <v>6.0919999999999996</v>
      </c>
      <c r="S1154">
        <f t="shared" si="350"/>
        <v>6.2847073170731722</v>
      </c>
      <c r="Y1154" s="14">
        <f t="shared" si="351"/>
        <v>2017</v>
      </c>
      <c r="Z1154" s="14">
        <f>2025-AVERAGE($Y$1135:$Y$1175)</f>
        <v>8.5121951219512084</v>
      </c>
      <c r="AC1154">
        <v>0.34720000000000001</v>
      </c>
      <c r="AD1154">
        <v>0.33189999999999997</v>
      </c>
      <c r="AN1154" t="s">
        <v>185</v>
      </c>
      <c r="AO1154">
        <v>6.0970000000000004</v>
      </c>
    </row>
    <row r="1155" spans="1:41" ht="15.6">
      <c r="A1155">
        <v>28</v>
      </c>
      <c r="B1155" t="s">
        <v>1204</v>
      </c>
      <c r="C1155" t="s">
        <v>1205</v>
      </c>
      <c r="D1155" s="3">
        <v>54</v>
      </c>
      <c r="F1155">
        <v>2024</v>
      </c>
      <c r="G1155">
        <f t="shared" si="320"/>
        <v>1</v>
      </c>
      <c r="H1155">
        <f t="shared" si="344"/>
        <v>0.25339999999999996</v>
      </c>
      <c r="J1155">
        <f t="shared" si="345"/>
        <v>41</v>
      </c>
      <c r="L1155">
        <v>22</v>
      </c>
      <c r="M1155" s="12">
        <f t="shared" si="346"/>
        <v>0.12266863923076926</v>
      </c>
      <c r="N1155">
        <f t="shared" si="347"/>
        <v>5.4698428039741349E-2</v>
      </c>
      <c r="O1155">
        <f t="shared" si="348"/>
        <v>0.35024083033074438</v>
      </c>
      <c r="P1155" t="s">
        <v>1226</v>
      </c>
      <c r="Q1155" t="s">
        <v>483</v>
      </c>
      <c r="R1155">
        <f t="shared" si="349"/>
        <v>6.8140000000000001</v>
      </c>
      <c r="S1155">
        <f t="shared" si="350"/>
        <v>6.2847073170731722</v>
      </c>
      <c r="Y1155" s="14">
        <f t="shared" si="351"/>
        <v>2015</v>
      </c>
      <c r="Z1155" s="14">
        <f>2025-AVERAGE($Y$1135:$Y$1175)</f>
        <v>8.5121951219512084</v>
      </c>
      <c r="AC1155">
        <v>0.33660000000000001</v>
      </c>
      <c r="AD1155"/>
      <c r="AN1155" t="s">
        <v>185</v>
      </c>
      <c r="AO1155">
        <v>6.0970000000000004</v>
      </c>
    </row>
    <row r="1156" spans="1:41" ht="15.6">
      <c r="A1156">
        <v>28</v>
      </c>
      <c r="B1156" t="s">
        <v>1204</v>
      </c>
      <c r="C1156" t="s">
        <v>1205</v>
      </c>
      <c r="D1156" s="3">
        <v>54</v>
      </c>
      <c r="F1156">
        <v>2024</v>
      </c>
      <c r="G1156">
        <f t="shared" si="320"/>
        <v>1</v>
      </c>
      <c r="H1156">
        <f t="shared" si="344"/>
        <v>0.25339999999999996</v>
      </c>
      <c r="J1156">
        <f t="shared" si="345"/>
        <v>41</v>
      </c>
      <c r="L1156">
        <v>22</v>
      </c>
      <c r="M1156" s="12">
        <f t="shared" si="346"/>
        <v>0.12266863923076926</v>
      </c>
      <c r="N1156">
        <f t="shared" si="347"/>
        <v>5.4698428039741349E-2</v>
      </c>
      <c r="O1156">
        <f t="shared" si="348"/>
        <v>0.35024083033074438</v>
      </c>
      <c r="P1156" t="s">
        <v>1227</v>
      </c>
      <c r="Q1156" t="s">
        <v>483</v>
      </c>
      <c r="R1156">
        <f t="shared" si="349"/>
        <v>6.5759999999999996</v>
      </c>
      <c r="S1156">
        <f t="shared" si="350"/>
        <v>6.2847073170731722</v>
      </c>
      <c r="Y1156" s="14">
        <f t="shared" si="351"/>
        <v>2016</v>
      </c>
      <c r="Z1156" s="14">
        <f>2025-AVERAGE($Y$1135:$Y$1175)</f>
        <v>8.5121951219512084</v>
      </c>
      <c r="AC1156">
        <v>0.16209999999999999</v>
      </c>
      <c r="AD1156"/>
      <c r="AN1156" t="s">
        <v>185</v>
      </c>
      <c r="AO1156">
        <v>6.0970000000000004</v>
      </c>
    </row>
    <row r="1157" spans="1:41" ht="15.6">
      <c r="A1157">
        <v>28</v>
      </c>
      <c r="B1157" t="s">
        <v>1204</v>
      </c>
      <c r="C1157" t="s">
        <v>1205</v>
      </c>
      <c r="D1157" s="3">
        <v>54</v>
      </c>
      <c r="F1157">
        <v>2024</v>
      </c>
      <c r="G1157">
        <f t="shared" si="320"/>
        <v>1</v>
      </c>
      <c r="H1157">
        <f t="shared" si="344"/>
        <v>0.25339999999999996</v>
      </c>
      <c r="J1157">
        <f t="shared" si="345"/>
        <v>41</v>
      </c>
      <c r="L1157">
        <v>22</v>
      </c>
      <c r="M1157" s="12">
        <f t="shared" si="346"/>
        <v>0.12266863923076926</v>
      </c>
      <c r="N1157">
        <f t="shared" si="347"/>
        <v>5.4698428039741349E-2</v>
      </c>
      <c r="O1157">
        <f t="shared" si="348"/>
        <v>0.35024083033074438</v>
      </c>
      <c r="P1157" t="s">
        <v>1228</v>
      </c>
      <c r="Q1157" t="s">
        <v>483</v>
      </c>
      <c r="R1157">
        <f t="shared" si="349"/>
        <v>6.0919999999999996</v>
      </c>
      <c r="S1157">
        <f t="shared" si="350"/>
        <v>6.2847073170731722</v>
      </c>
      <c r="Y1157" s="14">
        <f t="shared" si="351"/>
        <v>2017</v>
      </c>
      <c r="Z1157" s="14">
        <f>2025-AVERAGE($Y$1135:$Y$1175)</f>
        <v>8.5121951219512084</v>
      </c>
      <c r="AC1157">
        <v>0.70760000000000001</v>
      </c>
      <c r="AD1157"/>
      <c r="AN1157" t="s">
        <v>185</v>
      </c>
      <c r="AO1157">
        <v>6.0970000000000004</v>
      </c>
    </row>
    <row r="1158" spans="1:41" ht="15.6">
      <c r="A1158">
        <v>28</v>
      </c>
      <c r="B1158" t="s">
        <v>1204</v>
      </c>
      <c r="C1158" t="s">
        <v>1205</v>
      </c>
      <c r="D1158" s="3">
        <v>54</v>
      </c>
      <c r="F1158">
        <v>2024</v>
      </c>
      <c r="G1158">
        <f t="shared" si="320"/>
        <v>1</v>
      </c>
      <c r="H1158">
        <f t="shared" si="344"/>
        <v>0.25339999999999996</v>
      </c>
      <c r="J1158">
        <f t="shared" si="345"/>
        <v>41</v>
      </c>
      <c r="L1158">
        <v>22</v>
      </c>
      <c r="M1158" s="12">
        <f t="shared" si="346"/>
        <v>0.12266863923076926</v>
      </c>
      <c r="N1158">
        <f t="shared" si="347"/>
        <v>5.4698428039741349E-2</v>
      </c>
      <c r="O1158">
        <f t="shared" si="348"/>
        <v>0.35024083033074438</v>
      </c>
      <c r="P1158" t="s">
        <v>1229</v>
      </c>
      <c r="Q1158" t="s">
        <v>483</v>
      </c>
      <c r="R1158">
        <f t="shared" si="349"/>
        <v>6.8140000000000001</v>
      </c>
      <c r="S1158">
        <f t="shared" si="350"/>
        <v>6.2847073170731722</v>
      </c>
      <c r="Y1158" s="14">
        <f t="shared" si="351"/>
        <v>2015</v>
      </c>
      <c r="Z1158" s="14">
        <f>2025-AVERAGE($Y$1135:$Y$1175)</f>
        <v>8.5121951219512084</v>
      </c>
      <c r="AC1158">
        <v>0.34910000000000002</v>
      </c>
      <c r="AD1158">
        <v>3.9300000000000002E-2</v>
      </c>
      <c r="AN1158" t="s">
        <v>185</v>
      </c>
      <c r="AO1158">
        <v>6.0970000000000004</v>
      </c>
    </row>
    <row r="1159" spans="1:41" ht="15.6">
      <c r="A1159">
        <v>28</v>
      </c>
      <c r="B1159" t="s">
        <v>1204</v>
      </c>
      <c r="C1159" t="s">
        <v>1205</v>
      </c>
      <c r="D1159" s="3">
        <v>54</v>
      </c>
      <c r="F1159">
        <v>2024</v>
      </c>
      <c r="G1159">
        <f t="shared" si="320"/>
        <v>1</v>
      </c>
      <c r="H1159">
        <f t="shared" si="344"/>
        <v>0.25339999999999996</v>
      </c>
      <c r="J1159">
        <f t="shared" si="345"/>
        <v>41</v>
      </c>
      <c r="L1159">
        <v>22</v>
      </c>
      <c r="M1159" s="12">
        <f t="shared" si="346"/>
        <v>0.12266863923076926</v>
      </c>
      <c r="N1159">
        <f t="shared" si="347"/>
        <v>5.4698428039741349E-2</v>
      </c>
      <c r="O1159">
        <f t="shared" si="348"/>
        <v>0.35024083033074438</v>
      </c>
      <c r="P1159" t="s">
        <v>1230</v>
      </c>
      <c r="Q1159" t="s">
        <v>483</v>
      </c>
      <c r="R1159">
        <f t="shared" si="349"/>
        <v>6.5759999999999996</v>
      </c>
      <c r="S1159">
        <f t="shared" si="350"/>
        <v>6.2847073170731722</v>
      </c>
      <c r="Y1159" s="14">
        <f t="shared" si="351"/>
        <v>2016</v>
      </c>
      <c r="Z1159" s="14">
        <f>2025-AVERAGE($Y$1135:$Y$1175)</f>
        <v>8.5121951219512084</v>
      </c>
      <c r="AC1159">
        <v>0.2298</v>
      </c>
      <c r="AD1159">
        <v>4.9700000000000001E-2</v>
      </c>
      <c r="AN1159" t="s">
        <v>185</v>
      </c>
      <c r="AO1159">
        <v>6.0970000000000004</v>
      </c>
    </row>
    <row r="1160" spans="1:41" ht="15.6">
      <c r="A1160">
        <v>28</v>
      </c>
      <c r="B1160" t="s">
        <v>1204</v>
      </c>
      <c r="C1160" t="s">
        <v>1205</v>
      </c>
      <c r="D1160" s="3">
        <v>54</v>
      </c>
      <c r="F1160">
        <v>2024</v>
      </c>
      <c r="G1160">
        <f t="shared" si="320"/>
        <v>1</v>
      </c>
      <c r="H1160">
        <f t="shared" si="344"/>
        <v>0.25339999999999996</v>
      </c>
      <c r="J1160">
        <f t="shared" si="345"/>
        <v>41</v>
      </c>
      <c r="L1160">
        <v>22</v>
      </c>
      <c r="M1160" s="12">
        <f t="shared" si="346"/>
        <v>0.12266863923076926</v>
      </c>
      <c r="N1160">
        <f t="shared" si="347"/>
        <v>5.4698428039741349E-2</v>
      </c>
      <c r="O1160">
        <f t="shared" si="348"/>
        <v>0.35024083033074438</v>
      </c>
      <c r="P1160" t="s">
        <v>1231</v>
      </c>
      <c r="Q1160" t="s">
        <v>483</v>
      </c>
      <c r="R1160">
        <f t="shared" si="349"/>
        <v>6.0919999999999996</v>
      </c>
      <c r="S1160">
        <f t="shared" si="350"/>
        <v>6.2847073170731722</v>
      </c>
      <c r="Y1160" s="14">
        <f t="shared" si="351"/>
        <v>2017</v>
      </c>
      <c r="Z1160" s="14">
        <f>2025-AVERAGE($Y$1135:$Y$1175)</f>
        <v>8.5121951219512084</v>
      </c>
      <c r="AC1160">
        <v>0.36880000000000002</v>
      </c>
      <c r="AD1160"/>
      <c r="AN1160" t="s">
        <v>185</v>
      </c>
      <c r="AO1160">
        <v>6.0970000000000004</v>
      </c>
    </row>
    <row r="1161" spans="1:41" ht="15.6">
      <c r="A1161">
        <v>28</v>
      </c>
      <c r="B1161" t="s">
        <v>1204</v>
      </c>
      <c r="C1161" t="s">
        <v>1205</v>
      </c>
      <c r="D1161" s="3">
        <v>54</v>
      </c>
      <c r="F1161">
        <v>2024</v>
      </c>
      <c r="G1161">
        <f t="shared" si="320"/>
        <v>1</v>
      </c>
      <c r="H1161">
        <f t="shared" si="344"/>
        <v>0.25339999999999996</v>
      </c>
      <c r="J1161">
        <f t="shared" si="345"/>
        <v>41</v>
      </c>
      <c r="L1161">
        <v>22</v>
      </c>
      <c r="M1161" s="12">
        <f t="shared" si="346"/>
        <v>0.12266863923076926</v>
      </c>
      <c r="N1161">
        <f t="shared" si="347"/>
        <v>5.4698428039741349E-2</v>
      </c>
      <c r="O1161">
        <f t="shared" si="348"/>
        <v>0.35024083033074438</v>
      </c>
      <c r="P1161" t="s">
        <v>1232</v>
      </c>
      <c r="Q1161" t="s">
        <v>483</v>
      </c>
      <c r="R1161">
        <f t="shared" si="349"/>
        <v>5.601</v>
      </c>
      <c r="S1161">
        <f t="shared" si="350"/>
        <v>6.2847073170731722</v>
      </c>
      <c r="Y1161" s="14">
        <f t="shared" si="351"/>
        <v>2018</v>
      </c>
      <c r="Z1161" s="14">
        <f>2025-AVERAGE($Y$1135:$Y$1175)</f>
        <v>8.5121951219512084</v>
      </c>
      <c r="AC1161">
        <v>0.36249999999999999</v>
      </c>
      <c r="AD1161"/>
      <c r="AN1161" t="s">
        <v>185</v>
      </c>
      <c r="AO1161">
        <v>6.0970000000000004</v>
      </c>
    </row>
    <row r="1162" spans="1:41" ht="15.6">
      <c r="A1162">
        <v>28</v>
      </c>
      <c r="B1162" t="s">
        <v>1204</v>
      </c>
      <c r="C1162" t="s">
        <v>1205</v>
      </c>
      <c r="D1162" s="3">
        <v>54</v>
      </c>
      <c r="F1162">
        <v>2024</v>
      </c>
      <c r="G1162">
        <f t="shared" si="320"/>
        <v>1</v>
      </c>
      <c r="H1162">
        <f t="shared" si="344"/>
        <v>0.25339999999999996</v>
      </c>
      <c r="J1162">
        <f t="shared" si="345"/>
        <v>41</v>
      </c>
      <c r="L1162">
        <v>22</v>
      </c>
      <c r="M1162" s="12">
        <f t="shared" si="346"/>
        <v>0.12266863923076926</v>
      </c>
      <c r="N1162">
        <f t="shared" si="347"/>
        <v>5.4698428039741349E-2</v>
      </c>
      <c r="O1162">
        <f t="shared" si="348"/>
        <v>0.35024083033074438</v>
      </c>
      <c r="P1162" t="s">
        <v>1233</v>
      </c>
      <c r="Q1162" t="s">
        <v>483</v>
      </c>
      <c r="R1162">
        <f t="shared" si="349"/>
        <v>5.601</v>
      </c>
      <c r="S1162">
        <f t="shared" si="350"/>
        <v>6.2847073170731722</v>
      </c>
      <c r="Y1162" s="14">
        <f t="shared" si="351"/>
        <v>2018</v>
      </c>
      <c r="Z1162" s="14">
        <f>2025-AVERAGE($Y$1135:$Y$1175)</f>
        <v>8.5121951219512084</v>
      </c>
      <c r="AC1162">
        <v>1.4735</v>
      </c>
      <c r="AD1162">
        <v>1.3855</v>
      </c>
      <c r="AN1162" t="s">
        <v>185</v>
      </c>
      <c r="AO1162">
        <v>6.0970000000000004</v>
      </c>
    </row>
    <row r="1163" spans="1:41" ht="15.6">
      <c r="A1163">
        <v>28</v>
      </c>
      <c r="B1163" t="s">
        <v>1204</v>
      </c>
      <c r="C1163" t="s">
        <v>1205</v>
      </c>
      <c r="D1163" s="3">
        <v>54</v>
      </c>
      <c r="F1163">
        <v>2024</v>
      </c>
      <c r="G1163">
        <f t="shared" si="320"/>
        <v>1</v>
      </c>
      <c r="H1163">
        <f t="shared" si="344"/>
        <v>0.25339999999999996</v>
      </c>
      <c r="J1163">
        <f t="shared" si="345"/>
        <v>41</v>
      </c>
      <c r="L1163">
        <v>22</v>
      </c>
      <c r="M1163" s="12">
        <f t="shared" si="346"/>
        <v>0.12266863923076926</v>
      </c>
      <c r="N1163">
        <f t="shared" si="347"/>
        <v>5.4698428039741349E-2</v>
      </c>
      <c r="O1163">
        <f t="shared" si="348"/>
        <v>0.35024083033074438</v>
      </c>
      <c r="P1163" t="s">
        <v>1234</v>
      </c>
      <c r="Q1163" t="s">
        <v>483</v>
      </c>
      <c r="R1163">
        <f t="shared" si="349"/>
        <v>6.5759999999999996</v>
      </c>
      <c r="S1163">
        <f t="shared" si="350"/>
        <v>6.2847073170731722</v>
      </c>
      <c r="Y1163" s="14">
        <f t="shared" si="351"/>
        <v>2016</v>
      </c>
      <c r="Z1163" s="14">
        <f>2025-AVERAGE($Y$1135:$Y$1175)</f>
        <v>8.5121951219512084</v>
      </c>
      <c r="AC1163">
        <v>0.40310000000000001</v>
      </c>
      <c r="AD1163">
        <v>-3.7999999999999999E-2</v>
      </c>
      <c r="AN1163" t="s">
        <v>185</v>
      </c>
      <c r="AO1163">
        <v>6.0970000000000004</v>
      </c>
    </row>
    <row r="1164" spans="1:41" ht="15.6">
      <c r="A1164">
        <v>28</v>
      </c>
      <c r="B1164" t="s">
        <v>1204</v>
      </c>
      <c r="C1164" t="s">
        <v>1205</v>
      </c>
      <c r="D1164" s="3">
        <v>54</v>
      </c>
      <c r="F1164">
        <v>2024</v>
      </c>
      <c r="G1164">
        <f t="shared" si="320"/>
        <v>1</v>
      </c>
      <c r="H1164">
        <f t="shared" si="344"/>
        <v>0.25339999999999996</v>
      </c>
      <c r="J1164">
        <f t="shared" si="345"/>
        <v>41</v>
      </c>
      <c r="L1164">
        <v>22</v>
      </c>
      <c r="M1164" s="12">
        <f t="shared" si="346"/>
        <v>0.12266863923076926</v>
      </c>
      <c r="N1164">
        <f t="shared" si="347"/>
        <v>5.4698428039741349E-2</v>
      </c>
      <c r="O1164">
        <f t="shared" si="348"/>
        <v>0.35024083033074438</v>
      </c>
      <c r="P1164" t="s">
        <v>1235</v>
      </c>
      <c r="Q1164" t="s">
        <v>483</v>
      </c>
      <c r="R1164">
        <f t="shared" si="349"/>
        <v>6.0919999999999996</v>
      </c>
      <c r="S1164">
        <f t="shared" si="350"/>
        <v>6.2847073170731722</v>
      </c>
      <c r="Y1164" s="14">
        <f t="shared" si="351"/>
        <v>2017</v>
      </c>
      <c r="Z1164" s="14">
        <f>2025-AVERAGE($Y$1135:$Y$1175)</f>
        <v>8.5121951219512084</v>
      </c>
      <c r="AC1164">
        <v>0.49430000000000002</v>
      </c>
      <c r="AD1164">
        <v>0.25890000000000002</v>
      </c>
      <c r="AN1164" t="s">
        <v>185</v>
      </c>
      <c r="AO1164">
        <v>6.0970000000000004</v>
      </c>
    </row>
    <row r="1165" spans="1:41" ht="15.6">
      <c r="A1165">
        <v>28</v>
      </c>
      <c r="B1165" t="s">
        <v>1204</v>
      </c>
      <c r="C1165" t="s">
        <v>1205</v>
      </c>
      <c r="D1165" s="3">
        <v>54</v>
      </c>
      <c r="F1165">
        <v>2024</v>
      </c>
      <c r="G1165">
        <f t="shared" si="320"/>
        <v>1</v>
      </c>
      <c r="H1165">
        <f t="shared" si="344"/>
        <v>0.25339999999999996</v>
      </c>
      <c r="J1165">
        <f t="shared" si="345"/>
        <v>41</v>
      </c>
      <c r="L1165">
        <v>22</v>
      </c>
      <c r="M1165" s="12">
        <f t="shared" si="346"/>
        <v>0.12266863923076926</v>
      </c>
      <c r="N1165">
        <f t="shared" si="347"/>
        <v>5.4698428039741349E-2</v>
      </c>
      <c r="O1165">
        <f t="shared" si="348"/>
        <v>0.35024083033074438</v>
      </c>
      <c r="P1165" t="s">
        <v>1236</v>
      </c>
      <c r="Q1165" t="s">
        <v>483</v>
      </c>
      <c r="R1165">
        <f t="shared" si="349"/>
        <v>6.0919999999999996</v>
      </c>
      <c r="S1165">
        <f t="shared" si="350"/>
        <v>6.2847073170731722</v>
      </c>
      <c r="Y1165" s="14">
        <f t="shared" si="351"/>
        <v>2017</v>
      </c>
      <c r="Z1165" s="14">
        <f>2025-AVERAGE($Y$1135:$Y$1175)</f>
        <v>8.5121951219512084</v>
      </c>
      <c r="AC1165">
        <v>0.42280000000000001</v>
      </c>
      <c r="AD1165">
        <v>0.1875</v>
      </c>
      <c r="AN1165" t="s">
        <v>185</v>
      </c>
      <c r="AO1165">
        <v>6.0970000000000004</v>
      </c>
    </row>
    <row r="1166" spans="1:41" ht="15.6">
      <c r="A1166">
        <v>28</v>
      </c>
      <c r="B1166" t="s">
        <v>1204</v>
      </c>
      <c r="C1166" t="s">
        <v>1205</v>
      </c>
      <c r="D1166" s="3">
        <v>54</v>
      </c>
      <c r="F1166">
        <v>2024</v>
      </c>
      <c r="G1166">
        <f t="shared" si="320"/>
        <v>1</v>
      </c>
      <c r="H1166">
        <f t="shared" si="344"/>
        <v>0.25339999999999996</v>
      </c>
      <c r="J1166">
        <f t="shared" si="345"/>
        <v>41</v>
      </c>
      <c r="L1166">
        <v>22</v>
      </c>
      <c r="M1166" s="12">
        <f t="shared" si="346"/>
        <v>0.12266863923076926</v>
      </c>
      <c r="N1166">
        <f t="shared" si="347"/>
        <v>5.4698428039741349E-2</v>
      </c>
      <c r="O1166">
        <f t="shared" si="348"/>
        <v>0.35024083033074438</v>
      </c>
      <c r="P1166" t="s">
        <v>1237</v>
      </c>
      <c r="Q1166" t="s">
        <v>483</v>
      </c>
      <c r="R1166">
        <f t="shared" si="349"/>
        <v>6.0919999999999996</v>
      </c>
      <c r="S1166">
        <f t="shared" si="350"/>
        <v>6.2847073170731722</v>
      </c>
      <c r="Y1166" s="14">
        <f t="shared" si="351"/>
        <v>2017</v>
      </c>
      <c r="Z1166" s="14">
        <f>2025-AVERAGE($Y$1135:$Y$1175)</f>
        <v>8.5121951219512084</v>
      </c>
      <c r="AC1166">
        <v>0.72050000000000003</v>
      </c>
      <c r="AD1166">
        <v>0.41439999999999999</v>
      </c>
      <c r="AN1166" t="s">
        <v>185</v>
      </c>
      <c r="AO1166">
        <v>6.0970000000000004</v>
      </c>
    </row>
    <row r="1167" spans="1:41" ht="15.6">
      <c r="A1167">
        <v>28</v>
      </c>
      <c r="B1167" t="s">
        <v>1204</v>
      </c>
      <c r="C1167" t="s">
        <v>1205</v>
      </c>
      <c r="D1167" s="3">
        <v>54</v>
      </c>
      <c r="F1167">
        <v>2024</v>
      </c>
      <c r="G1167">
        <f t="shared" si="320"/>
        <v>1</v>
      </c>
      <c r="H1167">
        <f t="shared" si="344"/>
        <v>0.25339999999999996</v>
      </c>
      <c r="J1167">
        <f t="shared" si="345"/>
        <v>41</v>
      </c>
      <c r="L1167">
        <v>22</v>
      </c>
      <c r="M1167" s="12">
        <f t="shared" si="346"/>
        <v>0.12266863923076926</v>
      </c>
      <c r="N1167">
        <f t="shared" si="347"/>
        <v>5.4698428039741349E-2</v>
      </c>
      <c r="O1167">
        <f t="shared" si="348"/>
        <v>0.35024083033074438</v>
      </c>
      <c r="P1167" t="s">
        <v>1238</v>
      </c>
      <c r="Q1167" t="s">
        <v>483</v>
      </c>
      <c r="R1167">
        <f t="shared" si="349"/>
        <v>5.601</v>
      </c>
      <c r="S1167">
        <f t="shared" si="350"/>
        <v>6.2847073170731722</v>
      </c>
      <c r="Y1167" s="14">
        <f t="shared" si="351"/>
        <v>2018</v>
      </c>
      <c r="Z1167" s="14">
        <f>2025-AVERAGE($Y$1135:$Y$1175)</f>
        <v>8.5121951219512084</v>
      </c>
      <c r="AC1167">
        <v>0.1658</v>
      </c>
      <c r="AD1167"/>
      <c r="AN1167" t="s">
        <v>185</v>
      </c>
      <c r="AO1167">
        <v>6.0970000000000004</v>
      </c>
    </row>
    <row r="1168" spans="1:41" ht="15.6">
      <c r="A1168">
        <v>28</v>
      </c>
      <c r="B1168" t="s">
        <v>1204</v>
      </c>
      <c r="C1168" t="s">
        <v>1205</v>
      </c>
      <c r="D1168" s="3">
        <v>54</v>
      </c>
      <c r="F1168">
        <v>2024</v>
      </c>
      <c r="G1168">
        <f t="shared" si="320"/>
        <v>1</v>
      </c>
      <c r="H1168">
        <f t="shared" si="344"/>
        <v>0.25339999999999996</v>
      </c>
      <c r="J1168">
        <f t="shared" si="345"/>
        <v>41</v>
      </c>
      <c r="L1168">
        <v>22</v>
      </c>
      <c r="M1168" s="12">
        <f t="shared" si="346"/>
        <v>0.12266863923076926</v>
      </c>
      <c r="N1168">
        <f t="shared" si="347"/>
        <v>5.4698428039741349E-2</v>
      </c>
      <c r="O1168">
        <f t="shared" si="348"/>
        <v>0.35024083033074438</v>
      </c>
      <c r="P1168" t="s">
        <v>1239</v>
      </c>
      <c r="Q1168" t="s">
        <v>483</v>
      </c>
      <c r="R1168">
        <f t="shared" si="349"/>
        <v>6.0919999999999996</v>
      </c>
      <c r="S1168">
        <f t="shared" si="350"/>
        <v>6.2847073170731722</v>
      </c>
      <c r="Y1168" s="14">
        <f t="shared" si="351"/>
        <v>2017</v>
      </c>
      <c r="Z1168" s="14">
        <f>2025-AVERAGE($Y$1135:$Y$1175)</f>
        <v>8.5121951219512084</v>
      </c>
      <c r="AC1168">
        <v>0.29730000000000001</v>
      </c>
      <c r="AD1168"/>
      <c r="AN1168" t="s">
        <v>185</v>
      </c>
      <c r="AO1168">
        <v>6.0970000000000004</v>
      </c>
    </row>
    <row r="1169" spans="1:41" ht="15.6">
      <c r="A1169">
        <v>28</v>
      </c>
      <c r="B1169" t="s">
        <v>1204</v>
      </c>
      <c r="C1169" t="s">
        <v>1205</v>
      </c>
      <c r="D1169" s="3">
        <v>54</v>
      </c>
      <c r="F1169">
        <v>2024</v>
      </c>
      <c r="G1169">
        <f t="shared" si="320"/>
        <v>1</v>
      </c>
      <c r="H1169">
        <f t="shared" si="344"/>
        <v>0.25339999999999996</v>
      </c>
      <c r="J1169">
        <f t="shared" si="345"/>
        <v>41</v>
      </c>
      <c r="L1169">
        <v>22</v>
      </c>
      <c r="M1169" s="12">
        <f t="shared" si="346"/>
        <v>0.12266863923076926</v>
      </c>
      <c r="N1169">
        <f t="shared" si="347"/>
        <v>5.4698428039741349E-2</v>
      </c>
      <c r="O1169">
        <f t="shared" si="348"/>
        <v>0.35024083033074438</v>
      </c>
      <c r="P1169" t="s">
        <v>1240</v>
      </c>
      <c r="Q1169" t="s">
        <v>483</v>
      </c>
      <c r="R1169">
        <f t="shared" si="349"/>
        <v>6.0919999999999996</v>
      </c>
      <c r="S1169">
        <f t="shared" si="350"/>
        <v>6.2847073170731722</v>
      </c>
      <c r="Y1169" s="14">
        <f t="shared" si="351"/>
        <v>2017</v>
      </c>
      <c r="Z1169" s="14">
        <f>2025-AVERAGE($Y$1135:$Y$1175)</f>
        <v>8.5121951219512084</v>
      </c>
      <c r="AC1169">
        <v>0.50570000000000004</v>
      </c>
      <c r="AD1169"/>
      <c r="AN1169" t="s">
        <v>185</v>
      </c>
      <c r="AO1169">
        <v>6.0970000000000004</v>
      </c>
    </row>
    <row r="1170" spans="1:41" ht="15.6">
      <c r="A1170">
        <v>28</v>
      </c>
      <c r="B1170" t="s">
        <v>1204</v>
      </c>
      <c r="C1170" t="s">
        <v>1205</v>
      </c>
      <c r="D1170" s="3">
        <v>54</v>
      </c>
      <c r="F1170">
        <v>2024</v>
      </c>
      <c r="G1170">
        <f t="shared" ref="G1170:G1233" si="352">2025-F1170</f>
        <v>1</v>
      </c>
      <c r="H1170">
        <f t="shared" si="344"/>
        <v>0.25339999999999996</v>
      </c>
      <c r="J1170">
        <f t="shared" si="345"/>
        <v>41</v>
      </c>
      <c r="L1170">
        <v>22</v>
      </c>
      <c r="M1170" s="12">
        <f t="shared" si="346"/>
        <v>0.12266863923076926</v>
      </c>
      <c r="N1170">
        <f t="shared" si="347"/>
        <v>5.4698428039741349E-2</v>
      </c>
      <c r="O1170">
        <f t="shared" si="348"/>
        <v>0.35024083033074438</v>
      </c>
      <c r="P1170" t="s">
        <v>1241</v>
      </c>
      <c r="Q1170" t="s">
        <v>483</v>
      </c>
      <c r="R1170">
        <f t="shared" si="349"/>
        <v>6.0919999999999996</v>
      </c>
      <c r="S1170">
        <f t="shared" si="350"/>
        <v>6.2847073170731722</v>
      </c>
      <c r="Y1170" s="14">
        <f t="shared" si="351"/>
        <v>2017</v>
      </c>
      <c r="Z1170" s="14">
        <f>2025-AVERAGE($Y$1135:$Y$1175)</f>
        <v>8.5121951219512084</v>
      </c>
      <c r="AC1170">
        <v>0.33500000000000002</v>
      </c>
      <c r="AD1170">
        <v>0.1855</v>
      </c>
      <c r="AN1170" t="s">
        <v>185</v>
      </c>
      <c r="AO1170">
        <v>6.0970000000000004</v>
      </c>
    </row>
    <row r="1171" spans="1:41" ht="15.6">
      <c r="A1171">
        <v>28</v>
      </c>
      <c r="B1171" t="s">
        <v>1204</v>
      </c>
      <c r="C1171" t="s">
        <v>1205</v>
      </c>
      <c r="D1171" s="3">
        <v>54</v>
      </c>
      <c r="F1171">
        <v>2024</v>
      </c>
      <c r="G1171">
        <f t="shared" si="352"/>
        <v>1</v>
      </c>
      <c r="H1171">
        <f t="shared" si="344"/>
        <v>0.25339999999999996</v>
      </c>
      <c r="J1171">
        <f t="shared" si="345"/>
        <v>41</v>
      </c>
      <c r="L1171">
        <v>22</v>
      </c>
      <c r="M1171" s="12">
        <f t="shared" si="346"/>
        <v>0.12266863923076926</v>
      </c>
      <c r="N1171">
        <f t="shared" si="347"/>
        <v>5.4698428039741349E-2</v>
      </c>
      <c r="O1171">
        <f t="shared" si="348"/>
        <v>0.35024083033074438</v>
      </c>
      <c r="P1171" t="s">
        <v>1242</v>
      </c>
      <c r="Q1171" t="s">
        <v>483</v>
      </c>
      <c r="R1171">
        <f t="shared" si="349"/>
        <v>6.0919999999999996</v>
      </c>
      <c r="S1171">
        <f t="shared" si="350"/>
        <v>6.2847073170731722</v>
      </c>
      <c r="Y1171" s="14">
        <f t="shared" si="351"/>
        <v>2017</v>
      </c>
      <c r="Z1171" s="14">
        <f>2025-AVERAGE($Y$1135:$Y$1175)</f>
        <v>8.5121951219512084</v>
      </c>
      <c r="AC1171">
        <v>0.307</v>
      </c>
      <c r="AD1171">
        <v>6.7100000000000007E-2</v>
      </c>
      <c r="AN1171" t="s">
        <v>185</v>
      </c>
      <c r="AO1171">
        <v>6.0970000000000004</v>
      </c>
    </row>
    <row r="1172" spans="1:41" ht="15.6">
      <c r="A1172">
        <v>28</v>
      </c>
      <c r="B1172" t="s">
        <v>1204</v>
      </c>
      <c r="C1172" t="s">
        <v>1205</v>
      </c>
      <c r="D1172" s="3">
        <v>54</v>
      </c>
      <c r="F1172">
        <v>2024</v>
      </c>
      <c r="G1172">
        <f t="shared" si="352"/>
        <v>1</v>
      </c>
      <c r="H1172">
        <f t="shared" si="344"/>
        <v>0.25339999999999996</v>
      </c>
      <c r="J1172">
        <f t="shared" si="345"/>
        <v>41</v>
      </c>
      <c r="L1172">
        <v>22</v>
      </c>
      <c r="M1172" s="12">
        <f t="shared" si="346"/>
        <v>0.12266863923076926</v>
      </c>
      <c r="N1172">
        <f t="shared" si="347"/>
        <v>5.4698428039741349E-2</v>
      </c>
      <c r="O1172">
        <f t="shared" si="348"/>
        <v>0.35024083033074438</v>
      </c>
      <c r="P1172" t="s">
        <v>1243</v>
      </c>
      <c r="Q1172" t="s">
        <v>483</v>
      </c>
      <c r="R1172">
        <f t="shared" si="349"/>
        <v>6.8140000000000001</v>
      </c>
      <c r="S1172">
        <f t="shared" si="350"/>
        <v>6.2847073170731722</v>
      </c>
      <c r="Y1172" s="14">
        <f t="shared" si="351"/>
        <v>2015</v>
      </c>
      <c r="Z1172" s="14">
        <f>2025-AVERAGE($Y$1135:$Y$1175)</f>
        <v>8.5121951219512084</v>
      </c>
      <c r="AC1172">
        <v>0.42020000000000002</v>
      </c>
      <c r="AD1172"/>
      <c r="AN1172" t="s">
        <v>185</v>
      </c>
      <c r="AO1172">
        <v>6.0970000000000004</v>
      </c>
    </row>
    <row r="1173" spans="1:41" ht="15.6">
      <c r="A1173">
        <v>28</v>
      </c>
      <c r="B1173" t="s">
        <v>1204</v>
      </c>
      <c r="C1173" t="s">
        <v>1205</v>
      </c>
      <c r="D1173" s="3">
        <v>54</v>
      </c>
      <c r="F1173">
        <v>2024</v>
      </c>
      <c r="G1173">
        <f t="shared" si="352"/>
        <v>1</v>
      </c>
      <c r="H1173">
        <f t="shared" si="344"/>
        <v>0.25339999999999996</v>
      </c>
      <c r="J1173">
        <f t="shared" si="345"/>
        <v>41</v>
      </c>
      <c r="L1173">
        <v>22</v>
      </c>
      <c r="M1173" s="12">
        <f t="shared" si="346"/>
        <v>0.12266863923076926</v>
      </c>
      <c r="N1173">
        <f t="shared" si="347"/>
        <v>5.4698428039741349E-2</v>
      </c>
      <c r="O1173">
        <f t="shared" si="348"/>
        <v>0.35024083033074438</v>
      </c>
      <c r="P1173" t="s">
        <v>1244</v>
      </c>
      <c r="Q1173" t="s">
        <v>483</v>
      </c>
      <c r="R1173">
        <f t="shared" si="349"/>
        <v>6.8140000000000001</v>
      </c>
      <c r="S1173">
        <f t="shared" si="350"/>
        <v>6.2847073170731722</v>
      </c>
      <c r="Y1173" s="14">
        <f t="shared" si="351"/>
        <v>2015</v>
      </c>
      <c r="Z1173" s="14">
        <f>2025-AVERAGE($Y$1135:$Y$1175)</f>
        <v>8.5121951219512084</v>
      </c>
      <c r="AC1173">
        <v>0.22090000000000001</v>
      </c>
      <c r="AD1173">
        <v>1.12E-2</v>
      </c>
      <c r="AN1173" t="s">
        <v>185</v>
      </c>
      <c r="AO1173">
        <v>6.0970000000000004</v>
      </c>
    </row>
    <row r="1174" spans="1:41" ht="15.6">
      <c r="A1174">
        <v>28</v>
      </c>
      <c r="B1174" t="s">
        <v>1204</v>
      </c>
      <c r="C1174" t="s">
        <v>1205</v>
      </c>
      <c r="D1174" s="3">
        <v>54</v>
      </c>
      <c r="F1174">
        <v>2024</v>
      </c>
      <c r="G1174">
        <f t="shared" si="352"/>
        <v>1</v>
      </c>
      <c r="H1174">
        <f t="shared" si="344"/>
        <v>0.25339999999999996</v>
      </c>
      <c r="J1174">
        <f t="shared" si="345"/>
        <v>41</v>
      </c>
      <c r="L1174">
        <v>22</v>
      </c>
      <c r="M1174" s="12">
        <f t="shared" si="346"/>
        <v>0.12266863923076926</v>
      </c>
      <c r="N1174">
        <f t="shared" si="347"/>
        <v>5.4698428039741349E-2</v>
      </c>
      <c r="O1174">
        <f t="shared" si="348"/>
        <v>0.35024083033074438</v>
      </c>
      <c r="P1174" t="s">
        <v>1245</v>
      </c>
      <c r="Q1174" t="s">
        <v>483</v>
      </c>
      <c r="R1174">
        <f t="shared" si="349"/>
        <v>6.5759999999999996</v>
      </c>
      <c r="S1174">
        <f>AVERAGE($R$1135:$R$1175)</f>
        <v>6.2847073170731722</v>
      </c>
      <c r="Y1174" s="14">
        <f t="shared" si="351"/>
        <v>2016</v>
      </c>
      <c r="Z1174" s="14">
        <f>2025-AVERAGE($Y$1135:$Y$1175)</f>
        <v>8.5121951219512084</v>
      </c>
      <c r="AC1174">
        <v>1.7461</v>
      </c>
      <c r="AD1174">
        <v>0.97430000000000005</v>
      </c>
      <c r="AN1174" t="s">
        <v>185</v>
      </c>
      <c r="AO1174">
        <v>6.0970000000000004</v>
      </c>
    </row>
    <row r="1175" spans="1:41" s="3" customFormat="1" ht="15.6">
      <c r="A1175" s="3">
        <v>28</v>
      </c>
      <c r="B1175" s="3" t="s">
        <v>1204</v>
      </c>
      <c r="C1175" s="3" t="s">
        <v>1205</v>
      </c>
      <c r="D1175" s="3">
        <v>54</v>
      </c>
      <c r="F1175" s="3">
        <v>2024</v>
      </c>
      <c r="G1175" s="3">
        <f t="shared" si="352"/>
        <v>1</v>
      </c>
      <c r="H1175" s="3">
        <f t="shared" si="344"/>
        <v>0.25339999999999996</v>
      </c>
      <c r="J1175" s="3">
        <f t="shared" si="345"/>
        <v>41</v>
      </c>
      <c r="L1175" s="3">
        <v>22</v>
      </c>
      <c r="M1175" s="15">
        <f t="shared" si="346"/>
        <v>0.12266863923076926</v>
      </c>
      <c r="N1175" s="3">
        <f t="shared" si="347"/>
        <v>5.4698428039741349E-2</v>
      </c>
      <c r="O1175" s="3">
        <f t="shared" si="348"/>
        <v>0.35024083033074438</v>
      </c>
      <c r="P1175" s="3" t="s">
        <v>1246</v>
      </c>
      <c r="Q1175" t="s">
        <v>483</v>
      </c>
      <c r="R1175">
        <f t="shared" si="349"/>
        <v>6.5759999999999996</v>
      </c>
      <c r="S1175">
        <f t="shared" si="350"/>
        <v>6.2847073170731722</v>
      </c>
      <c r="Y1175" s="16">
        <f t="shared" si="351"/>
        <v>2016</v>
      </c>
      <c r="Z1175" s="16">
        <f>2025-AVERAGE($Y$1135:$Y$1175)</f>
        <v>8.5121951219512084</v>
      </c>
      <c r="AC1175" s="3">
        <v>0.95120000000000005</v>
      </c>
      <c r="AD1175" s="3">
        <v>0.62090000000000001</v>
      </c>
      <c r="AN1175" s="3" t="s">
        <v>185</v>
      </c>
      <c r="AO1175" s="3">
        <v>6.0970000000000004</v>
      </c>
    </row>
    <row r="1176" spans="1:41">
      <c r="A1176">
        <v>29</v>
      </c>
      <c r="B1176" t="s">
        <v>1202</v>
      </c>
      <c r="C1176" t="s">
        <v>1203</v>
      </c>
      <c r="D1176" s="3">
        <f t="shared" ref="D1176:D1192" si="353">100*(3/14)</f>
        <v>21.428571428571427</v>
      </c>
      <c r="F1176">
        <v>2024</v>
      </c>
      <c r="G1176">
        <f t="shared" si="352"/>
        <v>1</v>
      </c>
      <c r="H1176">
        <f>AVERAGE($AD$1176:$AD$1192)</f>
        <v>-3.0385680588235299E-2</v>
      </c>
      <c r="J1176">
        <f>COUNTA($B$1176:$B$1193)</f>
        <v>18</v>
      </c>
      <c r="L1176">
        <v>7</v>
      </c>
      <c r="M1176">
        <f>_xlfn.VAR.P($AD$1176:$AD$1192)</f>
        <v>2.2855709543561434E-2</v>
      </c>
      <c r="N1176">
        <f>$O$1176/SQRT(J1176)</f>
        <v>3.563371495240103E-2</v>
      </c>
      <c r="O1176">
        <f>_xlfn.STDEV.P($AD$1176:$AD$1192)</f>
        <v>0.15118104889026743</v>
      </c>
      <c r="P1176" t="s">
        <v>1247</v>
      </c>
      <c r="Q1176" t="s">
        <v>1354</v>
      </c>
      <c r="R1176">
        <v>4.5549999999999997</v>
      </c>
      <c r="S1176">
        <f>AVERAGE($R$1176:$R$1192)</f>
        <v>13.671588235294116</v>
      </c>
      <c r="Y1176" s="14">
        <f t="shared" si="351"/>
        <v>2016</v>
      </c>
      <c r="Z1176" s="14">
        <f>2025-AVERAGE($Y$1176:$Y$1192)</f>
        <v>7.823529411764639</v>
      </c>
      <c r="AD1176" s="3">
        <v>-0.22991105000000001</v>
      </c>
      <c r="AN1176" t="s">
        <v>1251</v>
      </c>
      <c r="AO1176">
        <v>0</v>
      </c>
    </row>
    <row r="1177" spans="1:41">
      <c r="A1177">
        <v>29</v>
      </c>
      <c r="B1177" t="s">
        <v>1202</v>
      </c>
      <c r="C1177" t="s">
        <v>1203</v>
      </c>
      <c r="D1177" s="3">
        <f t="shared" si="353"/>
        <v>21.428571428571427</v>
      </c>
      <c r="F1177">
        <v>2024</v>
      </c>
      <c r="G1177">
        <f t="shared" si="352"/>
        <v>1</v>
      </c>
      <c r="H1177">
        <f t="shared" ref="H1177:H1192" si="354">AVERAGE($AD$1176:$AD$1192)</f>
        <v>-3.0385680588235299E-2</v>
      </c>
      <c r="J1177">
        <f t="shared" ref="J1177:J1192" si="355">COUNTA($B$1176:$B$1193)</f>
        <v>18</v>
      </c>
      <c r="L1177">
        <v>7</v>
      </c>
      <c r="M1177">
        <f t="shared" ref="M1177:M1192" si="356">_xlfn.VAR.P($AD$1176:$AD$1192)</f>
        <v>2.2855709543561434E-2</v>
      </c>
      <c r="N1177">
        <f t="shared" ref="N1177:N1191" si="357">$O$1176/SQRT(J1177)</f>
        <v>3.563371495240103E-2</v>
      </c>
      <c r="O1177">
        <f t="shared" ref="O1177:O1192" si="358">_xlfn.STDEV.P($AD$1176:$AD$1192)</f>
        <v>0.15118104889026743</v>
      </c>
      <c r="P1177" t="s">
        <v>1247</v>
      </c>
      <c r="Q1177" t="s">
        <v>1354</v>
      </c>
      <c r="R1177">
        <v>4.5549999999999997</v>
      </c>
      <c r="S1177">
        <f t="shared" ref="S1177:S1240" si="359">AVERAGE($R$1176:$R$1192)</f>
        <v>13.671588235294116</v>
      </c>
      <c r="Y1177" s="14">
        <f t="shared" si="351"/>
        <v>2016</v>
      </c>
      <c r="Z1177" s="14">
        <f>2025-AVERAGE($Y$1176:$Y$1192)</f>
        <v>7.823529411764639</v>
      </c>
      <c r="AD1177" s="3">
        <v>-0.17910303</v>
      </c>
      <c r="AN1177" t="s">
        <v>1251</v>
      </c>
      <c r="AO1177">
        <v>0</v>
      </c>
    </row>
    <row r="1178" spans="1:41">
      <c r="A1178">
        <v>29</v>
      </c>
      <c r="B1178" t="s">
        <v>1202</v>
      </c>
      <c r="C1178" t="s">
        <v>1203</v>
      </c>
      <c r="D1178" s="3">
        <f t="shared" si="353"/>
        <v>21.428571428571427</v>
      </c>
      <c r="F1178">
        <v>2024</v>
      </c>
      <c r="G1178">
        <f t="shared" si="352"/>
        <v>1</v>
      </c>
      <c r="H1178">
        <f t="shared" si="354"/>
        <v>-3.0385680588235299E-2</v>
      </c>
      <c r="J1178">
        <f t="shared" si="355"/>
        <v>18</v>
      </c>
      <c r="L1178">
        <v>7</v>
      </c>
      <c r="M1178">
        <f t="shared" si="356"/>
        <v>2.2855709543561434E-2</v>
      </c>
      <c r="N1178">
        <f t="shared" si="357"/>
        <v>3.563371495240103E-2</v>
      </c>
      <c r="O1178">
        <f t="shared" si="358"/>
        <v>0.15118104889026743</v>
      </c>
      <c r="P1178" t="s">
        <v>1248</v>
      </c>
      <c r="Q1178" t="s">
        <v>1355</v>
      </c>
      <c r="R1178">
        <v>17.972999999999999</v>
      </c>
      <c r="S1178">
        <f t="shared" si="359"/>
        <v>13.671588235294116</v>
      </c>
      <c r="Y1178" s="14">
        <f t="shared" si="351"/>
        <v>2018</v>
      </c>
      <c r="Z1178" s="14">
        <f>2025-AVERAGE($Y$1176:$Y$1192)</f>
        <v>7.823529411764639</v>
      </c>
      <c r="AD1178" s="3">
        <v>0.34074616000000002</v>
      </c>
      <c r="AN1178" t="s">
        <v>1251</v>
      </c>
      <c r="AO1178">
        <v>0</v>
      </c>
    </row>
    <row r="1179" spans="1:41">
      <c r="A1179">
        <v>29</v>
      </c>
      <c r="B1179" t="s">
        <v>1202</v>
      </c>
      <c r="C1179" t="s">
        <v>1203</v>
      </c>
      <c r="D1179" s="3">
        <f t="shared" si="353"/>
        <v>21.428571428571427</v>
      </c>
      <c r="F1179">
        <v>2024</v>
      </c>
      <c r="G1179">
        <f t="shared" si="352"/>
        <v>1</v>
      </c>
      <c r="H1179">
        <f t="shared" si="354"/>
        <v>-3.0385680588235299E-2</v>
      </c>
      <c r="J1179">
        <f t="shared" si="355"/>
        <v>18</v>
      </c>
      <c r="L1179">
        <v>7</v>
      </c>
      <c r="M1179">
        <f t="shared" si="356"/>
        <v>2.2855709543561434E-2</v>
      </c>
      <c r="N1179">
        <f t="shared" si="357"/>
        <v>3.563371495240103E-2</v>
      </c>
      <c r="O1179">
        <f t="shared" si="358"/>
        <v>0.15118104889026743</v>
      </c>
      <c r="P1179" t="s">
        <v>1248</v>
      </c>
      <c r="Q1179" t="s">
        <v>1355</v>
      </c>
      <c r="R1179">
        <v>17.972999999999999</v>
      </c>
      <c r="S1179">
        <f t="shared" si="359"/>
        <v>13.671588235294116</v>
      </c>
      <c r="Y1179" s="14">
        <f t="shared" si="351"/>
        <v>2018</v>
      </c>
      <c r="Z1179" s="14">
        <f>2025-AVERAGE($Y$1176:$Y$1192)</f>
        <v>7.823529411764639</v>
      </c>
      <c r="AD1179" s="3">
        <v>0.24579854000000001</v>
      </c>
      <c r="AN1179" t="s">
        <v>1251</v>
      </c>
      <c r="AO1179">
        <v>0</v>
      </c>
    </row>
    <row r="1180" spans="1:41">
      <c r="A1180">
        <v>29</v>
      </c>
      <c r="B1180" t="s">
        <v>1202</v>
      </c>
      <c r="C1180" t="s">
        <v>1203</v>
      </c>
      <c r="D1180" s="3">
        <f t="shared" si="353"/>
        <v>21.428571428571427</v>
      </c>
      <c r="F1180">
        <v>2024</v>
      </c>
      <c r="G1180">
        <f t="shared" si="352"/>
        <v>1</v>
      </c>
      <c r="H1180">
        <f t="shared" si="354"/>
        <v>-3.0385680588235299E-2</v>
      </c>
      <c r="J1180">
        <f t="shared" si="355"/>
        <v>18</v>
      </c>
      <c r="L1180">
        <v>7</v>
      </c>
      <c r="M1180">
        <f>_xlfn.VAR.P($AD$1176:$AD$1192)</f>
        <v>2.2855709543561434E-2</v>
      </c>
      <c r="N1180">
        <f t="shared" si="357"/>
        <v>3.563371495240103E-2</v>
      </c>
      <c r="O1180">
        <f t="shared" si="358"/>
        <v>0.15118104889026743</v>
      </c>
      <c r="P1180" t="s">
        <v>1248</v>
      </c>
      <c r="Q1180" t="s">
        <v>1355</v>
      </c>
      <c r="R1180">
        <v>17.972999999999999</v>
      </c>
      <c r="S1180">
        <f t="shared" si="359"/>
        <v>13.671588235294116</v>
      </c>
      <c r="Y1180" s="14">
        <f t="shared" si="351"/>
        <v>2018</v>
      </c>
      <c r="Z1180" s="14">
        <f>2025-AVERAGE($Y$1176:$Y$1192)</f>
        <v>7.823529411764639</v>
      </c>
      <c r="AD1180" s="3">
        <v>0.13964481000000001</v>
      </c>
      <c r="AN1180" t="s">
        <v>1251</v>
      </c>
      <c r="AO1180">
        <v>0</v>
      </c>
    </row>
    <row r="1181" spans="1:41">
      <c r="A1181">
        <v>29</v>
      </c>
      <c r="B1181" t="s">
        <v>1202</v>
      </c>
      <c r="C1181" t="s">
        <v>1203</v>
      </c>
      <c r="D1181" s="3">
        <f t="shared" si="353"/>
        <v>21.428571428571427</v>
      </c>
      <c r="F1181">
        <v>2024</v>
      </c>
      <c r="G1181">
        <f t="shared" si="352"/>
        <v>1</v>
      </c>
      <c r="H1181">
        <f t="shared" si="354"/>
        <v>-3.0385680588235299E-2</v>
      </c>
      <c r="J1181">
        <f t="shared" si="355"/>
        <v>18</v>
      </c>
      <c r="L1181">
        <v>7</v>
      </c>
      <c r="M1181">
        <f t="shared" si="356"/>
        <v>2.2855709543561434E-2</v>
      </c>
      <c r="N1181">
        <f t="shared" si="357"/>
        <v>3.563371495240103E-2</v>
      </c>
      <c r="O1181">
        <f t="shared" si="358"/>
        <v>0.15118104889026743</v>
      </c>
      <c r="P1181" t="s">
        <v>1248</v>
      </c>
      <c r="Q1181" t="s">
        <v>1355</v>
      </c>
      <c r="R1181">
        <v>17.972999999999999</v>
      </c>
      <c r="S1181">
        <f t="shared" si="359"/>
        <v>13.671588235294116</v>
      </c>
      <c r="Y1181" s="14">
        <f t="shared" si="351"/>
        <v>2018</v>
      </c>
      <c r="Z1181" s="14">
        <f>2025-AVERAGE($Y$1176:$Y$1192)</f>
        <v>7.823529411764639</v>
      </c>
      <c r="AD1181" s="3">
        <v>-6.7110920000000004E-2</v>
      </c>
      <c r="AN1181" t="s">
        <v>1251</v>
      </c>
      <c r="AO1181">
        <v>0</v>
      </c>
    </row>
    <row r="1182" spans="1:41">
      <c r="A1182">
        <v>29</v>
      </c>
      <c r="B1182" t="s">
        <v>1202</v>
      </c>
      <c r="C1182" t="s">
        <v>1203</v>
      </c>
      <c r="D1182" s="3">
        <f t="shared" si="353"/>
        <v>21.428571428571427</v>
      </c>
      <c r="F1182">
        <v>2024</v>
      </c>
      <c r="G1182">
        <f t="shared" si="352"/>
        <v>1</v>
      </c>
      <c r="H1182">
        <f t="shared" si="354"/>
        <v>-3.0385680588235299E-2</v>
      </c>
      <c r="J1182">
        <f t="shared" si="355"/>
        <v>18</v>
      </c>
      <c r="L1182">
        <v>7</v>
      </c>
      <c r="M1182">
        <f t="shared" si="356"/>
        <v>2.2855709543561434E-2</v>
      </c>
      <c r="N1182">
        <f t="shared" si="357"/>
        <v>3.563371495240103E-2</v>
      </c>
      <c r="O1182">
        <f t="shared" si="358"/>
        <v>0.15118104889026743</v>
      </c>
      <c r="P1182" t="s">
        <v>1248</v>
      </c>
      <c r="Q1182" t="s">
        <v>1355</v>
      </c>
      <c r="R1182">
        <v>17.972999999999999</v>
      </c>
      <c r="S1182">
        <f t="shared" si="359"/>
        <v>13.671588235294116</v>
      </c>
      <c r="Y1182" s="14">
        <f t="shared" si="351"/>
        <v>2018</v>
      </c>
      <c r="Z1182" s="14">
        <f>2025-AVERAGE($Y$1176:$Y$1192)</f>
        <v>7.823529411764639</v>
      </c>
      <c r="AD1182" s="3">
        <v>-1.391511E-2</v>
      </c>
      <c r="AN1182" t="s">
        <v>1251</v>
      </c>
      <c r="AO1182">
        <v>0</v>
      </c>
    </row>
    <row r="1183" spans="1:41">
      <c r="A1183">
        <v>29</v>
      </c>
      <c r="B1183" t="s">
        <v>1202</v>
      </c>
      <c r="C1183" t="s">
        <v>1203</v>
      </c>
      <c r="D1183" s="3">
        <f t="shared" si="353"/>
        <v>21.428571428571427</v>
      </c>
      <c r="F1183">
        <v>2024</v>
      </c>
      <c r="G1183">
        <f t="shared" si="352"/>
        <v>1</v>
      </c>
      <c r="H1183">
        <f t="shared" si="354"/>
        <v>-3.0385680588235299E-2</v>
      </c>
      <c r="J1183">
        <f t="shared" si="355"/>
        <v>18</v>
      </c>
      <c r="L1183">
        <v>7</v>
      </c>
      <c r="M1183">
        <f t="shared" si="356"/>
        <v>2.2855709543561434E-2</v>
      </c>
      <c r="N1183">
        <f t="shared" si="357"/>
        <v>3.563371495240103E-2</v>
      </c>
      <c r="O1183">
        <f t="shared" si="358"/>
        <v>0.15118104889026743</v>
      </c>
      <c r="P1183" t="s">
        <v>1248</v>
      </c>
      <c r="Q1183" t="s">
        <v>1355</v>
      </c>
      <c r="R1183">
        <v>17.972999999999999</v>
      </c>
      <c r="S1183">
        <f t="shared" si="359"/>
        <v>13.671588235294116</v>
      </c>
      <c r="Y1183" s="14">
        <f t="shared" si="351"/>
        <v>2018</v>
      </c>
      <c r="Z1183" s="14">
        <f>2025-AVERAGE($Y$1176:$Y$1192)</f>
        <v>7.823529411764639</v>
      </c>
      <c r="AD1183" s="3">
        <v>2.9207919999999998E-2</v>
      </c>
      <c r="AN1183" t="s">
        <v>1251</v>
      </c>
      <c r="AO1183">
        <v>0</v>
      </c>
    </row>
    <row r="1184" spans="1:41">
      <c r="A1184">
        <v>29</v>
      </c>
      <c r="B1184" t="s">
        <v>1202</v>
      </c>
      <c r="C1184" t="s">
        <v>1203</v>
      </c>
      <c r="D1184" s="3">
        <f t="shared" si="353"/>
        <v>21.428571428571427</v>
      </c>
      <c r="F1184">
        <v>2024</v>
      </c>
      <c r="G1184">
        <f t="shared" si="352"/>
        <v>1</v>
      </c>
      <c r="H1184">
        <f t="shared" si="354"/>
        <v>-3.0385680588235299E-2</v>
      </c>
      <c r="J1184">
        <f t="shared" si="355"/>
        <v>18</v>
      </c>
      <c r="L1184">
        <v>7</v>
      </c>
      <c r="M1184">
        <f t="shared" si="356"/>
        <v>2.2855709543561434E-2</v>
      </c>
      <c r="N1184">
        <f t="shared" si="357"/>
        <v>3.563371495240103E-2</v>
      </c>
      <c r="O1184">
        <f t="shared" si="358"/>
        <v>0.15118104889026743</v>
      </c>
      <c r="P1184" t="s">
        <v>1248</v>
      </c>
      <c r="Q1184" t="s">
        <v>1355</v>
      </c>
      <c r="R1184">
        <v>17.972999999999999</v>
      </c>
      <c r="S1184">
        <f t="shared" si="359"/>
        <v>13.671588235294116</v>
      </c>
      <c r="Y1184" s="14">
        <f t="shared" si="351"/>
        <v>2018</v>
      </c>
      <c r="Z1184" s="14">
        <f>2025-AVERAGE($Y$1176:$Y$1192)</f>
        <v>7.823529411764639</v>
      </c>
      <c r="AD1184" s="3">
        <v>-9.9210800000000005E-3</v>
      </c>
      <c r="AN1184" t="s">
        <v>1251</v>
      </c>
      <c r="AO1184">
        <v>0</v>
      </c>
    </row>
    <row r="1185" spans="1:41">
      <c r="A1185">
        <v>29</v>
      </c>
      <c r="B1185" t="s">
        <v>1202</v>
      </c>
      <c r="C1185" t="s">
        <v>1203</v>
      </c>
      <c r="D1185" s="3">
        <f t="shared" si="353"/>
        <v>21.428571428571427</v>
      </c>
      <c r="F1185">
        <v>2024</v>
      </c>
      <c r="G1185">
        <f t="shared" si="352"/>
        <v>1</v>
      </c>
      <c r="H1185">
        <f t="shared" si="354"/>
        <v>-3.0385680588235299E-2</v>
      </c>
      <c r="J1185">
        <f t="shared" si="355"/>
        <v>18</v>
      </c>
      <c r="L1185">
        <v>7</v>
      </c>
      <c r="M1185">
        <f t="shared" si="356"/>
        <v>2.2855709543561434E-2</v>
      </c>
      <c r="N1185">
        <f t="shared" si="357"/>
        <v>3.563371495240103E-2</v>
      </c>
      <c r="O1185">
        <f t="shared" si="358"/>
        <v>0.15118104889026743</v>
      </c>
      <c r="P1185" t="s">
        <v>1248</v>
      </c>
      <c r="Q1185" t="s">
        <v>1355</v>
      </c>
      <c r="R1185">
        <v>17.972999999999999</v>
      </c>
      <c r="S1185">
        <f t="shared" si="359"/>
        <v>13.671588235294116</v>
      </c>
      <c r="Y1185" s="14">
        <f t="shared" si="351"/>
        <v>2018</v>
      </c>
      <c r="Z1185" s="14">
        <f>2025-AVERAGE($Y$1176:$Y$1192)</f>
        <v>7.823529411764639</v>
      </c>
      <c r="AD1185" s="3">
        <v>5.3033089999999998E-2</v>
      </c>
      <c r="AN1185" t="s">
        <v>1251</v>
      </c>
      <c r="AO1185">
        <v>0</v>
      </c>
    </row>
    <row r="1186" spans="1:41">
      <c r="A1186">
        <v>29</v>
      </c>
      <c r="B1186" t="s">
        <v>1202</v>
      </c>
      <c r="C1186" t="s">
        <v>1203</v>
      </c>
      <c r="D1186" s="3">
        <f t="shared" si="353"/>
        <v>21.428571428571427</v>
      </c>
      <c r="F1186">
        <v>2024</v>
      </c>
      <c r="G1186">
        <f t="shared" si="352"/>
        <v>1</v>
      </c>
      <c r="H1186">
        <f t="shared" si="354"/>
        <v>-3.0385680588235299E-2</v>
      </c>
      <c r="J1186">
        <f t="shared" si="355"/>
        <v>18</v>
      </c>
      <c r="L1186">
        <v>7</v>
      </c>
      <c r="M1186">
        <f t="shared" si="356"/>
        <v>2.2855709543561434E-2</v>
      </c>
      <c r="N1186">
        <f t="shared" si="357"/>
        <v>3.563371495240103E-2</v>
      </c>
      <c r="O1186">
        <f t="shared" si="358"/>
        <v>0.15118104889026743</v>
      </c>
      <c r="P1186" t="s">
        <v>1248</v>
      </c>
      <c r="Q1186" t="s">
        <v>1355</v>
      </c>
      <c r="R1186">
        <v>17.972999999999999</v>
      </c>
      <c r="S1186">
        <f t="shared" si="359"/>
        <v>13.671588235294116</v>
      </c>
      <c r="Y1186" s="14">
        <f t="shared" si="351"/>
        <v>2018</v>
      </c>
      <c r="Z1186" s="14">
        <f>2025-AVERAGE($Y$1176:$Y$1192)</f>
        <v>7.823529411764639</v>
      </c>
      <c r="AD1186" s="3">
        <v>-1.270783E-2</v>
      </c>
      <c r="AN1186" t="s">
        <v>1251</v>
      </c>
      <c r="AO1186">
        <v>0</v>
      </c>
    </row>
    <row r="1187" spans="1:41">
      <c r="A1187">
        <v>29</v>
      </c>
      <c r="B1187" t="s">
        <v>1202</v>
      </c>
      <c r="C1187" t="s">
        <v>1203</v>
      </c>
      <c r="D1187" s="3">
        <f t="shared" si="353"/>
        <v>21.428571428571427</v>
      </c>
      <c r="F1187">
        <v>2024</v>
      </c>
      <c r="G1187">
        <f t="shared" si="352"/>
        <v>1</v>
      </c>
      <c r="H1187">
        <f t="shared" si="354"/>
        <v>-3.0385680588235299E-2</v>
      </c>
      <c r="J1187">
        <f t="shared" si="355"/>
        <v>18</v>
      </c>
      <c r="L1187">
        <v>7</v>
      </c>
      <c r="M1187">
        <f t="shared" si="356"/>
        <v>2.2855709543561434E-2</v>
      </c>
      <c r="N1187">
        <f t="shared" si="357"/>
        <v>3.563371495240103E-2</v>
      </c>
      <c r="O1187">
        <f t="shared" si="358"/>
        <v>0.15118104889026743</v>
      </c>
      <c r="P1187" t="s">
        <v>1249</v>
      </c>
      <c r="Q1187" t="s">
        <v>378</v>
      </c>
      <c r="R1187">
        <v>8.9689999999999994</v>
      </c>
      <c r="S1187">
        <f t="shared" si="359"/>
        <v>13.671588235294116</v>
      </c>
      <c r="Y1187" s="14">
        <f t="shared" si="351"/>
        <v>2015</v>
      </c>
      <c r="Z1187" s="14">
        <f>2025-AVERAGE($Y$1176:$Y$1192)</f>
        <v>7.823529411764639</v>
      </c>
      <c r="AD1187" s="3">
        <v>-0.15</v>
      </c>
      <c r="AN1187" t="s">
        <v>1251</v>
      </c>
      <c r="AO1187">
        <v>0</v>
      </c>
    </row>
    <row r="1188" spans="1:41">
      <c r="A1188">
        <v>29</v>
      </c>
      <c r="B1188" t="s">
        <v>1202</v>
      </c>
      <c r="C1188" t="s">
        <v>1203</v>
      </c>
      <c r="D1188" s="3">
        <f t="shared" si="353"/>
        <v>21.428571428571427</v>
      </c>
      <c r="F1188">
        <v>2024</v>
      </c>
      <c r="G1188">
        <f t="shared" si="352"/>
        <v>1</v>
      </c>
      <c r="H1188">
        <f t="shared" si="354"/>
        <v>-3.0385680588235299E-2</v>
      </c>
      <c r="J1188">
        <f t="shared" si="355"/>
        <v>18</v>
      </c>
      <c r="L1188">
        <v>7</v>
      </c>
      <c r="M1188">
        <f t="shared" si="356"/>
        <v>2.2855709543561434E-2</v>
      </c>
      <c r="N1188">
        <f t="shared" si="357"/>
        <v>3.563371495240103E-2</v>
      </c>
      <c r="O1188">
        <f t="shared" si="358"/>
        <v>0.15118104889026743</v>
      </c>
      <c r="P1188" t="s">
        <v>1249</v>
      </c>
      <c r="Q1188" t="s">
        <v>378</v>
      </c>
      <c r="R1188">
        <v>8.9689999999999994</v>
      </c>
      <c r="S1188">
        <f t="shared" si="359"/>
        <v>13.671588235294116</v>
      </c>
      <c r="Y1188" s="14">
        <f t="shared" si="351"/>
        <v>2015</v>
      </c>
      <c r="Z1188" s="14">
        <f>2025-AVERAGE($Y$1176:$Y$1192)</f>
        <v>7.823529411764639</v>
      </c>
      <c r="AD1188" s="3">
        <v>-0.17</v>
      </c>
      <c r="AN1188" t="s">
        <v>1251</v>
      </c>
      <c r="AO1188">
        <v>0</v>
      </c>
    </row>
    <row r="1189" spans="1:41">
      <c r="A1189">
        <v>29</v>
      </c>
      <c r="B1189" t="s">
        <v>1202</v>
      </c>
      <c r="C1189" t="s">
        <v>1203</v>
      </c>
      <c r="D1189" s="3">
        <f t="shared" si="353"/>
        <v>21.428571428571427</v>
      </c>
      <c r="F1189">
        <v>2024</v>
      </c>
      <c r="G1189">
        <f t="shared" si="352"/>
        <v>1</v>
      </c>
      <c r="H1189">
        <f t="shared" si="354"/>
        <v>-3.0385680588235299E-2</v>
      </c>
      <c r="J1189">
        <f t="shared" si="355"/>
        <v>18</v>
      </c>
      <c r="L1189">
        <v>7</v>
      </c>
      <c r="M1189">
        <f t="shared" si="356"/>
        <v>2.2855709543561434E-2</v>
      </c>
      <c r="N1189">
        <f t="shared" si="357"/>
        <v>3.563371495240103E-2</v>
      </c>
      <c r="O1189">
        <f t="shared" si="358"/>
        <v>0.15118104889026743</v>
      </c>
      <c r="P1189" t="s">
        <v>1249</v>
      </c>
      <c r="Q1189" t="s">
        <v>378</v>
      </c>
      <c r="R1189">
        <v>8.9689999999999994</v>
      </c>
      <c r="S1189">
        <f t="shared" si="359"/>
        <v>13.671588235294116</v>
      </c>
      <c r="Y1189" s="14">
        <f t="shared" si="351"/>
        <v>2015</v>
      </c>
      <c r="Z1189" s="14">
        <f>2025-AVERAGE($Y$1176:$Y$1192)</f>
        <v>7.823529411764639</v>
      </c>
      <c r="AD1189" s="3">
        <v>-0.13500000000000001</v>
      </c>
      <c r="AN1189" t="s">
        <v>1251</v>
      </c>
      <c r="AO1189">
        <v>0</v>
      </c>
    </row>
    <row r="1190" spans="1:41">
      <c r="A1190">
        <v>29</v>
      </c>
      <c r="B1190" t="s">
        <v>1202</v>
      </c>
      <c r="C1190" t="s">
        <v>1203</v>
      </c>
      <c r="D1190" s="3">
        <f t="shared" si="353"/>
        <v>21.428571428571427</v>
      </c>
      <c r="F1190">
        <v>2024</v>
      </c>
      <c r="G1190">
        <f t="shared" si="352"/>
        <v>1</v>
      </c>
      <c r="H1190">
        <f t="shared" si="354"/>
        <v>-3.0385680588235299E-2</v>
      </c>
      <c r="J1190">
        <f t="shared" si="355"/>
        <v>18</v>
      </c>
      <c r="L1190">
        <v>7</v>
      </c>
      <c r="M1190">
        <f t="shared" si="356"/>
        <v>2.2855709543561434E-2</v>
      </c>
      <c r="N1190">
        <f t="shared" si="357"/>
        <v>3.563371495240103E-2</v>
      </c>
      <c r="O1190">
        <f t="shared" si="358"/>
        <v>0.15118104889026743</v>
      </c>
      <c r="P1190" t="s">
        <v>1249</v>
      </c>
      <c r="Q1190" t="s">
        <v>378</v>
      </c>
      <c r="R1190">
        <v>8.9689999999999994</v>
      </c>
      <c r="S1190">
        <f t="shared" si="359"/>
        <v>13.671588235294116</v>
      </c>
      <c r="Y1190">
        <f t="shared" si="351"/>
        <v>2015</v>
      </c>
      <c r="Z1190" s="14">
        <f>2025-AVERAGE($Y$1176:$Y$1192)</f>
        <v>7.823529411764639</v>
      </c>
      <c r="AD1190" s="3">
        <v>-0.08</v>
      </c>
      <c r="AN1190" t="s">
        <v>1251</v>
      </c>
      <c r="AO1190">
        <v>0</v>
      </c>
    </row>
    <row r="1191" spans="1:41">
      <c r="A1191">
        <v>29</v>
      </c>
      <c r="B1191" t="s">
        <v>1202</v>
      </c>
      <c r="C1191" t="s">
        <v>1203</v>
      </c>
      <c r="D1191" s="3">
        <f t="shared" si="353"/>
        <v>21.428571428571427</v>
      </c>
      <c r="F1191">
        <v>2024</v>
      </c>
      <c r="G1191">
        <f t="shared" si="352"/>
        <v>1</v>
      </c>
      <c r="H1191">
        <f t="shared" si="354"/>
        <v>-3.0385680588235299E-2</v>
      </c>
      <c r="J1191">
        <f t="shared" si="355"/>
        <v>18</v>
      </c>
      <c r="L1191">
        <v>7</v>
      </c>
      <c r="M1191">
        <f t="shared" si="356"/>
        <v>2.2855709543561434E-2</v>
      </c>
      <c r="N1191">
        <f t="shared" si="357"/>
        <v>3.563371495240103E-2</v>
      </c>
      <c r="O1191">
        <f t="shared" si="358"/>
        <v>0.15118104889026743</v>
      </c>
      <c r="P1191" t="s">
        <v>1250</v>
      </c>
      <c r="Q1191" t="s">
        <v>1356</v>
      </c>
      <c r="R1191">
        <v>12.837</v>
      </c>
      <c r="S1191">
        <f t="shared" si="359"/>
        <v>13.671588235294116</v>
      </c>
      <c r="Y1191">
        <f t="shared" si="351"/>
        <v>2019</v>
      </c>
      <c r="Z1191" s="14">
        <f>2025-AVERAGE($Y$1176:$Y$1192)</f>
        <v>7.823529411764639</v>
      </c>
      <c r="AD1191" s="3">
        <v>-0.12917830999999999</v>
      </c>
      <c r="AN1191" t="s">
        <v>1251</v>
      </c>
      <c r="AO1191">
        <v>0</v>
      </c>
    </row>
    <row r="1192" spans="1:41">
      <c r="A1192">
        <v>29</v>
      </c>
      <c r="B1192" t="s">
        <v>1202</v>
      </c>
      <c r="C1192" t="s">
        <v>1203</v>
      </c>
      <c r="D1192" s="3">
        <f t="shared" si="353"/>
        <v>21.428571428571427</v>
      </c>
      <c r="F1192">
        <v>2024</v>
      </c>
      <c r="G1192">
        <f t="shared" si="352"/>
        <v>1</v>
      </c>
      <c r="H1192">
        <f t="shared" si="354"/>
        <v>-3.0385680588235299E-2</v>
      </c>
      <c r="J1192">
        <f t="shared" si="355"/>
        <v>18</v>
      </c>
      <c r="L1192">
        <v>7</v>
      </c>
      <c r="M1192">
        <f t="shared" si="356"/>
        <v>2.2855709543561434E-2</v>
      </c>
      <c r="N1192">
        <f>$O$1176/SQRT(J1192)</f>
        <v>3.563371495240103E-2</v>
      </c>
      <c r="O1192">
        <f t="shared" si="358"/>
        <v>0.15118104889026743</v>
      </c>
      <c r="P1192" t="s">
        <v>1250</v>
      </c>
      <c r="Q1192" t="s">
        <v>1356</v>
      </c>
      <c r="R1192">
        <v>12.837</v>
      </c>
      <c r="S1192">
        <f t="shared" si="359"/>
        <v>13.671588235294116</v>
      </c>
      <c r="Y1192">
        <f t="shared" si="351"/>
        <v>2019</v>
      </c>
      <c r="Z1192" s="14">
        <f>2025-AVERAGE($Y$1176:$Y$1192)</f>
        <v>7.823529411764639</v>
      </c>
      <c r="AD1192" s="3">
        <v>-0.14813976000000001</v>
      </c>
      <c r="AN1192" t="s">
        <v>1251</v>
      </c>
      <c r="AO1192">
        <v>0</v>
      </c>
    </row>
    <row r="1193" spans="1:41" ht="18">
      <c r="A1193">
        <v>30</v>
      </c>
      <c r="B1193" s="13" t="s">
        <v>1252</v>
      </c>
      <c r="C1193" t="s">
        <v>1353</v>
      </c>
      <c r="D1193" s="3">
        <f>100*(35/100)</f>
        <v>35</v>
      </c>
      <c r="F1193">
        <v>2024</v>
      </c>
      <c r="G1193">
        <f t="shared" si="352"/>
        <v>1</v>
      </c>
      <c r="H1193">
        <f>AVERAGE($AD$1193:$AD$1292)</f>
        <v>0.16660285475285713</v>
      </c>
      <c r="J1193">
        <v>100</v>
      </c>
      <c r="L1193">
        <v>55</v>
      </c>
      <c r="M1193">
        <f>_xlfn.VAR.P($AD$1193:$AD$1292)</f>
        <v>7.9305135821047659E-2</v>
      </c>
      <c r="N1193">
        <f>$O$1193/SQRT(J1193)</f>
        <v>2.8161167557657775E-2</v>
      </c>
      <c r="O1193">
        <f>_xlfn.STDEV.P($AD$1193:$AD$1292)</f>
        <v>0.28161167557657774</v>
      </c>
      <c r="P1193" t="s">
        <v>1253</v>
      </c>
      <c r="Q1193" s="17" t="s">
        <v>1357</v>
      </c>
      <c r="R1193" s="6">
        <v>1.407</v>
      </c>
      <c r="S1193">
        <f>AVERAGE($R$1193:$R$1292)</f>
        <v>1.4609411764705882</v>
      </c>
      <c r="Y1193">
        <v>2020</v>
      </c>
      <c r="Z1193">
        <f>2025-AVERAGE($Y$1193:$Y$1292)</f>
        <v>5</v>
      </c>
      <c r="AD1193">
        <v>0.1202667</v>
      </c>
      <c r="AN1193" t="s">
        <v>185</v>
      </c>
      <c r="AO1193">
        <v>6.0970000000000004</v>
      </c>
    </row>
    <row r="1194" spans="1:41" ht="18">
      <c r="A1194">
        <v>30</v>
      </c>
      <c r="B1194" s="13" t="s">
        <v>1252</v>
      </c>
      <c r="C1194" t="s">
        <v>1353</v>
      </c>
      <c r="D1194" s="3">
        <f t="shared" ref="D1194:D1257" si="360">100*(35/100)</f>
        <v>35</v>
      </c>
      <c r="F1194">
        <v>2024</v>
      </c>
      <c r="G1194">
        <f t="shared" si="352"/>
        <v>1</v>
      </c>
      <c r="H1194">
        <f t="shared" ref="H1194:H1257" si="361">AVERAGE($AD$1193:$AD$1292)</f>
        <v>0.16660285475285713</v>
      </c>
      <c r="J1194">
        <v>100</v>
      </c>
      <c r="L1194">
        <v>55</v>
      </c>
      <c r="M1194">
        <f t="shared" ref="M1194:M1257" si="362">_xlfn.VAR.P($AD$1193:$AD$1292)</f>
        <v>7.9305135821047659E-2</v>
      </c>
      <c r="N1194">
        <f t="shared" ref="N1194:N1257" si="363">$O$1193/SQRT(J1194)</f>
        <v>2.8161167557657775E-2</v>
      </c>
      <c r="O1194">
        <f t="shared" ref="O1194:O1257" si="364">_xlfn.STDEV.P($AD$1193:$AD$1292)</f>
        <v>0.28161167557657774</v>
      </c>
      <c r="P1194" t="s">
        <v>1254</v>
      </c>
      <c r="Q1194" t="s">
        <v>527</v>
      </c>
      <c r="R1194" s="6">
        <v>3.641</v>
      </c>
      <c r="S1194">
        <f t="shared" ref="S1194:S1257" si="365">AVERAGE($R$1193:$R$1292)</f>
        <v>1.4609411764705882</v>
      </c>
      <c r="Y1194">
        <v>2020</v>
      </c>
      <c r="Z1194">
        <f t="shared" ref="Z1194:Z1257" si="366">2025-AVERAGE($Y$1193:$Y$1292)</f>
        <v>5</v>
      </c>
      <c r="AD1194">
        <v>8.7854870000000002E-2</v>
      </c>
      <c r="AN1194" t="s">
        <v>185</v>
      </c>
      <c r="AO1194">
        <v>6.0970000000000004</v>
      </c>
    </row>
    <row r="1195" spans="1:41" ht="18">
      <c r="A1195">
        <v>30</v>
      </c>
      <c r="B1195" s="13" t="s">
        <v>1252</v>
      </c>
      <c r="C1195" t="s">
        <v>1353</v>
      </c>
      <c r="D1195" s="3">
        <f t="shared" si="360"/>
        <v>35</v>
      </c>
      <c r="F1195">
        <v>2024</v>
      </c>
      <c r="G1195">
        <f t="shared" si="352"/>
        <v>1</v>
      </c>
      <c r="H1195">
        <f t="shared" si="361"/>
        <v>0.16660285475285713</v>
      </c>
      <c r="J1195">
        <v>100</v>
      </c>
      <c r="L1195">
        <v>55</v>
      </c>
      <c r="M1195">
        <f t="shared" si="362"/>
        <v>7.9305135821047659E-2</v>
      </c>
      <c r="N1195">
        <f t="shared" si="363"/>
        <v>2.8161167557657775E-2</v>
      </c>
      <c r="O1195">
        <f t="shared" si="364"/>
        <v>0.28161167557657774</v>
      </c>
      <c r="P1195" t="s">
        <v>1255</v>
      </c>
      <c r="Q1195" s="18" t="s">
        <v>1358</v>
      </c>
      <c r="R1195" s="6">
        <v>1.23</v>
      </c>
      <c r="S1195">
        <f t="shared" si="365"/>
        <v>1.4609411764705882</v>
      </c>
      <c r="Y1195">
        <v>2020</v>
      </c>
      <c r="Z1195">
        <f t="shared" si="366"/>
        <v>5</v>
      </c>
      <c r="AD1195" s="1">
        <v>7.8199999999999999E-9</v>
      </c>
      <c r="AN1195" t="s">
        <v>185</v>
      </c>
      <c r="AO1195">
        <v>6.0970000000000004</v>
      </c>
    </row>
    <row r="1196" spans="1:41" ht="18">
      <c r="A1196">
        <v>30</v>
      </c>
      <c r="B1196" s="13" t="s">
        <v>1252</v>
      </c>
      <c r="C1196" t="s">
        <v>1353</v>
      </c>
      <c r="D1196" s="3">
        <f t="shared" si="360"/>
        <v>35</v>
      </c>
      <c r="F1196">
        <v>2024</v>
      </c>
      <c r="G1196">
        <f t="shared" si="352"/>
        <v>1</v>
      </c>
      <c r="H1196">
        <f t="shared" si="361"/>
        <v>0.16660285475285713</v>
      </c>
      <c r="J1196">
        <v>100</v>
      </c>
      <c r="L1196">
        <v>55</v>
      </c>
      <c r="M1196">
        <f t="shared" si="362"/>
        <v>7.9305135821047659E-2</v>
      </c>
      <c r="N1196">
        <f t="shared" si="363"/>
        <v>2.8161167557657775E-2</v>
      </c>
      <c r="O1196">
        <f t="shared" si="364"/>
        <v>0.28161167557657774</v>
      </c>
      <c r="P1196" t="s">
        <v>1256</v>
      </c>
      <c r="Q1196" s="18" t="s">
        <v>1359</v>
      </c>
      <c r="R1196" s="6">
        <v>1.161</v>
      </c>
      <c r="S1196">
        <f t="shared" si="365"/>
        <v>1.4609411764705882</v>
      </c>
      <c r="Y1196">
        <v>2020</v>
      </c>
      <c r="Z1196">
        <f t="shared" si="366"/>
        <v>5</v>
      </c>
      <c r="AD1196">
        <v>0</v>
      </c>
      <c r="AN1196" t="s">
        <v>185</v>
      </c>
      <c r="AO1196">
        <v>6.0970000000000004</v>
      </c>
    </row>
    <row r="1197" spans="1:41" ht="18">
      <c r="A1197">
        <v>30</v>
      </c>
      <c r="B1197" s="13" t="s">
        <v>1252</v>
      </c>
      <c r="C1197" t="s">
        <v>1353</v>
      </c>
      <c r="D1197" s="3">
        <f t="shared" si="360"/>
        <v>35</v>
      </c>
      <c r="F1197">
        <v>2024</v>
      </c>
      <c r="G1197">
        <f t="shared" si="352"/>
        <v>1</v>
      </c>
      <c r="H1197">
        <f t="shared" si="361"/>
        <v>0.16660285475285713</v>
      </c>
      <c r="J1197">
        <v>100</v>
      </c>
      <c r="L1197">
        <v>55</v>
      </c>
      <c r="M1197">
        <f t="shared" si="362"/>
        <v>7.9305135821047659E-2</v>
      </c>
      <c r="N1197">
        <f t="shared" si="363"/>
        <v>2.8161167557657775E-2</v>
      </c>
      <c r="O1197">
        <f t="shared" si="364"/>
        <v>0.28161167557657774</v>
      </c>
      <c r="P1197" t="s">
        <v>1257</v>
      </c>
      <c r="Q1197" s="18" t="s">
        <v>1360</v>
      </c>
      <c r="R1197" s="6">
        <v>0.70199999999999996</v>
      </c>
      <c r="S1197">
        <f t="shared" si="365"/>
        <v>1.4609411764705882</v>
      </c>
      <c r="Y1197">
        <v>2020</v>
      </c>
      <c r="Z1197">
        <f t="shared" si="366"/>
        <v>5</v>
      </c>
      <c r="AD1197">
        <v>6.3149999999999998E-2</v>
      </c>
      <c r="AN1197" t="s">
        <v>185</v>
      </c>
      <c r="AO1197">
        <v>6.0970000000000004</v>
      </c>
    </row>
    <row r="1198" spans="1:41" ht="18">
      <c r="A1198">
        <v>30</v>
      </c>
      <c r="B1198" s="13" t="s">
        <v>1252</v>
      </c>
      <c r="C1198" t="s">
        <v>1353</v>
      </c>
      <c r="D1198" s="3">
        <f t="shared" si="360"/>
        <v>35</v>
      </c>
      <c r="F1198">
        <v>2024</v>
      </c>
      <c r="G1198">
        <f t="shared" si="352"/>
        <v>1</v>
      </c>
      <c r="H1198">
        <f t="shared" si="361"/>
        <v>0.16660285475285713</v>
      </c>
      <c r="J1198">
        <v>100</v>
      </c>
      <c r="L1198">
        <v>55</v>
      </c>
      <c r="M1198">
        <f t="shared" si="362"/>
        <v>7.9305135821047659E-2</v>
      </c>
      <c r="N1198">
        <f t="shared" si="363"/>
        <v>2.8161167557657775E-2</v>
      </c>
      <c r="O1198">
        <f t="shared" si="364"/>
        <v>0.28161167557657774</v>
      </c>
      <c r="P1198" t="s">
        <v>1258</v>
      </c>
      <c r="Q1198" s="18" t="s">
        <v>1361</v>
      </c>
      <c r="R1198" s="6">
        <v>1.6990000000000001</v>
      </c>
      <c r="S1198">
        <f t="shared" si="365"/>
        <v>1.4609411764705882</v>
      </c>
      <c r="Y1198">
        <v>2020</v>
      </c>
      <c r="Z1198">
        <f t="shared" si="366"/>
        <v>5</v>
      </c>
      <c r="AD1198">
        <v>7.0000000000000007E-2</v>
      </c>
      <c r="AN1198" t="s">
        <v>185</v>
      </c>
      <c r="AO1198">
        <v>6.0970000000000004</v>
      </c>
    </row>
    <row r="1199" spans="1:41" ht="15">
      <c r="A1199">
        <v>30</v>
      </c>
      <c r="B1199" s="13" t="s">
        <v>1252</v>
      </c>
      <c r="C1199" t="s">
        <v>1353</v>
      </c>
      <c r="D1199" s="3">
        <f t="shared" si="360"/>
        <v>35</v>
      </c>
      <c r="F1199">
        <v>2024</v>
      </c>
      <c r="G1199">
        <f t="shared" si="352"/>
        <v>1</v>
      </c>
      <c r="H1199">
        <f t="shared" si="361"/>
        <v>0.16660285475285713</v>
      </c>
      <c r="J1199">
        <v>100</v>
      </c>
      <c r="L1199">
        <v>55</v>
      </c>
      <c r="M1199">
        <f t="shared" si="362"/>
        <v>7.9305135821047659E-2</v>
      </c>
      <c r="N1199">
        <f t="shared" si="363"/>
        <v>2.8161167557657775E-2</v>
      </c>
      <c r="O1199">
        <f t="shared" si="364"/>
        <v>0.28161167557657774</v>
      </c>
      <c r="P1199" t="s">
        <v>1259</v>
      </c>
      <c r="S1199">
        <f t="shared" si="365"/>
        <v>1.4609411764705882</v>
      </c>
      <c r="Y1199">
        <v>2020</v>
      </c>
      <c r="Z1199">
        <f t="shared" si="366"/>
        <v>5</v>
      </c>
      <c r="AD1199">
        <v>0.14000000000000001</v>
      </c>
      <c r="AN1199" t="s">
        <v>185</v>
      </c>
      <c r="AO1199">
        <v>6.0970000000000004</v>
      </c>
    </row>
    <row r="1200" spans="1:41" ht="147">
      <c r="A1200">
        <v>30</v>
      </c>
      <c r="B1200" s="13" t="s">
        <v>1252</v>
      </c>
      <c r="C1200" t="s">
        <v>1353</v>
      </c>
      <c r="D1200" s="3">
        <f t="shared" si="360"/>
        <v>35</v>
      </c>
      <c r="F1200">
        <v>2024</v>
      </c>
      <c r="G1200">
        <f t="shared" si="352"/>
        <v>1</v>
      </c>
      <c r="H1200">
        <f t="shared" si="361"/>
        <v>0.16660285475285713</v>
      </c>
      <c r="J1200">
        <v>100</v>
      </c>
      <c r="L1200">
        <v>55</v>
      </c>
      <c r="M1200">
        <f t="shared" si="362"/>
        <v>7.9305135821047659E-2</v>
      </c>
      <c r="N1200">
        <f t="shared" si="363"/>
        <v>2.8161167557657775E-2</v>
      </c>
      <c r="O1200">
        <f t="shared" si="364"/>
        <v>0.28161167557657774</v>
      </c>
      <c r="P1200" t="s">
        <v>1260</v>
      </c>
      <c r="Q1200" s="19" t="s">
        <v>1362</v>
      </c>
      <c r="R1200" s="6">
        <v>0.747</v>
      </c>
      <c r="S1200">
        <f t="shared" si="365"/>
        <v>1.4609411764705882</v>
      </c>
      <c r="Y1200">
        <v>2020</v>
      </c>
      <c r="Z1200">
        <f t="shared" si="366"/>
        <v>5</v>
      </c>
      <c r="AD1200">
        <v>0</v>
      </c>
      <c r="AN1200" t="s">
        <v>185</v>
      </c>
      <c r="AO1200">
        <v>6.0970000000000004</v>
      </c>
    </row>
    <row r="1201" spans="1:41" ht="18">
      <c r="A1201">
        <v>30</v>
      </c>
      <c r="B1201" s="13" t="s">
        <v>1252</v>
      </c>
      <c r="C1201" t="s">
        <v>1353</v>
      </c>
      <c r="D1201" s="3">
        <f t="shared" si="360"/>
        <v>35</v>
      </c>
      <c r="F1201">
        <v>2024</v>
      </c>
      <c r="G1201">
        <f t="shared" si="352"/>
        <v>1</v>
      </c>
      <c r="H1201">
        <f t="shared" si="361"/>
        <v>0.16660285475285713</v>
      </c>
      <c r="J1201">
        <v>100</v>
      </c>
      <c r="L1201">
        <v>55</v>
      </c>
      <c r="M1201">
        <f t="shared" si="362"/>
        <v>7.9305135821047659E-2</v>
      </c>
      <c r="N1201">
        <f t="shared" si="363"/>
        <v>2.8161167557657775E-2</v>
      </c>
      <c r="O1201">
        <f t="shared" si="364"/>
        <v>0.28161167557657774</v>
      </c>
      <c r="P1201" t="s">
        <v>1261</v>
      </c>
      <c r="Q1201" s="17" t="s">
        <v>1363</v>
      </c>
      <c r="R1201" s="6">
        <v>0.83299999999999996</v>
      </c>
      <c r="S1201">
        <f t="shared" si="365"/>
        <v>1.4609411764705882</v>
      </c>
      <c r="Y1201">
        <v>2020</v>
      </c>
      <c r="Z1201">
        <f t="shared" si="366"/>
        <v>5</v>
      </c>
      <c r="AD1201">
        <v>3.8E-3</v>
      </c>
      <c r="AN1201" t="s">
        <v>185</v>
      </c>
      <c r="AO1201">
        <v>6.0970000000000004</v>
      </c>
    </row>
    <row r="1202" spans="1:41" ht="15">
      <c r="A1202">
        <v>30</v>
      </c>
      <c r="B1202" s="13" t="s">
        <v>1252</v>
      </c>
      <c r="C1202" t="s">
        <v>1353</v>
      </c>
      <c r="D1202" s="3">
        <f t="shared" si="360"/>
        <v>35</v>
      </c>
      <c r="F1202">
        <v>2024</v>
      </c>
      <c r="G1202">
        <f t="shared" si="352"/>
        <v>1</v>
      </c>
      <c r="H1202">
        <f t="shared" si="361"/>
        <v>0.16660285475285713</v>
      </c>
      <c r="J1202">
        <v>100</v>
      </c>
      <c r="L1202">
        <v>55</v>
      </c>
      <c r="M1202">
        <f t="shared" si="362"/>
        <v>7.9305135821047659E-2</v>
      </c>
      <c r="N1202">
        <f t="shared" si="363"/>
        <v>2.8161167557657775E-2</v>
      </c>
      <c r="O1202">
        <f t="shared" si="364"/>
        <v>0.28161167557657774</v>
      </c>
      <c r="P1202" t="s">
        <v>1262</v>
      </c>
      <c r="S1202">
        <f t="shared" si="365"/>
        <v>1.4609411764705882</v>
      </c>
      <c r="Y1202">
        <v>2020</v>
      </c>
      <c r="Z1202">
        <f t="shared" si="366"/>
        <v>5</v>
      </c>
      <c r="AD1202">
        <v>0</v>
      </c>
      <c r="AN1202" t="s">
        <v>185</v>
      </c>
      <c r="AO1202">
        <v>6.0970000000000004</v>
      </c>
    </row>
    <row r="1203" spans="1:41" ht="15">
      <c r="A1203">
        <v>30</v>
      </c>
      <c r="B1203" s="13" t="s">
        <v>1252</v>
      </c>
      <c r="C1203" t="s">
        <v>1353</v>
      </c>
      <c r="D1203" s="3">
        <f t="shared" si="360"/>
        <v>35</v>
      </c>
      <c r="F1203">
        <v>2024</v>
      </c>
      <c r="G1203">
        <f t="shared" si="352"/>
        <v>1</v>
      </c>
      <c r="H1203">
        <f t="shared" si="361"/>
        <v>0.16660285475285713</v>
      </c>
      <c r="J1203">
        <v>100</v>
      </c>
      <c r="L1203">
        <v>55</v>
      </c>
      <c r="M1203">
        <f t="shared" si="362"/>
        <v>7.9305135821047659E-2</v>
      </c>
      <c r="N1203">
        <f t="shared" si="363"/>
        <v>2.8161167557657775E-2</v>
      </c>
      <c r="O1203">
        <f t="shared" si="364"/>
        <v>0.28161167557657774</v>
      </c>
      <c r="P1203" t="s">
        <v>1263</v>
      </c>
      <c r="S1203">
        <f t="shared" si="365"/>
        <v>1.4609411764705882</v>
      </c>
      <c r="Y1203">
        <v>2020</v>
      </c>
      <c r="Z1203">
        <f t="shared" si="366"/>
        <v>5</v>
      </c>
      <c r="AD1203">
        <v>0.86863489999999999</v>
      </c>
      <c r="AN1203" t="s">
        <v>185</v>
      </c>
      <c r="AO1203">
        <v>6.0970000000000004</v>
      </c>
    </row>
    <row r="1204" spans="1:41" ht="15">
      <c r="A1204">
        <v>30</v>
      </c>
      <c r="B1204" s="13" t="s">
        <v>1252</v>
      </c>
      <c r="C1204" t="s">
        <v>1353</v>
      </c>
      <c r="D1204" s="3">
        <f t="shared" si="360"/>
        <v>35</v>
      </c>
      <c r="F1204">
        <v>2024</v>
      </c>
      <c r="G1204">
        <f t="shared" si="352"/>
        <v>1</v>
      </c>
      <c r="H1204">
        <f t="shared" si="361"/>
        <v>0.16660285475285713</v>
      </c>
      <c r="J1204">
        <v>100</v>
      </c>
      <c r="L1204">
        <v>55</v>
      </c>
      <c r="M1204">
        <f t="shared" si="362"/>
        <v>7.9305135821047659E-2</v>
      </c>
      <c r="N1204">
        <f t="shared" si="363"/>
        <v>2.8161167557657775E-2</v>
      </c>
      <c r="O1204">
        <f t="shared" si="364"/>
        <v>0.28161167557657774</v>
      </c>
      <c r="P1204" t="s">
        <v>1264</v>
      </c>
      <c r="S1204">
        <f t="shared" si="365"/>
        <v>1.4609411764705882</v>
      </c>
      <c r="Y1204">
        <v>2020</v>
      </c>
      <c r="Z1204">
        <f t="shared" si="366"/>
        <v>5</v>
      </c>
      <c r="AD1204">
        <v>0</v>
      </c>
      <c r="AN1204" t="s">
        <v>185</v>
      </c>
      <c r="AO1204">
        <v>6.0970000000000004</v>
      </c>
    </row>
    <row r="1205" spans="1:41" ht="18">
      <c r="A1205">
        <v>30</v>
      </c>
      <c r="B1205" s="13" t="s">
        <v>1252</v>
      </c>
      <c r="C1205" t="s">
        <v>1353</v>
      </c>
      <c r="D1205" s="3">
        <f t="shared" si="360"/>
        <v>35</v>
      </c>
      <c r="F1205">
        <v>2024</v>
      </c>
      <c r="G1205">
        <f t="shared" si="352"/>
        <v>1</v>
      </c>
      <c r="H1205">
        <f t="shared" si="361"/>
        <v>0.16660285475285713</v>
      </c>
      <c r="J1205">
        <v>100</v>
      </c>
      <c r="L1205">
        <v>55</v>
      </c>
      <c r="M1205">
        <f t="shared" si="362"/>
        <v>7.9305135821047659E-2</v>
      </c>
      <c r="N1205">
        <f t="shared" si="363"/>
        <v>2.8161167557657775E-2</v>
      </c>
      <c r="O1205">
        <f t="shared" si="364"/>
        <v>0.28161167557657774</v>
      </c>
      <c r="P1205" t="s">
        <v>1265</v>
      </c>
      <c r="Q1205" t="s">
        <v>1364</v>
      </c>
      <c r="R1205" s="6">
        <v>0.99</v>
      </c>
      <c r="S1205">
        <f t="shared" si="365"/>
        <v>1.4609411764705882</v>
      </c>
      <c r="Y1205">
        <v>2020</v>
      </c>
      <c r="Z1205">
        <f t="shared" si="366"/>
        <v>5</v>
      </c>
      <c r="AD1205">
        <v>0</v>
      </c>
      <c r="AN1205" t="s">
        <v>185</v>
      </c>
      <c r="AO1205">
        <v>6.0970000000000004</v>
      </c>
    </row>
    <row r="1206" spans="1:41" ht="18">
      <c r="A1206">
        <v>30</v>
      </c>
      <c r="B1206" s="13" t="s">
        <v>1252</v>
      </c>
      <c r="C1206" t="s">
        <v>1353</v>
      </c>
      <c r="D1206" s="3">
        <f t="shared" si="360"/>
        <v>35</v>
      </c>
      <c r="F1206">
        <v>2024</v>
      </c>
      <c r="G1206">
        <f t="shared" si="352"/>
        <v>1</v>
      </c>
      <c r="H1206">
        <f t="shared" si="361"/>
        <v>0.16660285475285713</v>
      </c>
      <c r="J1206">
        <v>100</v>
      </c>
      <c r="L1206">
        <v>55</v>
      </c>
      <c r="M1206">
        <f t="shared" si="362"/>
        <v>7.9305135821047659E-2</v>
      </c>
      <c r="N1206">
        <f t="shared" si="363"/>
        <v>2.8161167557657775E-2</v>
      </c>
      <c r="O1206">
        <f t="shared" si="364"/>
        <v>0.28161167557657774</v>
      </c>
      <c r="P1206" t="s">
        <v>1266</v>
      </c>
      <c r="Q1206" s="18" t="s">
        <v>1365</v>
      </c>
      <c r="R1206" s="6">
        <v>0.94699999999999995</v>
      </c>
      <c r="S1206">
        <f t="shared" si="365"/>
        <v>1.4609411764705882</v>
      </c>
      <c r="Y1206">
        <v>2020</v>
      </c>
      <c r="Z1206">
        <f t="shared" si="366"/>
        <v>5</v>
      </c>
      <c r="AD1206">
        <v>0.82599999999999996</v>
      </c>
      <c r="AN1206" t="s">
        <v>185</v>
      </c>
      <c r="AO1206">
        <v>6.0970000000000004</v>
      </c>
    </row>
    <row r="1207" spans="1:41" ht="15">
      <c r="A1207">
        <v>30</v>
      </c>
      <c r="B1207" s="13" t="s">
        <v>1252</v>
      </c>
      <c r="C1207" t="s">
        <v>1353</v>
      </c>
      <c r="D1207" s="3">
        <f t="shared" si="360"/>
        <v>35</v>
      </c>
      <c r="F1207">
        <v>2024</v>
      </c>
      <c r="G1207">
        <f t="shared" si="352"/>
        <v>1</v>
      </c>
      <c r="H1207">
        <f t="shared" si="361"/>
        <v>0.16660285475285713</v>
      </c>
      <c r="J1207">
        <v>100</v>
      </c>
      <c r="L1207">
        <v>55</v>
      </c>
      <c r="M1207">
        <f t="shared" si="362"/>
        <v>7.9305135821047659E-2</v>
      </c>
      <c r="N1207">
        <f t="shared" si="363"/>
        <v>2.8161167557657775E-2</v>
      </c>
      <c r="O1207">
        <f t="shared" si="364"/>
        <v>0.28161167557657774</v>
      </c>
      <c r="P1207" t="s">
        <v>1267</v>
      </c>
      <c r="S1207">
        <f t="shared" si="365"/>
        <v>1.4609411764705882</v>
      </c>
      <c r="Y1207">
        <v>2020</v>
      </c>
      <c r="Z1207">
        <f t="shared" si="366"/>
        <v>5</v>
      </c>
      <c r="AD1207">
        <v>0.3322</v>
      </c>
      <c r="AN1207" t="s">
        <v>185</v>
      </c>
      <c r="AO1207">
        <v>6.0970000000000004</v>
      </c>
    </row>
    <row r="1208" spans="1:41" ht="18">
      <c r="A1208">
        <v>30</v>
      </c>
      <c r="B1208" s="13" t="s">
        <v>1252</v>
      </c>
      <c r="C1208" t="s">
        <v>1353</v>
      </c>
      <c r="D1208" s="3">
        <f t="shared" si="360"/>
        <v>35</v>
      </c>
      <c r="F1208">
        <v>2024</v>
      </c>
      <c r="G1208">
        <f t="shared" si="352"/>
        <v>1</v>
      </c>
      <c r="H1208">
        <f t="shared" si="361"/>
        <v>0.16660285475285713</v>
      </c>
      <c r="J1208">
        <v>100</v>
      </c>
      <c r="L1208">
        <v>55</v>
      </c>
      <c r="M1208">
        <f t="shared" si="362"/>
        <v>7.9305135821047659E-2</v>
      </c>
      <c r="N1208">
        <f t="shared" si="363"/>
        <v>2.8161167557657775E-2</v>
      </c>
      <c r="O1208">
        <f t="shared" si="364"/>
        <v>0.28161167557657774</v>
      </c>
      <c r="P1208" t="s">
        <v>1268</v>
      </c>
      <c r="Q1208" s="18" t="s">
        <v>1365</v>
      </c>
      <c r="R1208" s="6">
        <v>0.94699999999999995</v>
      </c>
      <c r="S1208">
        <f t="shared" si="365"/>
        <v>1.4609411764705882</v>
      </c>
      <c r="Y1208">
        <v>2020</v>
      </c>
      <c r="Z1208">
        <f t="shared" si="366"/>
        <v>5</v>
      </c>
      <c r="AD1208" s="1">
        <v>1.5804839999999999E-4</v>
      </c>
      <c r="AN1208" t="s">
        <v>185</v>
      </c>
      <c r="AO1208">
        <v>6.0970000000000004</v>
      </c>
    </row>
    <row r="1209" spans="1:41" ht="15">
      <c r="A1209">
        <v>30</v>
      </c>
      <c r="B1209" s="13" t="s">
        <v>1252</v>
      </c>
      <c r="C1209" t="s">
        <v>1353</v>
      </c>
      <c r="D1209" s="3">
        <f t="shared" si="360"/>
        <v>35</v>
      </c>
      <c r="F1209">
        <v>2024</v>
      </c>
      <c r="G1209">
        <f t="shared" si="352"/>
        <v>1</v>
      </c>
      <c r="H1209">
        <f t="shared" si="361"/>
        <v>0.16660285475285713</v>
      </c>
      <c r="J1209">
        <v>100</v>
      </c>
      <c r="L1209">
        <v>55</v>
      </c>
      <c r="M1209">
        <f t="shared" si="362"/>
        <v>7.9305135821047659E-2</v>
      </c>
      <c r="N1209">
        <f t="shared" si="363"/>
        <v>2.8161167557657775E-2</v>
      </c>
      <c r="O1209">
        <f t="shared" si="364"/>
        <v>0.28161167557657774</v>
      </c>
      <c r="P1209" t="s">
        <v>1269</v>
      </c>
      <c r="S1209">
        <f t="shared" si="365"/>
        <v>1.4609411764705882</v>
      </c>
      <c r="Y1209">
        <v>2020</v>
      </c>
      <c r="Z1209">
        <f t="shared" si="366"/>
        <v>5</v>
      </c>
      <c r="AD1209" s="1">
        <v>1.9000000000000001E-5</v>
      </c>
      <c r="AN1209" t="s">
        <v>185</v>
      </c>
      <c r="AO1209">
        <v>6.0970000000000004</v>
      </c>
    </row>
    <row r="1210" spans="1:41" ht="15">
      <c r="A1210">
        <v>30</v>
      </c>
      <c r="B1210" s="13" t="s">
        <v>1252</v>
      </c>
      <c r="C1210" t="s">
        <v>1353</v>
      </c>
      <c r="D1210" s="3">
        <f t="shared" si="360"/>
        <v>35</v>
      </c>
      <c r="F1210">
        <v>2024</v>
      </c>
      <c r="G1210">
        <f t="shared" si="352"/>
        <v>1</v>
      </c>
      <c r="H1210">
        <f t="shared" si="361"/>
        <v>0.16660285475285713</v>
      </c>
      <c r="J1210">
        <v>100</v>
      </c>
      <c r="L1210">
        <v>55</v>
      </c>
      <c r="M1210">
        <f t="shared" si="362"/>
        <v>7.9305135821047659E-2</v>
      </c>
      <c r="N1210">
        <f t="shared" si="363"/>
        <v>2.8161167557657775E-2</v>
      </c>
      <c r="O1210">
        <f t="shared" si="364"/>
        <v>0.28161167557657774</v>
      </c>
      <c r="P1210" t="s">
        <v>1270</v>
      </c>
      <c r="S1210">
        <f t="shared" si="365"/>
        <v>1.4609411764705882</v>
      </c>
      <c r="Y1210">
        <v>2020</v>
      </c>
      <c r="Z1210">
        <f t="shared" si="366"/>
        <v>5</v>
      </c>
      <c r="AD1210">
        <v>1.1000000000000001E-3</v>
      </c>
      <c r="AN1210" t="s">
        <v>185</v>
      </c>
      <c r="AO1210">
        <v>6.0970000000000004</v>
      </c>
    </row>
    <row r="1211" spans="1:41" ht="18">
      <c r="A1211">
        <v>30</v>
      </c>
      <c r="B1211" s="13" t="s">
        <v>1252</v>
      </c>
      <c r="C1211" t="s">
        <v>1353</v>
      </c>
      <c r="D1211" s="3">
        <f t="shared" si="360"/>
        <v>35</v>
      </c>
      <c r="F1211">
        <v>2024</v>
      </c>
      <c r="G1211">
        <f t="shared" si="352"/>
        <v>1</v>
      </c>
      <c r="H1211">
        <f t="shared" si="361"/>
        <v>0.16660285475285713</v>
      </c>
      <c r="J1211">
        <v>100</v>
      </c>
      <c r="L1211">
        <v>55</v>
      </c>
      <c r="M1211">
        <f t="shared" si="362"/>
        <v>7.9305135821047659E-2</v>
      </c>
      <c r="N1211">
        <f t="shared" si="363"/>
        <v>2.8161167557657775E-2</v>
      </c>
      <c r="O1211">
        <f t="shared" si="364"/>
        <v>0.28161167557657774</v>
      </c>
      <c r="P1211" t="s">
        <v>1271</v>
      </c>
      <c r="Q1211" t="s">
        <v>527</v>
      </c>
      <c r="R1211" s="6">
        <v>3.641</v>
      </c>
      <c r="S1211">
        <f t="shared" si="365"/>
        <v>1.4609411764705882</v>
      </c>
      <c r="Y1211">
        <v>2020</v>
      </c>
      <c r="Z1211">
        <f t="shared" si="366"/>
        <v>5</v>
      </c>
      <c r="AD1211">
        <v>8.8999999999999996E-2</v>
      </c>
      <c r="AN1211" t="s">
        <v>185</v>
      </c>
      <c r="AO1211">
        <v>6.0970000000000004</v>
      </c>
    </row>
    <row r="1212" spans="1:41" ht="18">
      <c r="A1212">
        <v>30</v>
      </c>
      <c r="B1212" s="13" t="s">
        <v>1252</v>
      </c>
      <c r="C1212" t="s">
        <v>1353</v>
      </c>
      <c r="D1212" s="3">
        <f t="shared" si="360"/>
        <v>35</v>
      </c>
      <c r="F1212">
        <v>2024</v>
      </c>
      <c r="G1212">
        <f t="shared" si="352"/>
        <v>1</v>
      </c>
      <c r="H1212">
        <f t="shared" si="361"/>
        <v>0.16660285475285713</v>
      </c>
      <c r="J1212">
        <v>100</v>
      </c>
      <c r="L1212">
        <v>55</v>
      </c>
      <c r="M1212">
        <f t="shared" si="362"/>
        <v>7.9305135821047659E-2</v>
      </c>
      <c r="N1212">
        <f t="shared" si="363"/>
        <v>2.8161167557657775E-2</v>
      </c>
      <c r="O1212">
        <f t="shared" si="364"/>
        <v>0.28161167557657774</v>
      </c>
      <c r="P1212" t="s">
        <v>1272</v>
      </c>
      <c r="R1212" s="6">
        <v>3.2759999999999998</v>
      </c>
      <c r="S1212">
        <f t="shared" si="365"/>
        <v>1.4609411764705882</v>
      </c>
      <c r="Y1212">
        <v>2020</v>
      </c>
      <c r="Z1212">
        <f t="shared" si="366"/>
        <v>5</v>
      </c>
      <c r="AD1212">
        <v>0</v>
      </c>
      <c r="AN1212" t="s">
        <v>185</v>
      </c>
      <c r="AO1212">
        <v>6.0970000000000004</v>
      </c>
    </row>
    <row r="1213" spans="1:41" ht="18">
      <c r="A1213">
        <v>30</v>
      </c>
      <c r="B1213" s="13" t="s">
        <v>1252</v>
      </c>
      <c r="C1213" t="s">
        <v>1353</v>
      </c>
      <c r="D1213" s="3">
        <f t="shared" si="360"/>
        <v>35</v>
      </c>
      <c r="F1213">
        <v>2024</v>
      </c>
      <c r="G1213">
        <f t="shared" si="352"/>
        <v>1</v>
      </c>
      <c r="H1213">
        <f t="shared" si="361"/>
        <v>0.16660285475285713</v>
      </c>
      <c r="J1213">
        <v>100</v>
      </c>
      <c r="L1213">
        <v>55</v>
      </c>
      <c r="M1213">
        <f t="shared" si="362"/>
        <v>7.9305135821047659E-2</v>
      </c>
      <c r="N1213">
        <f t="shared" si="363"/>
        <v>2.8161167557657775E-2</v>
      </c>
      <c r="O1213">
        <f t="shared" si="364"/>
        <v>0.28161167557657774</v>
      </c>
      <c r="P1213" t="s">
        <v>1273</v>
      </c>
      <c r="R1213" s="6">
        <v>0.71899999999999997</v>
      </c>
      <c r="S1213">
        <f t="shared" si="365"/>
        <v>1.4609411764705882</v>
      </c>
      <c r="Y1213">
        <v>2020</v>
      </c>
      <c r="Z1213">
        <f t="shared" si="366"/>
        <v>5</v>
      </c>
      <c r="AD1213">
        <v>7.0000000000000001E-3</v>
      </c>
      <c r="AN1213" t="s">
        <v>185</v>
      </c>
      <c r="AO1213">
        <v>6.0970000000000004</v>
      </c>
    </row>
    <row r="1214" spans="1:41" ht="18">
      <c r="A1214">
        <v>30</v>
      </c>
      <c r="B1214" s="13" t="s">
        <v>1252</v>
      </c>
      <c r="C1214" t="s">
        <v>1353</v>
      </c>
      <c r="D1214" s="3">
        <f t="shared" si="360"/>
        <v>35</v>
      </c>
      <c r="F1214">
        <v>2024</v>
      </c>
      <c r="G1214">
        <f t="shared" si="352"/>
        <v>1</v>
      </c>
      <c r="H1214">
        <f t="shared" si="361"/>
        <v>0.16660285475285713</v>
      </c>
      <c r="J1214">
        <v>100</v>
      </c>
      <c r="L1214">
        <v>55</v>
      </c>
      <c r="M1214">
        <f t="shared" si="362"/>
        <v>7.9305135821047659E-2</v>
      </c>
      <c r="N1214">
        <f t="shared" si="363"/>
        <v>2.8161167557657775E-2</v>
      </c>
      <c r="O1214">
        <f t="shared" si="364"/>
        <v>0.28161167557657774</v>
      </c>
      <c r="P1214" t="s">
        <v>1274</v>
      </c>
      <c r="R1214" s="6">
        <v>0.61199999999999999</v>
      </c>
      <c r="S1214">
        <f t="shared" si="365"/>
        <v>1.4609411764705882</v>
      </c>
      <c r="Y1214">
        <v>2020</v>
      </c>
      <c r="Z1214">
        <f t="shared" si="366"/>
        <v>5</v>
      </c>
      <c r="AD1214">
        <v>0</v>
      </c>
      <c r="AN1214" t="s">
        <v>185</v>
      </c>
      <c r="AO1214">
        <v>6.0970000000000004</v>
      </c>
    </row>
    <row r="1215" spans="1:41" ht="18">
      <c r="A1215">
        <v>30</v>
      </c>
      <c r="B1215" s="13" t="s">
        <v>1252</v>
      </c>
      <c r="C1215" t="s">
        <v>1353</v>
      </c>
      <c r="D1215" s="3">
        <f t="shared" si="360"/>
        <v>35</v>
      </c>
      <c r="F1215">
        <v>2024</v>
      </c>
      <c r="G1215">
        <f t="shared" si="352"/>
        <v>1</v>
      </c>
      <c r="H1215">
        <f t="shared" si="361"/>
        <v>0.16660285475285713</v>
      </c>
      <c r="J1215">
        <v>100</v>
      </c>
      <c r="L1215">
        <v>55</v>
      </c>
      <c r="M1215">
        <f t="shared" si="362"/>
        <v>7.9305135821047659E-2</v>
      </c>
      <c r="N1215">
        <f t="shared" si="363"/>
        <v>2.8161167557657775E-2</v>
      </c>
      <c r="O1215">
        <f t="shared" si="364"/>
        <v>0.28161167557657774</v>
      </c>
      <c r="P1215" t="s">
        <v>1275</v>
      </c>
      <c r="R1215" s="6"/>
      <c r="S1215">
        <f t="shared" si="365"/>
        <v>1.4609411764705882</v>
      </c>
      <c r="Y1215">
        <v>2020</v>
      </c>
      <c r="Z1215">
        <f t="shared" si="366"/>
        <v>5</v>
      </c>
      <c r="AD1215">
        <v>0.60299999999999998</v>
      </c>
      <c r="AN1215" t="s">
        <v>185</v>
      </c>
      <c r="AO1215">
        <v>6.0970000000000004</v>
      </c>
    </row>
    <row r="1216" spans="1:41" ht="18">
      <c r="A1216">
        <v>30</v>
      </c>
      <c r="B1216" s="13" t="s">
        <v>1252</v>
      </c>
      <c r="C1216" t="s">
        <v>1353</v>
      </c>
      <c r="D1216" s="3">
        <f t="shared" si="360"/>
        <v>35</v>
      </c>
      <c r="F1216">
        <v>2024</v>
      </c>
      <c r="G1216">
        <f t="shared" si="352"/>
        <v>1</v>
      </c>
      <c r="H1216">
        <f t="shared" si="361"/>
        <v>0.16660285475285713</v>
      </c>
      <c r="J1216">
        <v>100</v>
      </c>
      <c r="L1216">
        <v>55</v>
      </c>
      <c r="M1216">
        <f t="shared" si="362"/>
        <v>7.9305135821047659E-2</v>
      </c>
      <c r="N1216">
        <f t="shared" si="363"/>
        <v>2.8161167557657775E-2</v>
      </c>
      <c r="O1216">
        <f t="shared" si="364"/>
        <v>0.28161167557657774</v>
      </c>
      <c r="P1216" t="s">
        <v>1276</v>
      </c>
      <c r="R1216" s="6">
        <v>0.84</v>
      </c>
      <c r="S1216">
        <f t="shared" si="365"/>
        <v>1.4609411764705882</v>
      </c>
      <c r="Y1216">
        <v>2020</v>
      </c>
      <c r="Z1216">
        <f t="shared" si="366"/>
        <v>5</v>
      </c>
      <c r="AD1216">
        <v>0.71</v>
      </c>
      <c r="AN1216" t="s">
        <v>185</v>
      </c>
      <c r="AO1216">
        <v>6.0970000000000004</v>
      </c>
    </row>
    <row r="1217" spans="1:41" ht="18">
      <c r="A1217">
        <v>30</v>
      </c>
      <c r="B1217" s="13" t="s">
        <v>1252</v>
      </c>
      <c r="C1217" t="s">
        <v>1353</v>
      </c>
      <c r="D1217" s="3">
        <f t="shared" si="360"/>
        <v>35</v>
      </c>
      <c r="F1217">
        <v>2024</v>
      </c>
      <c r="G1217">
        <f t="shared" si="352"/>
        <v>1</v>
      </c>
      <c r="H1217">
        <f t="shared" si="361"/>
        <v>0.16660285475285713</v>
      </c>
      <c r="J1217">
        <v>100</v>
      </c>
      <c r="L1217">
        <v>55</v>
      </c>
      <c r="M1217">
        <f t="shared" si="362"/>
        <v>7.9305135821047659E-2</v>
      </c>
      <c r="N1217">
        <f t="shared" si="363"/>
        <v>2.8161167557657775E-2</v>
      </c>
      <c r="O1217">
        <f t="shared" si="364"/>
        <v>0.28161167557657774</v>
      </c>
      <c r="P1217" t="s">
        <v>1277</v>
      </c>
      <c r="R1217" s="6">
        <v>1.444</v>
      </c>
      <c r="S1217">
        <f t="shared" si="365"/>
        <v>1.4609411764705882</v>
      </c>
      <c r="Y1217">
        <v>2020</v>
      </c>
      <c r="Z1217">
        <f t="shared" si="366"/>
        <v>5</v>
      </c>
      <c r="AD1217">
        <v>7.3000000000000001E-3</v>
      </c>
      <c r="AN1217" t="s">
        <v>185</v>
      </c>
      <c r="AO1217">
        <v>6.0970000000000004</v>
      </c>
    </row>
    <row r="1218" spans="1:41" ht="15">
      <c r="A1218">
        <v>30</v>
      </c>
      <c r="B1218" s="13" t="s">
        <v>1252</v>
      </c>
      <c r="C1218" t="s">
        <v>1353</v>
      </c>
      <c r="D1218" s="3">
        <f t="shared" si="360"/>
        <v>35</v>
      </c>
      <c r="F1218">
        <v>2024</v>
      </c>
      <c r="G1218">
        <f t="shared" si="352"/>
        <v>1</v>
      </c>
      <c r="H1218">
        <f t="shared" si="361"/>
        <v>0.16660285475285713</v>
      </c>
      <c r="J1218">
        <v>100</v>
      </c>
      <c r="L1218">
        <v>55</v>
      </c>
      <c r="M1218">
        <f t="shared" si="362"/>
        <v>7.9305135821047659E-2</v>
      </c>
      <c r="N1218">
        <f t="shared" si="363"/>
        <v>2.8161167557657775E-2</v>
      </c>
      <c r="O1218">
        <f t="shared" si="364"/>
        <v>0.28161167557657774</v>
      </c>
      <c r="P1218" t="s">
        <v>1278</v>
      </c>
      <c r="S1218">
        <f t="shared" si="365"/>
        <v>1.4609411764705882</v>
      </c>
      <c r="Y1218">
        <v>2020</v>
      </c>
      <c r="Z1218">
        <f t="shared" si="366"/>
        <v>5</v>
      </c>
      <c r="AD1218">
        <v>0</v>
      </c>
      <c r="AN1218" t="s">
        <v>185</v>
      </c>
      <c r="AO1218">
        <v>6.0970000000000004</v>
      </c>
    </row>
    <row r="1219" spans="1:41" ht="15">
      <c r="A1219">
        <v>30</v>
      </c>
      <c r="B1219" s="13" t="s">
        <v>1252</v>
      </c>
      <c r="C1219" t="s">
        <v>1353</v>
      </c>
      <c r="D1219" s="3">
        <f t="shared" si="360"/>
        <v>35</v>
      </c>
      <c r="F1219">
        <v>2024</v>
      </c>
      <c r="G1219">
        <f t="shared" si="352"/>
        <v>1</v>
      </c>
      <c r="H1219">
        <f t="shared" si="361"/>
        <v>0.16660285475285713</v>
      </c>
      <c r="J1219">
        <v>100</v>
      </c>
      <c r="L1219">
        <v>55</v>
      </c>
      <c r="M1219">
        <f t="shared" si="362"/>
        <v>7.9305135821047659E-2</v>
      </c>
      <c r="N1219">
        <f t="shared" si="363"/>
        <v>2.8161167557657775E-2</v>
      </c>
      <c r="O1219">
        <f t="shared" si="364"/>
        <v>0.28161167557657774</v>
      </c>
      <c r="P1219" t="s">
        <v>1279</v>
      </c>
      <c r="S1219">
        <f t="shared" si="365"/>
        <v>1.4609411764705882</v>
      </c>
      <c r="Y1219">
        <v>2020</v>
      </c>
      <c r="Z1219">
        <f t="shared" si="366"/>
        <v>5</v>
      </c>
      <c r="AD1219">
        <v>0</v>
      </c>
      <c r="AN1219" t="s">
        <v>185</v>
      </c>
      <c r="AO1219">
        <v>6.0970000000000004</v>
      </c>
    </row>
    <row r="1220" spans="1:41" ht="15">
      <c r="A1220">
        <v>30</v>
      </c>
      <c r="B1220" s="13" t="s">
        <v>1252</v>
      </c>
      <c r="C1220" t="s">
        <v>1353</v>
      </c>
      <c r="D1220" s="3">
        <f t="shared" si="360"/>
        <v>35</v>
      </c>
      <c r="F1220">
        <v>2024</v>
      </c>
      <c r="G1220">
        <f t="shared" si="352"/>
        <v>1</v>
      </c>
      <c r="H1220">
        <f t="shared" si="361"/>
        <v>0.16660285475285713</v>
      </c>
      <c r="J1220">
        <v>100</v>
      </c>
      <c r="L1220">
        <v>55</v>
      </c>
      <c r="M1220">
        <f t="shared" si="362"/>
        <v>7.9305135821047659E-2</v>
      </c>
      <c r="N1220">
        <f t="shared" si="363"/>
        <v>2.8161167557657775E-2</v>
      </c>
      <c r="O1220">
        <f t="shared" si="364"/>
        <v>0.28161167557657774</v>
      </c>
      <c r="P1220" t="s">
        <v>1280</v>
      </c>
      <c r="S1220">
        <f t="shared" si="365"/>
        <v>1.4609411764705882</v>
      </c>
      <c r="Y1220">
        <v>2020</v>
      </c>
      <c r="Z1220">
        <f t="shared" si="366"/>
        <v>5</v>
      </c>
      <c r="AD1220" s="1">
        <v>9.6055030000000003E-5</v>
      </c>
      <c r="AN1220" t="s">
        <v>185</v>
      </c>
      <c r="AO1220">
        <v>6.0970000000000004</v>
      </c>
    </row>
    <row r="1221" spans="1:41" ht="15">
      <c r="A1221">
        <v>30</v>
      </c>
      <c r="B1221" s="13" t="s">
        <v>1252</v>
      </c>
      <c r="C1221" t="s">
        <v>1353</v>
      </c>
      <c r="D1221" s="3">
        <f t="shared" si="360"/>
        <v>35</v>
      </c>
      <c r="F1221">
        <v>2024</v>
      </c>
      <c r="G1221">
        <f t="shared" si="352"/>
        <v>1</v>
      </c>
      <c r="H1221">
        <f t="shared" si="361"/>
        <v>0.16660285475285713</v>
      </c>
      <c r="J1221">
        <v>100</v>
      </c>
      <c r="L1221">
        <v>55</v>
      </c>
      <c r="M1221">
        <f t="shared" si="362"/>
        <v>7.9305135821047659E-2</v>
      </c>
      <c r="N1221">
        <f t="shared" si="363"/>
        <v>2.8161167557657775E-2</v>
      </c>
      <c r="O1221">
        <f t="shared" si="364"/>
        <v>0.28161167557657774</v>
      </c>
      <c r="P1221" t="s">
        <v>1281</v>
      </c>
      <c r="S1221">
        <f t="shared" si="365"/>
        <v>1.4609411764705882</v>
      </c>
      <c r="Y1221">
        <v>2020</v>
      </c>
      <c r="Z1221">
        <f t="shared" si="366"/>
        <v>5</v>
      </c>
      <c r="AD1221">
        <v>0.13200000000000001</v>
      </c>
      <c r="AN1221" t="s">
        <v>185</v>
      </c>
      <c r="AO1221">
        <v>6.0970000000000004</v>
      </c>
    </row>
    <row r="1222" spans="1:41" ht="15">
      <c r="A1222">
        <v>30</v>
      </c>
      <c r="B1222" s="13" t="s">
        <v>1252</v>
      </c>
      <c r="C1222" t="s">
        <v>1353</v>
      </c>
      <c r="D1222" s="3">
        <f t="shared" si="360"/>
        <v>35</v>
      </c>
      <c r="F1222">
        <v>2024</v>
      </c>
      <c r="G1222">
        <f t="shared" si="352"/>
        <v>1</v>
      </c>
      <c r="H1222">
        <f t="shared" si="361"/>
        <v>0.16660285475285713</v>
      </c>
      <c r="J1222">
        <v>100</v>
      </c>
      <c r="L1222">
        <v>55</v>
      </c>
      <c r="M1222">
        <f t="shared" si="362"/>
        <v>7.9305135821047659E-2</v>
      </c>
      <c r="N1222">
        <f t="shared" si="363"/>
        <v>2.8161167557657775E-2</v>
      </c>
      <c r="O1222">
        <f t="shared" si="364"/>
        <v>0.28161167557657774</v>
      </c>
      <c r="P1222" t="s">
        <v>1282</v>
      </c>
      <c r="S1222">
        <f t="shared" si="365"/>
        <v>1.4609411764705882</v>
      </c>
      <c r="Y1222">
        <v>2020</v>
      </c>
      <c r="Z1222">
        <f t="shared" si="366"/>
        <v>5</v>
      </c>
      <c r="AD1222">
        <v>0</v>
      </c>
      <c r="AN1222" t="s">
        <v>185</v>
      </c>
      <c r="AO1222">
        <v>6.0970000000000004</v>
      </c>
    </row>
    <row r="1223" spans="1:41" ht="15">
      <c r="A1223">
        <v>30</v>
      </c>
      <c r="B1223" s="13" t="s">
        <v>1252</v>
      </c>
      <c r="C1223" t="s">
        <v>1353</v>
      </c>
      <c r="D1223" s="3">
        <f t="shared" si="360"/>
        <v>35</v>
      </c>
      <c r="F1223">
        <v>2024</v>
      </c>
      <c r="G1223">
        <f t="shared" si="352"/>
        <v>1</v>
      </c>
      <c r="H1223">
        <f t="shared" si="361"/>
        <v>0.16660285475285713</v>
      </c>
      <c r="J1223">
        <v>100</v>
      </c>
      <c r="L1223">
        <v>55</v>
      </c>
      <c r="M1223">
        <f t="shared" si="362"/>
        <v>7.9305135821047659E-2</v>
      </c>
      <c r="N1223">
        <f t="shared" si="363"/>
        <v>2.8161167557657775E-2</v>
      </c>
      <c r="O1223">
        <f t="shared" si="364"/>
        <v>0.28161167557657774</v>
      </c>
      <c r="P1223" t="s">
        <v>1283</v>
      </c>
      <c r="S1223">
        <f t="shared" si="365"/>
        <v>1.4609411764705882</v>
      </c>
      <c r="Y1223">
        <v>2020</v>
      </c>
      <c r="Z1223">
        <f t="shared" si="366"/>
        <v>5</v>
      </c>
      <c r="AD1223">
        <v>0.21356785759999999</v>
      </c>
      <c r="AN1223" t="s">
        <v>185</v>
      </c>
      <c r="AO1223">
        <v>6.0970000000000004</v>
      </c>
    </row>
    <row r="1224" spans="1:41" ht="15">
      <c r="A1224">
        <v>30</v>
      </c>
      <c r="B1224" s="13" t="s">
        <v>1252</v>
      </c>
      <c r="C1224" t="s">
        <v>1353</v>
      </c>
      <c r="D1224" s="3">
        <f t="shared" si="360"/>
        <v>35</v>
      </c>
      <c r="F1224">
        <v>2024</v>
      </c>
      <c r="G1224">
        <f t="shared" si="352"/>
        <v>1</v>
      </c>
      <c r="H1224">
        <f t="shared" si="361"/>
        <v>0.16660285475285713</v>
      </c>
      <c r="J1224">
        <v>100</v>
      </c>
      <c r="L1224">
        <v>55</v>
      </c>
      <c r="M1224">
        <f t="shared" si="362"/>
        <v>7.9305135821047659E-2</v>
      </c>
      <c r="N1224">
        <f t="shared" si="363"/>
        <v>2.8161167557657775E-2</v>
      </c>
      <c r="O1224">
        <f t="shared" si="364"/>
        <v>0.28161167557657774</v>
      </c>
      <c r="P1224" t="s">
        <v>1284</v>
      </c>
      <c r="S1224">
        <f t="shared" si="365"/>
        <v>1.4609411764705882</v>
      </c>
      <c r="Y1224">
        <v>2020</v>
      </c>
      <c r="Z1224">
        <f t="shared" si="366"/>
        <v>5</v>
      </c>
      <c r="AD1224">
        <v>0.77295247749999996</v>
      </c>
      <c r="AN1224" t="s">
        <v>185</v>
      </c>
      <c r="AO1224">
        <v>6.0970000000000004</v>
      </c>
    </row>
    <row r="1225" spans="1:41" ht="15">
      <c r="A1225">
        <v>30</v>
      </c>
      <c r="B1225" s="13" t="s">
        <v>1252</v>
      </c>
      <c r="C1225" t="s">
        <v>1353</v>
      </c>
      <c r="D1225" s="3">
        <f t="shared" si="360"/>
        <v>35</v>
      </c>
      <c r="F1225">
        <v>2024</v>
      </c>
      <c r="G1225">
        <f t="shared" si="352"/>
        <v>1</v>
      </c>
      <c r="H1225">
        <f t="shared" si="361"/>
        <v>0.16660285475285713</v>
      </c>
      <c r="J1225">
        <v>100</v>
      </c>
      <c r="L1225">
        <v>55</v>
      </c>
      <c r="M1225">
        <f t="shared" si="362"/>
        <v>7.9305135821047659E-2</v>
      </c>
      <c r="N1225">
        <f t="shared" si="363"/>
        <v>2.8161167557657775E-2</v>
      </c>
      <c r="O1225">
        <f t="shared" si="364"/>
        <v>0.28161167557657774</v>
      </c>
      <c r="P1225" t="s">
        <v>1285</v>
      </c>
      <c r="S1225">
        <f t="shared" si="365"/>
        <v>1.4609411764705882</v>
      </c>
      <c r="Y1225">
        <v>2020</v>
      </c>
      <c r="Z1225">
        <f t="shared" si="366"/>
        <v>5</v>
      </c>
      <c r="AD1225">
        <v>0.78300000000000003</v>
      </c>
      <c r="AN1225" t="s">
        <v>185</v>
      </c>
      <c r="AO1225">
        <v>6.0970000000000004</v>
      </c>
    </row>
    <row r="1226" spans="1:41" ht="15">
      <c r="A1226">
        <v>30</v>
      </c>
      <c r="B1226" s="13" t="s">
        <v>1252</v>
      </c>
      <c r="C1226" t="s">
        <v>1353</v>
      </c>
      <c r="D1226" s="3">
        <f t="shared" si="360"/>
        <v>35</v>
      </c>
      <c r="F1226">
        <v>2024</v>
      </c>
      <c r="G1226">
        <f t="shared" si="352"/>
        <v>1</v>
      </c>
      <c r="H1226">
        <f t="shared" si="361"/>
        <v>0.16660285475285713</v>
      </c>
      <c r="J1226">
        <v>100</v>
      </c>
      <c r="L1226">
        <v>55</v>
      </c>
      <c r="M1226">
        <f t="shared" si="362"/>
        <v>7.9305135821047659E-2</v>
      </c>
      <c r="N1226">
        <f t="shared" si="363"/>
        <v>2.8161167557657775E-2</v>
      </c>
      <c r="O1226">
        <f t="shared" si="364"/>
        <v>0.28161167557657774</v>
      </c>
      <c r="P1226" t="s">
        <v>1286</v>
      </c>
      <c r="S1226">
        <f t="shared" si="365"/>
        <v>1.4609411764705882</v>
      </c>
      <c r="Y1226">
        <v>2020</v>
      </c>
      <c r="Z1226">
        <f t="shared" si="366"/>
        <v>5</v>
      </c>
      <c r="AD1226">
        <v>0</v>
      </c>
      <c r="AN1226" t="s">
        <v>185</v>
      </c>
      <c r="AO1226">
        <v>6.0970000000000004</v>
      </c>
    </row>
    <row r="1227" spans="1:41" ht="15">
      <c r="A1227">
        <v>30</v>
      </c>
      <c r="B1227" s="13" t="s">
        <v>1252</v>
      </c>
      <c r="C1227" t="s">
        <v>1353</v>
      </c>
      <c r="D1227" s="3">
        <f t="shared" si="360"/>
        <v>35</v>
      </c>
      <c r="F1227">
        <v>2024</v>
      </c>
      <c r="G1227">
        <f t="shared" si="352"/>
        <v>1</v>
      </c>
      <c r="H1227">
        <f t="shared" si="361"/>
        <v>0.16660285475285713</v>
      </c>
      <c r="J1227">
        <v>100</v>
      </c>
      <c r="L1227">
        <v>55</v>
      </c>
      <c r="M1227">
        <f t="shared" si="362"/>
        <v>7.9305135821047659E-2</v>
      </c>
      <c r="N1227">
        <f t="shared" si="363"/>
        <v>2.8161167557657775E-2</v>
      </c>
      <c r="O1227">
        <f t="shared" si="364"/>
        <v>0.28161167557657774</v>
      </c>
      <c r="P1227" t="s">
        <v>1287</v>
      </c>
      <c r="S1227">
        <f t="shared" si="365"/>
        <v>1.4609411764705882</v>
      </c>
      <c r="Y1227">
        <v>2020</v>
      </c>
      <c r="Z1227">
        <f t="shared" si="366"/>
        <v>5</v>
      </c>
      <c r="AD1227">
        <v>0</v>
      </c>
      <c r="AN1227" t="s">
        <v>185</v>
      </c>
      <c r="AO1227">
        <v>6.0970000000000004</v>
      </c>
    </row>
    <row r="1228" spans="1:41" ht="15">
      <c r="A1228">
        <v>30</v>
      </c>
      <c r="B1228" s="13" t="s">
        <v>1252</v>
      </c>
      <c r="C1228" t="s">
        <v>1353</v>
      </c>
      <c r="D1228" s="3">
        <f t="shared" si="360"/>
        <v>35</v>
      </c>
      <c r="F1228">
        <v>2024</v>
      </c>
      <c r="G1228">
        <f t="shared" si="352"/>
        <v>1</v>
      </c>
      <c r="H1228">
        <f t="shared" si="361"/>
        <v>0.16660285475285713</v>
      </c>
      <c r="J1228">
        <v>100</v>
      </c>
      <c r="L1228">
        <v>55</v>
      </c>
      <c r="M1228">
        <f t="shared" si="362"/>
        <v>7.9305135821047659E-2</v>
      </c>
      <c r="N1228">
        <f t="shared" si="363"/>
        <v>2.8161167557657775E-2</v>
      </c>
      <c r="O1228">
        <f t="shared" si="364"/>
        <v>0.28161167557657774</v>
      </c>
      <c r="P1228" t="s">
        <v>1288</v>
      </c>
      <c r="S1228">
        <f t="shared" si="365"/>
        <v>1.4609411764705882</v>
      </c>
      <c r="Y1228">
        <v>2020</v>
      </c>
      <c r="Z1228">
        <f t="shared" si="366"/>
        <v>5</v>
      </c>
      <c r="AN1228" t="s">
        <v>185</v>
      </c>
      <c r="AO1228">
        <v>6.0970000000000004</v>
      </c>
    </row>
    <row r="1229" spans="1:41" ht="15">
      <c r="A1229">
        <v>30</v>
      </c>
      <c r="B1229" s="13" t="s">
        <v>1252</v>
      </c>
      <c r="C1229" t="s">
        <v>1353</v>
      </c>
      <c r="D1229" s="3">
        <f t="shared" si="360"/>
        <v>35</v>
      </c>
      <c r="F1229">
        <v>2024</v>
      </c>
      <c r="G1229">
        <f t="shared" si="352"/>
        <v>1</v>
      </c>
      <c r="H1229">
        <f t="shared" si="361"/>
        <v>0.16660285475285713</v>
      </c>
      <c r="J1229">
        <v>100</v>
      </c>
      <c r="L1229">
        <v>55</v>
      </c>
      <c r="M1229">
        <f t="shared" si="362"/>
        <v>7.9305135821047659E-2</v>
      </c>
      <c r="N1229">
        <f t="shared" si="363"/>
        <v>2.8161167557657775E-2</v>
      </c>
      <c r="O1229">
        <f t="shared" si="364"/>
        <v>0.28161167557657774</v>
      </c>
      <c r="P1229" t="s">
        <v>1289</v>
      </c>
      <c r="S1229">
        <f t="shared" si="365"/>
        <v>1.4609411764705882</v>
      </c>
      <c r="Y1229">
        <v>2020</v>
      </c>
      <c r="Z1229">
        <f t="shared" si="366"/>
        <v>5</v>
      </c>
      <c r="AN1229" t="s">
        <v>185</v>
      </c>
      <c r="AO1229">
        <v>6.0970000000000004</v>
      </c>
    </row>
    <row r="1230" spans="1:41" ht="15">
      <c r="A1230">
        <v>30</v>
      </c>
      <c r="B1230" s="13" t="s">
        <v>1252</v>
      </c>
      <c r="C1230" t="s">
        <v>1353</v>
      </c>
      <c r="D1230" s="3">
        <f t="shared" si="360"/>
        <v>35</v>
      </c>
      <c r="F1230">
        <v>2024</v>
      </c>
      <c r="G1230">
        <f t="shared" si="352"/>
        <v>1</v>
      </c>
      <c r="H1230">
        <f t="shared" si="361"/>
        <v>0.16660285475285713</v>
      </c>
      <c r="J1230">
        <v>100</v>
      </c>
      <c r="L1230">
        <v>55</v>
      </c>
      <c r="M1230">
        <f t="shared" si="362"/>
        <v>7.9305135821047659E-2</v>
      </c>
      <c r="N1230">
        <f t="shared" si="363"/>
        <v>2.8161167557657775E-2</v>
      </c>
      <c r="O1230">
        <f t="shared" si="364"/>
        <v>0.28161167557657774</v>
      </c>
      <c r="P1230" t="s">
        <v>1290</v>
      </c>
      <c r="S1230">
        <f t="shared" si="365"/>
        <v>1.4609411764705882</v>
      </c>
      <c r="Y1230">
        <v>2020</v>
      </c>
      <c r="Z1230">
        <f t="shared" si="366"/>
        <v>5</v>
      </c>
      <c r="AN1230" t="s">
        <v>185</v>
      </c>
      <c r="AO1230">
        <v>6.0970000000000004</v>
      </c>
    </row>
    <row r="1231" spans="1:41" ht="15">
      <c r="A1231">
        <v>30</v>
      </c>
      <c r="B1231" s="13" t="s">
        <v>1252</v>
      </c>
      <c r="C1231" t="s">
        <v>1353</v>
      </c>
      <c r="D1231" s="3">
        <f t="shared" si="360"/>
        <v>35</v>
      </c>
      <c r="F1231">
        <v>2024</v>
      </c>
      <c r="G1231">
        <f t="shared" si="352"/>
        <v>1</v>
      </c>
      <c r="H1231">
        <f t="shared" si="361"/>
        <v>0.16660285475285713</v>
      </c>
      <c r="J1231">
        <v>100</v>
      </c>
      <c r="L1231">
        <v>55</v>
      </c>
      <c r="M1231">
        <f t="shared" si="362"/>
        <v>7.9305135821047659E-2</v>
      </c>
      <c r="N1231">
        <f t="shared" si="363"/>
        <v>2.8161167557657775E-2</v>
      </c>
      <c r="O1231">
        <f t="shared" si="364"/>
        <v>0.28161167557657774</v>
      </c>
      <c r="P1231" t="s">
        <v>1291</v>
      </c>
      <c r="S1231">
        <f t="shared" si="365"/>
        <v>1.4609411764705882</v>
      </c>
      <c r="Y1231">
        <v>2020</v>
      </c>
      <c r="Z1231">
        <f t="shared" si="366"/>
        <v>5</v>
      </c>
      <c r="AN1231" t="s">
        <v>185</v>
      </c>
      <c r="AO1231">
        <v>6.0970000000000004</v>
      </c>
    </row>
    <row r="1232" spans="1:41" ht="15">
      <c r="A1232">
        <v>30</v>
      </c>
      <c r="B1232" s="13" t="s">
        <v>1252</v>
      </c>
      <c r="C1232" t="s">
        <v>1353</v>
      </c>
      <c r="D1232" s="3">
        <f t="shared" si="360"/>
        <v>35</v>
      </c>
      <c r="F1232">
        <v>2024</v>
      </c>
      <c r="G1232">
        <f t="shared" si="352"/>
        <v>1</v>
      </c>
      <c r="H1232">
        <f t="shared" si="361"/>
        <v>0.16660285475285713</v>
      </c>
      <c r="J1232">
        <v>100</v>
      </c>
      <c r="L1232">
        <v>55</v>
      </c>
      <c r="M1232">
        <f t="shared" si="362"/>
        <v>7.9305135821047659E-2</v>
      </c>
      <c r="N1232">
        <f t="shared" si="363"/>
        <v>2.8161167557657775E-2</v>
      </c>
      <c r="O1232">
        <f t="shared" si="364"/>
        <v>0.28161167557657774</v>
      </c>
      <c r="P1232" t="s">
        <v>1292</v>
      </c>
      <c r="S1232">
        <f t="shared" si="365"/>
        <v>1.4609411764705882</v>
      </c>
      <c r="Y1232">
        <v>2020</v>
      </c>
      <c r="Z1232">
        <f t="shared" si="366"/>
        <v>5</v>
      </c>
      <c r="AN1232" t="s">
        <v>185</v>
      </c>
      <c r="AO1232">
        <v>6.0970000000000004</v>
      </c>
    </row>
    <row r="1233" spans="1:41" ht="15">
      <c r="A1233">
        <v>30</v>
      </c>
      <c r="B1233" s="13" t="s">
        <v>1252</v>
      </c>
      <c r="C1233" t="s">
        <v>1353</v>
      </c>
      <c r="D1233" s="3">
        <f t="shared" si="360"/>
        <v>35</v>
      </c>
      <c r="F1233">
        <v>2024</v>
      </c>
      <c r="G1233">
        <f t="shared" si="352"/>
        <v>1</v>
      </c>
      <c r="H1233">
        <f t="shared" si="361"/>
        <v>0.16660285475285713</v>
      </c>
      <c r="J1233">
        <v>100</v>
      </c>
      <c r="L1233">
        <v>55</v>
      </c>
      <c r="M1233">
        <f t="shared" si="362"/>
        <v>7.9305135821047659E-2</v>
      </c>
      <c r="N1233">
        <f t="shared" si="363"/>
        <v>2.8161167557657775E-2</v>
      </c>
      <c r="O1233">
        <f t="shared" si="364"/>
        <v>0.28161167557657774</v>
      </c>
      <c r="P1233" t="s">
        <v>1293</v>
      </c>
      <c r="S1233">
        <f t="shared" si="365"/>
        <v>1.4609411764705882</v>
      </c>
      <c r="Y1233">
        <v>2020</v>
      </c>
      <c r="Z1233">
        <f t="shared" si="366"/>
        <v>5</v>
      </c>
      <c r="AN1233" t="s">
        <v>185</v>
      </c>
      <c r="AO1233">
        <v>6.0970000000000004</v>
      </c>
    </row>
    <row r="1234" spans="1:41" ht="15">
      <c r="A1234">
        <v>30</v>
      </c>
      <c r="B1234" s="13" t="s">
        <v>1252</v>
      </c>
      <c r="C1234" t="s">
        <v>1353</v>
      </c>
      <c r="D1234" s="3">
        <f t="shared" si="360"/>
        <v>35</v>
      </c>
      <c r="F1234">
        <v>2024</v>
      </c>
      <c r="G1234">
        <f t="shared" ref="G1234:G1292" si="367">2025-F1234</f>
        <v>1</v>
      </c>
      <c r="H1234">
        <f t="shared" si="361"/>
        <v>0.16660285475285713</v>
      </c>
      <c r="J1234">
        <v>100</v>
      </c>
      <c r="L1234">
        <v>55</v>
      </c>
      <c r="M1234">
        <f t="shared" si="362"/>
        <v>7.9305135821047659E-2</v>
      </c>
      <c r="N1234">
        <f t="shared" si="363"/>
        <v>2.8161167557657775E-2</v>
      </c>
      <c r="O1234">
        <f t="shared" si="364"/>
        <v>0.28161167557657774</v>
      </c>
      <c r="P1234" t="s">
        <v>1294</v>
      </c>
      <c r="S1234">
        <f t="shared" si="365"/>
        <v>1.4609411764705882</v>
      </c>
      <c r="Y1234">
        <v>2020</v>
      </c>
      <c r="Z1234">
        <f t="shared" si="366"/>
        <v>5</v>
      </c>
      <c r="AN1234" t="s">
        <v>185</v>
      </c>
      <c r="AO1234">
        <v>6.0970000000000004</v>
      </c>
    </row>
    <row r="1235" spans="1:41" ht="15">
      <c r="A1235">
        <v>30</v>
      </c>
      <c r="B1235" s="13" t="s">
        <v>1252</v>
      </c>
      <c r="C1235" t="s">
        <v>1353</v>
      </c>
      <c r="D1235" s="3">
        <f t="shared" si="360"/>
        <v>35</v>
      </c>
      <c r="F1235">
        <v>2024</v>
      </c>
      <c r="G1235">
        <f t="shared" si="367"/>
        <v>1</v>
      </c>
      <c r="H1235">
        <f t="shared" si="361"/>
        <v>0.16660285475285713</v>
      </c>
      <c r="J1235">
        <v>100</v>
      </c>
      <c r="L1235">
        <v>55</v>
      </c>
      <c r="M1235">
        <f t="shared" si="362"/>
        <v>7.9305135821047659E-2</v>
      </c>
      <c r="N1235">
        <f t="shared" si="363"/>
        <v>2.8161167557657775E-2</v>
      </c>
      <c r="O1235">
        <f t="shared" si="364"/>
        <v>0.28161167557657774</v>
      </c>
      <c r="P1235" t="s">
        <v>1295</v>
      </c>
      <c r="S1235">
        <f t="shared" si="365"/>
        <v>1.4609411764705882</v>
      </c>
      <c r="Y1235">
        <v>2020</v>
      </c>
      <c r="Z1235">
        <f t="shared" si="366"/>
        <v>5</v>
      </c>
      <c r="AN1235" t="s">
        <v>185</v>
      </c>
      <c r="AO1235">
        <v>6.0970000000000004</v>
      </c>
    </row>
    <row r="1236" spans="1:41" ht="15">
      <c r="A1236">
        <v>30</v>
      </c>
      <c r="B1236" s="13" t="s">
        <v>1252</v>
      </c>
      <c r="C1236" t="s">
        <v>1353</v>
      </c>
      <c r="D1236" s="3">
        <f t="shared" si="360"/>
        <v>35</v>
      </c>
      <c r="F1236">
        <v>2024</v>
      </c>
      <c r="G1236">
        <f t="shared" si="367"/>
        <v>1</v>
      </c>
      <c r="H1236">
        <f t="shared" si="361"/>
        <v>0.16660285475285713</v>
      </c>
      <c r="J1236">
        <v>100</v>
      </c>
      <c r="L1236">
        <v>55</v>
      </c>
      <c r="M1236">
        <f t="shared" si="362"/>
        <v>7.9305135821047659E-2</v>
      </c>
      <c r="N1236">
        <f t="shared" si="363"/>
        <v>2.8161167557657775E-2</v>
      </c>
      <c r="O1236">
        <f t="shared" si="364"/>
        <v>0.28161167557657774</v>
      </c>
      <c r="P1236" t="s">
        <v>1296</v>
      </c>
      <c r="S1236">
        <f t="shared" si="365"/>
        <v>1.4609411764705882</v>
      </c>
      <c r="Y1236">
        <v>2020</v>
      </c>
      <c r="Z1236">
        <f t="shared" si="366"/>
        <v>5</v>
      </c>
      <c r="AN1236" t="s">
        <v>185</v>
      </c>
      <c r="AO1236">
        <v>6.0970000000000004</v>
      </c>
    </row>
    <row r="1237" spans="1:41" ht="15">
      <c r="A1237">
        <v>30</v>
      </c>
      <c r="B1237" s="13" t="s">
        <v>1252</v>
      </c>
      <c r="C1237" t="s">
        <v>1353</v>
      </c>
      <c r="D1237" s="3">
        <f t="shared" si="360"/>
        <v>35</v>
      </c>
      <c r="F1237">
        <v>2024</v>
      </c>
      <c r="G1237">
        <f t="shared" si="367"/>
        <v>1</v>
      </c>
      <c r="H1237">
        <f t="shared" si="361"/>
        <v>0.16660285475285713</v>
      </c>
      <c r="J1237">
        <v>100</v>
      </c>
      <c r="L1237">
        <v>55</v>
      </c>
      <c r="M1237">
        <f t="shared" si="362"/>
        <v>7.9305135821047659E-2</v>
      </c>
      <c r="N1237">
        <f t="shared" si="363"/>
        <v>2.8161167557657775E-2</v>
      </c>
      <c r="O1237">
        <f t="shared" si="364"/>
        <v>0.28161167557657774</v>
      </c>
      <c r="P1237" t="s">
        <v>1297</v>
      </c>
      <c r="S1237">
        <f t="shared" si="365"/>
        <v>1.4609411764705882</v>
      </c>
      <c r="Y1237">
        <v>2020</v>
      </c>
      <c r="Z1237">
        <f t="shared" si="366"/>
        <v>5</v>
      </c>
      <c r="AN1237" t="s">
        <v>185</v>
      </c>
      <c r="AO1237">
        <v>6.0970000000000004</v>
      </c>
    </row>
    <row r="1238" spans="1:41" ht="15">
      <c r="A1238">
        <v>30</v>
      </c>
      <c r="B1238" s="13" t="s">
        <v>1252</v>
      </c>
      <c r="C1238" t="s">
        <v>1353</v>
      </c>
      <c r="D1238" s="3">
        <f t="shared" si="360"/>
        <v>35</v>
      </c>
      <c r="F1238">
        <v>2024</v>
      </c>
      <c r="G1238">
        <f t="shared" si="367"/>
        <v>1</v>
      </c>
      <c r="H1238">
        <f t="shared" si="361"/>
        <v>0.16660285475285713</v>
      </c>
      <c r="J1238">
        <v>100</v>
      </c>
      <c r="L1238">
        <v>55</v>
      </c>
      <c r="M1238">
        <f t="shared" si="362"/>
        <v>7.9305135821047659E-2</v>
      </c>
      <c r="N1238">
        <f t="shared" si="363"/>
        <v>2.8161167557657775E-2</v>
      </c>
      <c r="O1238">
        <f t="shared" si="364"/>
        <v>0.28161167557657774</v>
      </c>
      <c r="P1238" t="s">
        <v>1298</v>
      </c>
      <c r="S1238">
        <f t="shared" si="365"/>
        <v>1.4609411764705882</v>
      </c>
      <c r="Y1238">
        <v>2020</v>
      </c>
      <c r="Z1238">
        <f t="shared" si="366"/>
        <v>5</v>
      </c>
      <c r="AN1238" t="s">
        <v>185</v>
      </c>
      <c r="AO1238">
        <v>6.0970000000000004</v>
      </c>
    </row>
    <row r="1239" spans="1:41" ht="15">
      <c r="A1239">
        <v>30</v>
      </c>
      <c r="B1239" s="13" t="s">
        <v>1252</v>
      </c>
      <c r="C1239" t="s">
        <v>1353</v>
      </c>
      <c r="D1239" s="3">
        <f t="shared" si="360"/>
        <v>35</v>
      </c>
      <c r="F1239">
        <v>2024</v>
      </c>
      <c r="G1239">
        <f t="shared" si="367"/>
        <v>1</v>
      </c>
      <c r="H1239">
        <f t="shared" si="361"/>
        <v>0.16660285475285713</v>
      </c>
      <c r="J1239">
        <v>100</v>
      </c>
      <c r="L1239">
        <v>55</v>
      </c>
      <c r="M1239">
        <f t="shared" si="362"/>
        <v>7.9305135821047659E-2</v>
      </c>
      <c r="N1239">
        <f t="shared" si="363"/>
        <v>2.8161167557657775E-2</v>
      </c>
      <c r="O1239">
        <f t="shared" si="364"/>
        <v>0.28161167557657774</v>
      </c>
      <c r="P1239" t="s">
        <v>1299</v>
      </c>
      <c r="S1239">
        <f t="shared" si="365"/>
        <v>1.4609411764705882</v>
      </c>
      <c r="Y1239">
        <v>2020</v>
      </c>
      <c r="Z1239">
        <f t="shared" si="366"/>
        <v>5</v>
      </c>
      <c r="AN1239" t="s">
        <v>185</v>
      </c>
      <c r="AO1239">
        <v>6.0970000000000004</v>
      </c>
    </row>
    <row r="1240" spans="1:41" ht="15">
      <c r="A1240">
        <v>30</v>
      </c>
      <c r="B1240" s="13" t="s">
        <v>1252</v>
      </c>
      <c r="C1240" t="s">
        <v>1353</v>
      </c>
      <c r="D1240" s="3">
        <f t="shared" si="360"/>
        <v>35</v>
      </c>
      <c r="F1240">
        <v>2024</v>
      </c>
      <c r="G1240">
        <f t="shared" si="367"/>
        <v>1</v>
      </c>
      <c r="H1240">
        <f t="shared" si="361"/>
        <v>0.16660285475285713</v>
      </c>
      <c r="J1240">
        <v>100</v>
      </c>
      <c r="L1240">
        <v>55</v>
      </c>
      <c r="M1240">
        <f t="shared" si="362"/>
        <v>7.9305135821047659E-2</v>
      </c>
      <c r="N1240">
        <f t="shared" si="363"/>
        <v>2.8161167557657775E-2</v>
      </c>
      <c r="O1240">
        <f t="shared" si="364"/>
        <v>0.28161167557657774</v>
      </c>
      <c r="P1240" t="s">
        <v>1300</v>
      </c>
      <c r="S1240">
        <f t="shared" si="365"/>
        <v>1.4609411764705882</v>
      </c>
      <c r="Y1240">
        <v>2020</v>
      </c>
      <c r="Z1240">
        <f t="shared" si="366"/>
        <v>5</v>
      </c>
      <c r="AN1240" t="s">
        <v>185</v>
      </c>
      <c r="AO1240">
        <v>6.0970000000000004</v>
      </c>
    </row>
    <row r="1241" spans="1:41" ht="15">
      <c r="A1241">
        <v>30</v>
      </c>
      <c r="B1241" s="13" t="s">
        <v>1252</v>
      </c>
      <c r="C1241" t="s">
        <v>1353</v>
      </c>
      <c r="D1241" s="3">
        <f t="shared" si="360"/>
        <v>35</v>
      </c>
      <c r="F1241">
        <v>2024</v>
      </c>
      <c r="G1241">
        <f t="shared" si="367"/>
        <v>1</v>
      </c>
      <c r="H1241">
        <f t="shared" si="361"/>
        <v>0.16660285475285713</v>
      </c>
      <c r="J1241">
        <v>100</v>
      </c>
      <c r="L1241">
        <v>55</v>
      </c>
      <c r="M1241">
        <f t="shared" si="362"/>
        <v>7.9305135821047659E-2</v>
      </c>
      <c r="N1241">
        <f t="shared" si="363"/>
        <v>2.8161167557657775E-2</v>
      </c>
      <c r="O1241">
        <f t="shared" si="364"/>
        <v>0.28161167557657774</v>
      </c>
      <c r="P1241" t="s">
        <v>1301</v>
      </c>
      <c r="S1241">
        <f t="shared" si="365"/>
        <v>1.4609411764705882</v>
      </c>
      <c r="Y1241">
        <v>2020</v>
      </c>
      <c r="Z1241">
        <f t="shared" si="366"/>
        <v>5</v>
      </c>
      <c r="AN1241" t="s">
        <v>185</v>
      </c>
      <c r="AO1241">
        <v>6.0970000000000004</v>
      </c>
    </row>
    <row r="1242" spans="1:41" ht="15">
      <c r="A1242">
        <v>30</v>
      </c>
      <c r="B1242" s="13" t="s">
        <v>1252</v>
      </c>
      <c r="C1242" t="s">
        <v>1353</v>
      </c>
      <c r="D1242" s="3">
        <f t="shared" si="360"/>
        <v>35</v>
      </c>
      <c r="F1242">
        <v>2024</v>
      </c>
      <c r="G1242">
        <f t="shared" si="367"/>
        <v>1</v>
      </c>
      <c r="H1242">
        <f t="shared" si="361"/>
        <v>0.16660285475285713</v>
      </c>
      <c r="J1242">
        <v>100</v>
      </c>
      <c r="L1242">
        <v>55</v>
      </c>
      <c r="M1242">
        <f t="shared" si="362"/>
        <v>7.9305135821047659E-2</v>
      </c>
      <c r="N1242">
        <f t="shared" si="363"/>
        <v>2.8161167557657775E-2</v>
      </c>
      <c r="O1242">
        <f t="shared" si="364"/>
        <v>0.28161167557657774</v>
      </c>
      <c r="P1242" t="s">
        <v>1302</v>
      </c>
      <c r="S1242">
        <f t="shared" si="365"/>
        <v>1.4609411764705882</v>
      </c>
      <c r="Y1242">
        <v>2020</v>
      </c>
      <c r="Z1242">
        <f t="shared" si="366"/>
        <v>5</v>
      </c>
      <c r="AN1242" t="s">
        <v>185</v>
      </c>
      <c r="AO1242">
        <v>6.0970000000000004</v>
      </c>
    </row>
    <row r="1243" spans="1:41" ht="15">
      <c r="A1243">
        <v>30</v>
      </c>
      <c r="B1243" s="13" t="s">
        <v>1252</v>
      </c>
      <c r="C1243" t="s">
        <v>1353</v>
      </c>
      <c r="D1243" s="3">
        <f t="shared" si="360"/>
        <v>35</v>
      </c>
      <c r="F1243">
        <v>2024</v>
      </c>
      <c r="G1243">
        <f t="shared" si="367"/>
        <v>1</v>
      </c>
      <c r="H1243">
        <f t="shared" si="361"/>
        <v>0.16660285475285713</v>
      </c>
      <c r="J1243">
        <v>100</v>
      </c>
      <c r="L1243">
        <v>55</v>
      </c>
      <c r="M1243">
        <f t="shared" si="362"/>
        <v>7.9305135821047659E-2</v>
      </c>
      <c r="N1243">
        <f t="shared" si="363"/>
        <v>2.8161167557657775E-2</v>
      </c>
      <c r="O1243">
        <f t="shared" si="364"/>
        <v>0.28161167557657774</v>
      </c>
      <c r="P1243" t="s">
        <v>1303</v>
      </c>
      <c r="S1243">
        <f t="shared" si="365"/>
        <v>1.4609411764705882</v>
      </c>
      <c r="Y1243">
        <v>2020</v>
      </c>
      <c r="Z1243">
        <f t="shared" si="366"/>
        <v>5</v>
      </c>
      <c r="AN1243" t="s">
        <v>185</v>
      </c>
      <c r="AO1243">
        <v>6.0970000000000004</v>
      </c>
    </row>
    <row r="1244" spans="1:41" ht="15">
      <c r="A1244">
        <v>30</v>
      </c>
      <c r="B1244" s="13" t="s">
        <v>1252</v>
      </c>
      <c r="C1244" t="s">
        <v>1353</v>
      </c>
      <c r="D1244" s="3">
        <f t="shared" si="360"/>
        <v>35</v>
      </c>
      <c r="F1244">
        <v>2024</v>
      </c>
      <c r="G1244">
        <f t="shared" si="367"/>
        <v>1</v>
      </c>
      <c r="H1244">
        <f t="shared" si="361"/>
        <v>0.16660285475285713</v>
      </c>
      <c r="J1244">
        <v>100</v>
      </c>
      <c r="L1244">
        <v>55</v>
      </c>
      <c r="M1244">
        <f t="shared" si="362"/>
        <v>7.9305135821047659E-2</v>
      </c>
      <c r="N1244">
        <f t="shared" si="363"/>
        <v>2.8161167557657775E-2</v>
      </c>
      <c r="O1244">
        <f t="shared" si="364"/>
        <v>0.28161167557657774</v>
      </c>
      <c r="P1244" t="s">
        <v>1304</v>
      </c>
      <c r="S1244">
        <f t="shared" si="365"/>
        <v>1.4609411764705882</v>
      </c>
      <c r="Y1244">
        <v>2020</v>
      </c>
      <c r="Z1244">
        <f t="shared" si="366"/>
        <v>5</v>
      </c>
      <c r="AN1244" t="s">
        <v>185</v>
      </c>
      <c r="AO1244">
        <v>6.0970000000000004</v>
      </c>
    </row>
    <row r="1245" spans="1:41" ht="15">
      <c r="A1245">
        <v>30</v>
      </c>
      <c r="B1245" s="13" t="s">
        <v>1252</v>
      </c>
      <c r="C1245" t="s">
        <v>1353</v>
      </c>
      <c r="D1245" s="3">
        <f t="shared" si="360"/>
        <v>35</v>
      </c>
      <c r="F1245">
        <v>2024</v>
      </c>
      <c r="G1245">
        <f t="shared" si="367"/>
        <v>1</v>
      </c>
      <c r="H1245">
        <f t="shared" si="361"/>
        <v>0.16660285475285713</v>
      </c>
      <c r="J1245">
        <v>100</v>
      </c>
      <c r="L1245">
        <v>55</v>
      </c>
      <c r="M1245">
        <f t="shared" si="362"/>
        <v>7.9305135821047659E-2</v>
      </c>
      <c r="N1245">
        <f t="shared" si="363"/>
        <v>2.8161167557657775E-2</v>
      </c>
      <c r="O1245">
        <f t="shared" si="364"/>
        <v>0.28161167557657774</v>
      </c>
      <c r="P1245" t="s">
        <v>1305</v>
      </c>
      <c r="S1245">
        <f t="shared" si="365"/>
        <v>1.4609411764705882</v>
      </c>
      <c r="Y1245">
        <v>2020</v>
      </c>
      <c r="Z1245">
        <f t="shared" si="366"/>
        <v>5</v>
      </c>
      <c r="AN1245" t="s">
        <v>185</v>
      </c>
      <c r="AO1245">
        <v>6.0970000000000004</v>
      </c>
    </row>
    <row r="1246" spans="1:41" ht="15">
      <c r="A1246">
        <v>30</v>
      </c>
      <c r="B1246" s="13" t="s">
        <v>1252</v>
      </c>
      <c r="C1246" t="s">
        <v>1353</v>
      </c>
      <c r="D1246" s="3">
        <f t="shared" si="360"/>
        <v>35</v>
      </c>
      <c r="F1246">
        <v>2024</v>
      </c>
      <c r="G1246">
        <f t="shared" si="367"/>
        <v>1</v>
      </c>
      <c r="H1246">
        <f t="shared" si="361"/>
        <v>0.16660285475285713</v>
      </c>
      <c r="J1246">
        <v>100</v>
      </c>
      <c r="L1246">
        <v>55</v>
      </c>
      <c r="M1246">
        <f t="shared" si="362"/>
        <v>7.9305135821047659E-2</v>
      </c>
      <c r="N1246">
        <f t="shared" si="363"/>
        <v>2.8161167557657775E-2</v>
      </c>
      <c r="O1246">
        <f t="shared" si="364"/>
        <v>0.28161167557657774</v>
      </c>
      <c r="P1246" t="s">
        <v>1306</v>
      </c>
      <c r="S1246">
        <f t="shared" si="365"/>
        <v>1.4609411764705882</v>
      </c>
      <c r="Y1246">
        <v>2020</v>
      </c>
      <c r="Z1246">
        <f t="shared" si="366"/>
        <v>5</v>
      </c>
      <c r="AN1246" t="s">
        <v>185</v>
      </c>
      <c r="AO1246">
        <v>6.0970000000000004</v>
      </c>
    </row>
    <row r="1247" spans="1:41" ht="15">
      <c r="A1247">
        <v>30</v>
      </c>
      <c r="B1247" s="13" t="s">
        <v>1252</v>
      </c>
      <c r="C1247" t="s">
        <v>1353</v>
      </c>
      <c r="D1247" s="3">
        <f t="shared" si="360"/>
        <v>35</v>
      </c>
      <c r="F1247">
        <v>2024</v>
      </c>
      <c r="G1247">
        <f t="shared" si="367"/>
        <v>1</v>
      </c>
      <c r="H1247">
        <f t="shared" si="361"/>
        <v>0.16660285475285713</v>
      </c>
      <c r="J1247">
        <v>100</v>
      </c>
      <c r="L1247">
        <v>55</v>
      </c>
      <c r="M1247">
        <f t="shared" si="362"/>
        <v>7.9305135821047659E-2</v>
      </c>
      <c r="N1247">
        <f t="shared" si="363"/>
        <v>2.8161167557657775E-2</v>
      </c>
      <c r="O1247">
        <f t="shared" si="364"/>
        <v>0.28161167557657774</v>
      </c>
      <c r="P1247" t="s">
        <v>1307</v>
      </c>
      <c r="S1247">
        <f t="shared" si="365"/>
        <v>1.4609411764705882</v>
      </c>
      <c r="Y1247">
        <v>2020</v>
      </c>
      <c r="Z1247">
        <f t="shared" si="366"/>
        <v>5</v>
      </c>
      <c r="AN1247" t="s">
        <v>185</v>
      </c>
      <c r="AO1247">
        <v>6.0970000000000004</v>
      </c>
    </row>
    <row r="1248" spans="1:41" ht="15">
      <c r="A1248">
        <v>30</v>
      </c>
      <c r="B1248" s="13" t="s">
        <v>1252</v>
      </c>
      <c r="C1248" t="s">
        <v>1353</v>
      </c>
      <c r="D1248" s="3">
        <f t="shared" si="360"/>
        <v>35</v>
      </c>
      <c r="F1248">
        <v>2024</v>
      </c>
      <c r="G1248">
        <f t="shared" si="367"/>
        <v>1</v>
      </c>
      <c r="H1248">
        <f t="shared" si="361"/>
        <v>0.16660285475285713</v>
      </c>
      <c r="J1248">
        <v>100</v>
      </c>
      <c r="L1248">
        <v>55</v>
      </c>
      <c r="M1248">
        <f t="shared" si="362"/>
        <v>7.9305135821047659E-2</v>
      </c>
      <c r="N1248">
        <f t="shared" si="363"/>
        <v>2.8161167557657775E-2</v>
      </c>
      <c r="O1248">
        <f t="shared" si="364"/>
        <v>0.28161167557657774</v>
      </c>
      <c r="P1248" t="s">
        <v>1308</v>
      </c>
      <c r="S1248">
        <f t="shared" si="365"/>
        <v>1.4609411764705882</v>
      </c>
      <c r="Y1248">
        <v>2020</v>
      </c>
      <c r="Z1248">
        <f t="shared" si="366"/>
        <v>5</v>
      </c>
      <c r="AN1248" t="s">
        <v>185</v>
      </c>
      <c r="AO1248">
        <v>6.0970000000000004</v>
      </c>
    </row>
    <row r="1249" spans="1:41" ht="15">
      <c r="A1249">
        <v>30</v>
      </c>
      <c r="B1249" s="13" t="s">
        <v>1252</v>
      </c>
      <c r="C1249" t="s">
        <v>1353</v>
      </c>
      <c r="D1249" s="3">
        <f t="shared" si="360"/>
        <v>35</v>
      </c>
      <c r="F1249">
        <v>2024</v>
      </c>
      <c r="G1249">
        <f t="shared" si="367"/>
        <v>1</v>
      </c>
      <c r="H1249">
        <f t="shared" si="361"/>
        <v>0.16660285475285713</v>
      </c>
      <c r="J1249">
        <v>100</v>
      </c>
      <c r="L1249">
        <v>55</v>
      </c>
      <c r="M1249">
        <f t="shared" si="362"/>
        <v>7.9305135821047659E-2</v>
      </c>
      <c r="N1249">
        <f t="shared" si="363"/>
        <v>2.8161167557657775E-2</v>
      </c>
      <c r="O1249">
        <f t="shared" si="364"/>
        <v>0.28161167557657774</v>
      </c>
      <c r="P1249" t="s">
        <v>1309</v>
      </c>
      <c r="S1249">
        <f t="shared" si="365"/>
        <v>1.4609411764705882</v>
      </c>
      <c r="Y1249">
        <v>2020</v>
      </c>
      <c r="Z1249">
        <f t="shared" si="366"/>
        <v>5</v>
      </c>
      <c r="AN1249" t="s">
        <v>185</v>
      </c>
      <c r="AO1249">
        <v>6.0970000000000004</v>
      </c>
    </row>
    <row r="1250" spans="1:41" ht="15">
      <c r="A1250">
        <v>30</v>
      </c>
      <c r="B1250" s="13" t="s">
        <v>1252</v>
      </c>
      <c r="C1250" t="s">
        <v>1353</v>
      </c>
      <c r="D1250" s="3">
        <f t="shared" si="360"/>
        <v>35</v>
      </c>
      <c r="F1250">
        <v>2024</v>
      </c>
      <c r="G1250">
        <f t="shared" si="367"/>
        <v>1</v>
      </c>
      <c r="H1250">
        <f t="shared" si="361"/>
        <v>0.16660285475285713</v>
      </c>
      <c r="J1250">
        <v>100</v>
      </c>
      <c r="L1250">
        <v>55</v>
      </c>
      <c r="M1250">
        <f t="shared" si="362"/>
        <v>7.9305135821047659E-2</v>
      </c>
      <c r="N1250">
        <f t="shared" si="363"/>
        <v>2.8161167557657775E-2</v>
      </c>
      <c r="O1250">
        <f t="shared" si="364"/>
        <v>0.28161167557657774</v>
      </c>
      <c r="P1250" t="s">
        <v>1310</v>
      </c>
      <c r="S1250">
        <f t="shared" si="365"/>
        <v>1.4609411764705882</v>
      </c>
      <c r="Y1250">
        <v>2020</v>
      </c>
      <c r="Z1250">
        <f t="shared" si="366"/>
        <v>5</v>
      </c>
      <c r="AN1250" t="s">
        <v>185</v>
      </c>
      <c r="AO1250">
        <v>6.0970000000000004</v>
      </c>
    </row>
    <row r="1251" spans="1:41" ht="15">
      <c r="A1251">
        <v>30</v>
      </c>
      <c r="B1251" s="13" t="s">
        <v>1252</v>
      </c>
      <c r="C1251" t="s">
        <v>1353</v>
      </c>
      <c r="D1251" s="3">
        <f t="shared" si="360"/>
        <v>35</v>
      </c>
      <c r="F1251">
        <v>2024</v>
      </c>
      <c r="G1251">
        <f t="shared" si="367"/>
        <v>1</v>
      </c>
      <c r="H1251">
        <f t="shared" si="361"/>
        <v>0.16660285475285713</v>
      </c>
      <c r="J1251">
        <v>100</v>
      </c>
      <c r="L1251">
        <v>55</v>
      </c>
      <c r="M1251">
        <f t="shared" si="362"/>
        <v>7.9305135821047659E-2</v>
      </c>
      <c r="N1251">
        <f t="shared" si="363"/>
        <v>2.8161167557657775E-2</v>
      </c>
      <c r="O1251">
        <f t="shared" si="364"/>
        <v>0.28161167557657774</v>
      </c>
      <c r="P1251" t="s">
        <v>1311</v>
      </c>
      <c r="S1251">
        <f t="shared" si="365"/>
        <v>1.4609411764705882</v>
      </c>
      <c r="Y1251">
        <v>2020</v>
      </c>
      <c r="Z1251">
        <f t="shared" si="366"/>
        <v>5</v>
      </c>
      <c r="AN1251" t="s">
        <v>185</v>
      </c>
      <c r="AO1251">
        <v>6.0970000000000004</v>
      </c>
    </row>
    <row r="1252" spans="1:41" ht="15">
      <c r="A1252">
        <v>30</v>
      </c>
      <c r="B1252" s="13" t="s">
        <v>1252</v>
      </c>
      <c r="C1252" t="s">
        <v>1353</v>
      </c>
      <c r="D1252" s="3">
        <f t="shared" si="360"/>
        <v>35</v>
      </c>
      <c r="F1252">
        <v>2024</v>
      </c>
      <c r="G1252">
        <f t="shared" si="367"/>
        <v>1</v>
      </c>
      <c r="H1252">
        <f t="shared" si="361"/>
        <v>0.16660285475285713</v>
      </c>
      <c r="J1252">
        <v>100</v>
      </c>
      <c r="L1252">
        <v>55</v>
      </c>
      <c r="M1252">
        <f t="shared" si="362"/>
        <v>7.9305135821047659E-2</v>
      </c>
      <c r="N1252">
        <f t="shared" si="363"/>
        <v>2.8161167557657775E-2</v>
      </c>
      <c r="O1252">
        <f t="shared" si="364"/>
        <v>0.28161167557657774</v>
      </c>
      <c r="P1252" t="s">
        <v>1312</v>
      </c>
      <c r="S1252">
        <f t="shared" si="365"/>
        <v>1.4609411764705882</v>
      </c>
      <c r="Y1252">
        <v>2020</v>
      </c>
      <c r="Z1252">
        <f t="shared" si="366"/>
        <v>5</v>
      </c>
      <c r="AN1252" t="s">
        <v>185</v>
      </c>
      <c r="AO1252">
        <v>6.0970000000000004</v>
      </c>
    </row>
    <row r="1253" spans="1:41" ht="15">
      <c r="A1253">
        <v>30</v>
      </c>
      <c r="B1253" s="13" t="s">
        <v>1252</v>
      </c>
      <c r="C1253" t="s">
        <v>1353</v>
      </c>
      <c r="D1253" s="3">
        <f t="shared" si="360"/>
        <v>35</v>
      </c>
      <c r="F1253">
        <v>2024</v>
      </c>
      <c r="G1253">
        <f t="shared" si="367"/>
        <v>1</v>
      </c>
      <c r="H1253">
        <f t="shared" si="361"/>
        <v>0.16660285475285713</v>
      </c>
      <c r="J1253">
        <v>100</v>
      </c>
      <c r="L1253">
        <v>55</v>
      </c>
      <c r="M1253">
        <f t="shared" si="362"/>
        <v>7.9305135821047659E-2</v>
      </c>
      <c r="N1253">
        <f t="shared" si="363"/>
        <v>2.8161167557657775E-2</v>
      </c>
      <c r="O1253">
        <f t="shared" si="364"/>
        <v>0.28161167557657774</v>
      </c>
      <c r="P1253" t="s">
        <v>1313</v>
      </c>
      <c r="S1253">
        <f t="shared" si="365"/>
        <v>1.4609411764705882</v>
      </c>
      <c r="Y1253">
        <v>2020</v>
      </c>
      <c r="Z1253">
        <f t="shared" si="366"/>
        <v>5</v>
      </c>
      <c r="AN1253" t="s">
        <v>185</v>
      </c>
      <c r="AO1253">
        <v>6.0970000000000004</v>
      </c>
    </row>
    <row r="1254" spans="1:41" ht="15">
      <c r="A1254">
        <v>30</v>
      </c>
      <c r="B1254" s="13" t="s">
        <v>1252</v>
      </c>
      <c r="C1254" t="s">
        <v>1353</v>
      </c>
      <c r="D1254" s="3">
        <f t="shared" si="360"/>
        <v>35</v>
      </c>
      <c r="F1254">
        <v>2024</v>
      </c>
      <c r="G1254">
        <f t="shared" si="367"/>
        <v>1</v>
      </c>
      <c r="H1254">
        <f t="shared" si="361"/>
        <v>0.16660285475285713</v>
      </c>
      <c r="J1254">
        <v>100</v>
      </c>
      <c r="L1254">
        <v>55</v>
      </c>
      <c r="M1254">
        <f t="shared" si="362"/>
        <v>7.9305135821047659E-2</v>
      </c>
      <c r="N1254">
        <f t="shared" si="363"/>
        <v>2.8161167557657775E-2</v>
      </c>
      <c r="O1254">
        <f t="shared" si="364"/>
        <v>0.28161167557657774</v>
      </c>
      <c r="P1254" t="s">
        <v>1314</v>
      </c>
      <c r="S1254">
        <f t="shared" si="365"/>
        <v>1.4609411764705882</v>
      </c>
      <c r="Y1254">
        <v>2020</v>
      </c>
      <c r="Z1254">
        <f t="shared" si="366"/>
        <v>5</v>
      </c>
      <c r="AN1254" t="s">
        <v>185</v>
      </c>
      <c r="AO1254">
        <v>6.0970000000000004</v>
      </c>
    </row>
    <row r="1255" spans="1:41" ht="15">
      <c r="A1255">
        <v>30</v>
      </c>
      <c r="B1255" s="13" t="s">
        <v>1252</v>
      </c>
      <c r="C1255" t="s">
        <v>1353</v>
      </c>
      <c r="D1255" s="3">
        <f t="shared" si="360"/>
        <v>35</v>
      </c>
      <c r="F1255">
        <v>2024</v>
      </c>
      <c r="G1255">
        <f t="shared" si="367"/>
        <v>1</v>
      </c>
      <c r="H1255">
        <f t="shared" si="361"/>
        <v>0.16660285475285713</v>
      </c>
      <c r="J1255">
        <v>100</v>
      </c>
      <c r="L1255">
        <v>55</v>
      </c>
      <c r="M1255">
        <f t="shared" si="362"/>
        <v>7.9305135821047659E-2</v>
      </c>
      <c r="N1255">
        <f t="shared" si="363"/>
        <v>2.8161167557657775E-2</v>
      </c>
      <c r="O1255">
        <f t="shared" si="364"/>
        <v>0.28161167557657774</v>
      </c>
      <c r="P1255" t="s">
        <v>1315</v>
      </c>
      <c r="S1255">
        <f t="shared" si="365"/>
        <v>1.4609411764705882</v>
      </c>
      <c r="Y1255">
        <v>2020</v>
      </c>
      <c r="Z1255">
        <f t="shared" si="366"/>
        <v>5</v>
      </c>
      <c r="AN1255" t="s">
        <v>185</v>
      </c>
      <c r="AO1255">
        <v>6.0970000000000004</v>
      </c>
    </row>
    <row r="1256" spans="1:41" ht="15">
      <c r="A1256">
        <v>30</v>
      </c>
      <c r="B1256" s="13" t="s">
        <v>1252</v>
      </c>
      <c r="C1256" t="s">
        <v>1353</v>
      </c>
      <c r="D1256" s="3">
        <f t="shared" si="360"/>
        <v>35</v>
      </c>
      <c r="F1256">
        <v>2024</v>
      </c>
      <c r="G1256">
        <f t="shared" si="367"/>
        <v>1</v>
      </c>
      <c r="H1256">
        <f t="shared" si="361"/>
        <v>0.16660285475285713</v>
      </c>
      <c r="J1256">
        <v>100</v>
      </c>
      <c r="L1256">
        <v>55</v>
      </c>
      <c r="M1256">
        <f t="shared" si="362"/>
        <v>7.9305135821047659E-2</v>
      </c>
      <c r="N1256">
        <f t="shared" si="363"/>
        <v>2.8161167557657775E-2</v>
      </c>
      <c r="O1256">
        <f t="shared" si="364"/>
        <v>0.28161167557657774</v>
      </c>
      <c r="P1256" t="s">
        <v>1316</v>
      </c>
      <c r="S1256">
        <f t="shared" si="365"/>
        <v>1.4609411764705882</v>
      </c>
      <c r="Y1256">
        <v>2020</v>
      </c>
      <c r="Z1256">
        <f t="shared" si="366"/>
        <v>5</v>
      </c>
      <c r="AN1256" t="s">
        <v>185</v>
      </c>
      <c r="AO1256">
        <v>6.0970000000000004</v>
      </c>
    </row>
    <row r="1257" spans="1:41" ht="15">
      <c r="A1257">
        <v>30</v>
      </c>
      <c r="B1257" s="13" t="s">
        <v>1252</v>
      </c>
      <c r="C1257" t="s">
        <v>1353</v>
      </c>
      <c r="D1257" s="3">
        <f t="shared" si="360"/>
        <v>35</v>
      </c>
      <c r="F1257">
        <v>2024</v>
      </c>
      <c r="G1257">
        <f t="shared" si="367"/>
        <v>1</v>
      </c>
      <c r="H1257">
        <f t="shared" si="361"/>
        <v>0.16660285475285713</v>
      </c>
      <c r="J1257">
        <v>100</v>
      </c>
      <c r="L1257">
        <v>55</v>
      </c>
      <c r="M1257">
        <f t="shared" si="362"/>
        <v>7.9305135821047659E-2</v>
      </c>
      <c r="N1257">
        <f t="shared" si="363"/>
        <v>2.8161167557657775E-2</v>
      </c>
      <c r="O1257">
        <f t="shared" si="364"/>
        <v>0.28161167557657774</v>
      </c>
      <c r="P1257" t="s">
        <v>1317</v>
      </c>
      <c r="S1257">
        <f t="shared" si="365"/>
        <v>1.4609411764705882</v>
      </c>
      <c r="Y1257">
        <v>2020</v>
      </c>
      <c r="Z1257">
        <f t="shared" si="366"/>
        <v>5</v>
      </c>
      <c r="AN1257" t="s">
        <v>185</v>
      </c>
      <c r="AO1257">
        <v>6.0970000000000004</v>
      </c>
    </row>
    <row r="1258" spans="1:41" ht="15">
      <c r="A1258">
        <v>30</v>
      </c>
      <c r="B1258" s="13" t="s">
        <v>1252</v>
      </c>
      <c r="C1258" t="s">
        <v>1353</v>
      </c>
      <c r="D1258" s="3">
        <f t="shared" ref="D1258:D1292" si="368">100*(35/100)</f>
        <v>35</v>
      </c>
      <c r="F1258">
        <v>2024</v>
      </c>
      <c r="G1258">
        <f t="shared" si="367"/>
        <v>1</v>
      </c>
      <c r="H1258">
        <f t="shared" ref="H1258:H1292" si="369">AVERAGE($AD$1193:$AD$1292)</f>
        <v>0.16660285475285713</v>
      </c>
      <c r="J1258">
        <v>100</v>
      </c>
      <c r="L1258">
        <v>55</v>
      </c>
      <c r="M1258">
        <f t="shared" ref="M1258:M1292" si="370">_xlfn.VAR.P($AD$1193:$AD$1292)</f>
        <v>7.9305135821047659E-2</v>
      </c>
      <c r="N1258">
        <f t="shared" ref="N1258:N1292" si="371">$O$1193/SQRT(J1258)</f>
        <v>2.8161167557657775E-2</v>
      </c>
      <c r="O1258">
        <f t="shared" ref="O1258:O1292" si="372">_xlfn.STDEV.P($AD$1193:$AD$1292)</f>
        <v>0.28161167557657774</v>
      </c>
      <c r="P1258" t="s">
        <v>1318</v>
      </c>
      <c r="S1258">
        <f t="shared" ref="S1258:S1292" si="373">AVERAGE($R$1193:$R$1292)</f>
        <v>1.4609411764705882</v>
      </c>
      <c r="Y1258">
        <v>2020</v>
      </c>
      <c r="Z1258">
        <f t="shared" ref="Z1258:Z1292" si="374">2025-AVERAGE($Y$1193:$Y$1292)</f>
        <v>5</v>
      </c>
      <c r="AN1258" t="s">
        <v>185</v>
      </c>
      <c r="AO1258">
        <v>6.0970000000000004</v>
      </c>
    </row>
    <row r="1259" spans="1:41" ht="15">
      <c r="A1259">
        <v>30</v>
      </c>
      <c r="B1259" s="13" t="s">
        <v>1252</v>
      </c>
      <c r="C1259" t="s">
        <v>1353</v>
      </c>
      <c r="D1259" s="3">
        <f t="shared" si="368"/>
        <v>35</v>
      </c>
      <c r="F1259">
        <v>2024</v>
      </c>
      <c r="G1259">
        <f t="shared" si="367"/>
        <v>1</v>
      </c>
      <c r="H1259">
        <f t="shared" si="369"/>
        <v>0.16660285475285713</v>
      </c>
      <c r="J1259">
        <v>100</v>
      </c>
      <c r="L1259">
        <v>55</v>
      </c>
      <c r="M1259">
        <f t="shared" si="370"/>
        <v>7.9305135821047659E-2</v>
      </c>
      <c r="N1259">
        <f t="shared" si="371"/>
        <v>2.8161167557657775E-2</v>
      </c>
      <c r="O1259">
        <f t="shared" si="372"/>
        <v>0.28161167557657774</v>
      </c>
      <c r="P1259" t="s">
        <v>1319</v>
      </c>
      <c r="S1259">
        <f t="shared" si="373"/>
        <v>1.4609411764705882</v>
      </c>
      <c r="Y1259">
        <v>2020</v>
      </c>
      <c r="Z1259">
        <f t="shared" si="374"/>
        <v>5</v>
      </c>
      <c r="AN1259" t="s">
        <v>185</v>
      </c>
      <c r="AO1259">
        <v>6.0970000000000004</v>
      </c>
    </row>
    <row r="1260" spans="1:41" ht="15">
      <c r="A1260">
        <v>30</v>
      </c>
      <c r="B1260" s="13" t="s">
        <v>1252</v>
      </c>
      <c r="C1260" t="s">
        <v>1353</v>
      </c>
      <c r="D1260" s="3">
        <f t="shared" si="368"/>
        <v>35</v>
      </c>
      <c r="F1260">
        <v>2024</v>
      </c>
      <c r="G1260">
        <f t="shared" si="367"/>
        <v>1</v>
      </c>
      <c r="H1260">
        <f t="shared" si="369"/>
        <v>0.16660285475285713</v>
      </c>
      <c r="J1260">
        <v>100</v>
      </c>
      <c r="L1260">
        <v>55</v>
      </c>
      <c r="M1260">
        <f t="shared" si="370"/>
        <v>7.9305135821047659E-2</v>
      </c>
      <c r="N1260">
        <f t="shared" si="371"/>
        <v>2.8161167557657775E-2</v>
      </c>
      <c r="O1260">
        <f t="shared" si="372"/>
        <v>0.28161167557657774</v>
      </c>
      <c r="P1260" t="s">
        <v>1320</v>
      </c>
      <c r="S1260">
        <f t="shared" si="373"/>
        <v>1.4609411764705882</v>
      </c>
      <c r="Y1260">
        <v>2020</v>
      </c>
      <c r="Z1260">
        <f t="shared" si="374"/>
        <v>5</v>
      </c>
      <c r="AN1260" t="s">
        <v>185</v>
      </c>
      <c r="AO1260">
        <v>6.0970000000000004</v>
      </c>
    </row>
    <row r="1261" spans="1:41" ht="15">
      <c r="A1261">
        <v>30</v>
      </c>
      <c r="B1261" s="13" t="s">
        <v>1252</v>
      </c>
      <c r="C1261" t="s">
        <v>1353</v>
      </c>
      <c r="D1261" s="3">
        <f t="shared" si="368"/>
        <v>35</v>
      </c>
      <c r="F1261">
        <v>2024</v>
      </c>
      <c r="G1261">
        <f t="shared" si="367"/>
        <v>1</v>
      </c>
      <c r="H1261">
        <f t="shared" si="369"/>
        <v>0.16660285475285713</v>
      </c>
      <c r="J1261">
        <v>100</v>
      </c>
      <c r="L1261">
        <v>55</v>
      </c>
      <c r="M1261">
        <f t="shared" si="370"/>
        <v>7.9305135821047659E-2</v>
      </c>
      <c r="N1261">
        <f t="shared" si="371"/>
        <v>2.8161167557657775E-2</v>
      </c>
      <c r="O1261">
        <f t="shared" si="372"/>
        <v>0.28161167557657774</v>
      </c>
      <c r="P1261" t="s">
        <v>1321</v>
      </c>
      <c r="S1261">
        <f t="shared" si="373"/>
        <v>1.4609411764705882</v>
      </c>
      <c r="Y1261">
        <v>2020</v>
      </c>
      <c r="Z1261">
        <f t="shared" si="374"/>
        <v>5</v>
      </c>
      <c r="AN1261" t="s">
        <v>185</v>
      </c>
      <c r="AO1261">
        <v>6.0970000000000004</v>
      </c>
    </row>
    <row r="1262" spans="1:41" ht="15">
      <c r="A1262">
        <v>30</v>
      </c>
      <c r="B1262" s="13" t="s">
        <v>1252</v>
      </c>
      <c r="C1262" t="s">
        <v>1353</v>
      </c>
      <c r="D1262" s="3">
        <f t="shared" si="368"/>
        <v>35</v>
      </c>
      <c r="F1262">
        <v>2024</v>
      </c>
      <c r="G1262">
        <f t="shared" si="367"/>
        <v>1</v>
      </c>
      <c r="H1262">
        <f t="shared" si="369"/>
        <v>0.16660285475285713</v>
      </c>
      <c r="J1262">
        <v>100</v>
      </c>
      <c r="L1262">
        <v>55</v>
      </c>
      <c r="M1262">
        <f t="shared" si="370"/>
        <v>7.9305135821047659E-2</v>
      </c>
      <c r="N1262">
        <f t="shared" si="371"/>
        <v>2.8161167557657775E-2</v>
      </c>
      <c r="O1262">
        <f t="shared" si="372"/>
        <v>0.28161167557657774</v>
      </c>
      <c r="P1262" t="s">
        <v>1322</v>
      </c>
      <c r="S1262">
        <f t="shared" si="373"/>
        <v>1.4609411764705882</v>
      </c>
      <c r="Y1262">
        <v>2020</v>
      </c>
      <c r="Z1262">
        <f t="shared" si="374"/>
        <v>5</v>
      </c>
      <c r="AN1262" t="s">
        <v>185</v>
      </c>
      <c r="AO1262">
        <v>6.0970000000000004</v>
      </c>
    </row>
    <row r="1263" spans="1:41" ht="15">
      <c r="A1263">
        <v>30</v>
      </c>
      <c r="B1263" s="13" t="s">
        <v>1252</v>
      </c>
      <c r="C1263" t="s">
        <v>1353</v>
      </c>
      <c r="D1263" s="3">
        <f t="shared" si="368"/>
        <v>35</v>
      </c>
      <c r="F1263">
        <v>2024</v>
      </c>
      <c r="G1263">
        <f t="shared" si="367"/>
        <v>1</v>
      </c>
      <c r="H1263">
        <f t="shared" si="369"/>
        <v>0.16660285475285713</v>
      </c>
      <c r="J1263">
        <v>100</v>
      </c>
      <c r="L1263">
        <v>55</v>
      </c>
      <c r="M1263">
        <f t="shared" si="370"/>
        <v>7.9305135821047659E-2</v>
      </c>
      <c r="N1263">
        <f t="shared" si="371"/>
        <v>2.8161167557657775E-2</v>
      </c>
      <c r="O1263">
        <f t="shared" si="372"/>
        <v>0.28161167557657774</v>
      </c>
      <c r="P1263" t="s">
        <v>1323</v>
      </c>
      <c r="S1263">
        <f t="shared" si="373"/>
        <v>1.4609411764705882</v>
      </c>
      <c r="Y1263">
        <v>2020</v>
      </c>
      <c r="Z1263">
        <f t="shared" si="374"/>
        <v>5</v>
      </c>
      <c r="AN1263" t="s">
        <v>185</v>
      </c>
      <c r="AO1263">
        <v>6.0970000000000004</v>
      </c>
    </row>
    <row r="1264" spans="1:41" ht="15">
      <c r="A1264">
        <v>30</v>
      </c>
      <c r="B1264" s="13" t="s">
        <v>1252</v>
      </c>
      <c r="C1264" t="s">
        <v>1353</v>
      </c>
      <c r="D1264" s="3">
        <f t="shared" si="368"/>
        <v>35</v>
      </c>
      <c r="F1264">
        <v>2024</v>
      </c>
      <c r="G1264">
        <f t="shared" si="367"/>
        <v>1</v>
      </c>
      <c r="H1264">
        <f t="shared" si="369"/>
        <v>0.16660285475285713</v>
      </c>
      <c r="J1264">
        <v>100</v>
      </c>
      <c r="L1264">
        <v>55</v>
      </c>
      <c r="M1264">
        <f t="shared" si="370"/>
        <v>7.9305135821047659E-2</v>
      </c>
      <c r="N1264">
        <f t="shared" si="371"/>
        <v>2.8161167557657775E-2</v>
      </c>
      <c r="O1264">
        <f t="shared" si="372"/>
        <v>0.28161167557657774</v>
      </c>
      <c r="P1264" t="s">
        <v>1324</v>
      </c>
      <c r="S1264">
        <f t="shared" si="373"/>
        <v>1.4609411764705882</v>
      </c>
      <c r="Y1264">
        <v>2020</v>
      </c>
      <c r="Z1264">
        <f t="shared" si="374"/>
        <v>5</v>
      </c>
      <c r="AN1264" t="s">
        <v>185</v>
      </c>
      <c r="AO1264">
        <v>6.0970000000000004</v>
      </c>
    </row>
    <row r="1265" spans="1:41" ht="15">
      <c r="A1265">
        <v>30</v>
      </c>
      <c r="B1265" s="13" t="s">
        <v>1252</v>
      </c>
      <c r="C1265" t="s">
        <v>1353</v>
      </c>
      <c r="D1265" s="3">
        <f t="shared" si="368"/>
        <v>35</v>
      </c>
      <c r="F1265">
        <v>2024</v>
      </c>
      <c r="G1265">
        <f t="shared" si="367"/>
        <v>1</v>
      </c>
      <c r="H1265">
        <f t="shared" si="369"/>
        <v>0.16660285475285713</v>
      </c>
      <c r="J1265">
        <v>100</v>
      </c>
      <c r="L1265">
        <v>55</v>
      </c>
      <c r="M1265">
        <f t="shared" si="370"/>
        <v>7.9305135821047659E-2</v>
      </c>
      <c r="N1265">
        <f t="shared" si="371"/>
        <v>2.8161167557657775E-2</v>
      </c>
      <c r="O1265">
        <f t="shared" si="372"/>
        <v>0.28161167557657774</v>
      </c>
      <c r="P1265" t="s">
        <v>1325</v>
      </c>
      <c r="S1265">
        <f t="shared" si="373"/>
        <v>1.4609411764705882</v>
      </c>
      <c r="Y1265">
        <v>2020</v>
      </c>
      <c r="Z1265">
        <f t="shared" si="374"/>
        <v>5</v>
      </c>
      <c r="AN1265" t="s">
        <v>185</v>
      </c>
      <c r="AO1265">
        <v>6.0970000000000004</v>
      </c>
    </row>
    <row r="1266" spans="1:41" ht="15">
      <c r="A1266">
        <v>30</v>
      </c>
      <c r="B1266" s="13" t="s">
        <v>1252</v>
      </c>
      <c r="C1266" t="s">
        <v>1353</v>
      </c>
      <c r="D1266" s="3">
        <f t="shared" si="368"/>
        <v>35</v>
      </c>
      <c r="F1266">
        <v>2024</v>
      </c>
      <c r="G1266">
        <f t="shared" si="367"/>
        <v>1</v>
      </c>
      <c r="H1266">
        <f t="shared" si="369"/>
        <v>0.16660285475285713</v>
      </c>
      <c r="J1266">
        <v>100</v>
      </c>
      <c r="L1266">
        <v>55</v>
      </c>
      <c r="M1266">
        <f t="shared" si="370"/>
        <v>7.9305135821047659E-2</v>
      </c>
      <c r="N1266">
        <f t="shared" si="371"/>
        <v>2.8161167557657775E-2</v>
      </c>
      <c r="O1266">
        <f t="shared" si="372"/>
        <v>0.28161167557657774</v>
      </c>
      <c r="P1266" t="s">
        <v>1326</v>
      </c>
      <c r="S1266">
        <f t="shared" si="373"/>
        <v>1.4609411764705882</v>
      </c>
      <c r="Y1266">
        <v>2020</v>
      </c>
      <c r="Z1266">
        <f t="shared" si="374"/>
        <v>5</v>
      </c>
      <c r="AN1266" t="s">
        <v>185</v>
      </c>
      <c r="AO1266">
        <v>6.0970000000000004</v>
      </c>
    </row>
    <row r="1267" spans="1:41" ht="15">
      <c r="A1267">
        <v>30</v>
      </c>
      <c r="B1267" s="13" t="s">
        <v>1252</v>
      </c>
      <c r="C1267" t="s">
        <v>1353</v>
      </c>
      <c r="D1267" s="3">
        <f t="shared" si="368"/>
        <v>35</v>
      </c>
      <c r="F1267">
        <v>2024</v>
      </c>
      <c r="G1267">
        <f t="shared" si="367"/>
        <v>1</v>
      </c>
      <c r="H1267">
        <f t="shared" si="369"/>
        <v>0.16660285475285713</v>
      </c>
      <c r="J1267">
        <v>100</v>
      </c>
      <c r="L1267">
        <v>55</v>
      </c>
      <c r="M1267">
        <f t="shared" si="370"/>
        <v>7.9305135821047659E-2</v>
      </c>
      <c r="N1267">
        <f t="shared" si="371"/>
        <v>2.8161167557657775E-2</v>
      </c>
      <c r="O1267">
        <f t="shared" si="372"/>
        <v>0.28161167557657774</v>
      </c>
      <c r="P1267" t="s">
        <v>1327</v>
      </c>
      <c r="S1267">
        <f t="shared" si="373"/>
        <v>1.4609411764705882</v>
      </c>
      <c r="Y1267">
        <v>2020</v>
      </c>
      <c r="Z1267">
        <f t="shared" si="374"/>
        <v>5</v>
      </c>
      <c r="AN1267" t="s">
        <v>185</v>
      </c>
      <c r="AO1267">
        <v>6.0970000000000004</v>
      </c>
    </row>
    <row r="1268" spans="1:41" ht="15">
      <c r="A1268">
        <v>30</v>
      </c>
      <c r="B1268" s="13" t="s">
        <v>1252</v>
      </c>
      <c r="C1268" t="s">
        <v>1353</v>
      </c>
      <c r="D1268" s="3">
        <f t="shared" si="368"/>
        <v>35</v>
      </c>
      <c r="F1268">
        <v>2024</v>
      </c>
      <c r="G1268">
        <f t="shared" si="367"/>
        <v>1</v>
      </c>
      <c r="H1268">
        <f t="shared" si="369"/>
        <v>0.16660285475285713</v>
      </c>
      <c r="J1268">
        <v>100</v>
      </c>
      <c r="L1268">
        <v>55</v>
      </c>
      <c r="M1268">
        <f t="shared" si="370"/>
        <v>7.9305135821047659E-2</v>
      </c>
      <c r="N1268">
        <f t="shared" si="371"/>
        <v>2.8161167557657775E-2</v>
      </c>
      <c r="O1268">
        <f t="shared" si="372"/>
        <v>0.28161167557657774</v>
      </c>
      <c r="P1268" t="s">
        <v>1328</v>
      </c>
      <c r="S1268">
        <f t="shared" si="373"/>
        <v>1.4609411764705882</v>
      </c>
      <c r="Y1268">
        <v>2020</v>
      </c>
      <c r="Z1268">
        <f t="shared" si="374"/>
        <v>5</v>
      </c>
      <c r="AN1268" t="s">
        <v>185</v>
      </c>
      <c r="AO1268">
        <v>6.0970000000000004</v>
      </c>
    </row>
    <row r="1269" spans="1:41" ht="15">
      <c r="A1269">
        <v>30</v>
      </c>
      <c r="B1269" s="13" t="s">
        <v>1252</v>
      </c>
      <c r="C1269" t="s">
        <v>1353</v>
      </c>
      <c r="D1269" s="3">
        <f t="shared" si="368"/>
        <v>35</v>
      </c>
      <c r="F1269">
        <v>2024</v>
      </c>
      <c r="G1269">
        <f t="shared" si="367"/>
        <v>1</v>
      </c>
      <c r="H1269">
        <f t="shared" si="369"/>
        <v>0.16660285475285713</v>
      </c>
      <c r="J1269">
        <v>100</v>
      </c>
      <c r="L1269">
        <v>55</v>
      </c>
      <c r="M1269">
        <f t="shared" si="370"/>
        <v>7.9305135821047659E-2</v>
      </c>
      <c r="N1269">
        <f t="shared" si="371"/>
        <v>2.8161167557657775E-2</v>
      </c>
      <c r="O1269">
        <f t="shared" si="372"/>
        <v>0.28161167557657774</v>
      </c>
      <c r="P1269" t="s">
        <v>1329</v>
      </c>
      <c r="S1269">
        <f t="shared" si="373"/>
        <v>1.4609411764705882</v>
      </c>
      <c r="Y1269">
        <v>2020</v>
      </c>
      <c r="Z1269">
        <f t="shared" si="374"/>
        <v>5</v>
      </c>
      <c r="AN1269" t="s">
        <v>185</v>
      </c>
      <c r="AO1269">
        <v>6.0970000000000004</v>
      </c>
    </row>
    <row r="1270" spans="1:41" ht="15">
      <c r="A1270">
        <v>30</v>
      </c>
      <c r="B1270" s="13" t="s">
        <v>1252</v>
      </c>
      <c r="C1270" t="s">
        <v>1353</v>
      </c>
      <c r="D1270" s="3">
        <f t="shared" si="368"/>
        <v>35</v>
      </c>
      <c r="F1270">
        <v>2024</v>
      </c>
      <c r="G1270">
        <f t="shared" si="367"/>
        <v>1</v>
      </c>
      <c r="H1270">
        <f t="shared" si="369"/>
        <v>0.16660285475285713</v>
      </c>
      <c r="J1270">
        <v>100</v>
      </c>
      <c r="L1270">
        <v>55</v>
      </c>
      <c r="M1270">
        <f t="shared" si="370"/>
        <v>7.9305135821047659E-2</v>
      </c>
      <c r="N1270">
        <f t="shared" si="371"/>
        <v>2.8161167557657775E-2</v>
      </c>
      <c r="O1270">
        <f t="shared" si="372"/>
        <v>0.28161167557657774</v>
      </c>
      <c r="P1270" t="s">
        <v>1330</v>
      </c>
      <c r="S1270">
        <f t="shared" si="373"/>
        <v>1.4609411764705882</v>
      </c>
      <c r="Y1270">
        <v>2020</v>
      </c>
      <c r="Z1270">
        <f t="shared" si="374"/>
        <v>5</v>
      </c>
      <c r="AN1270" t="s">
        <v>185</v>
      </c>
      <c r="AO1270">
        <v>6.0970000000000004</v>
      </c>
    </row>
    <row r="1271" spans="1:41" ht="15">
      <c r="A1271">
        <v>30</v>
      </c>
      <c r="B1271" s="13" t="s">
        <v>1252</v>
      </c>
      <c r="C1271" t="s">
        <v>1353</v>
      </c>
      <c r="D1271" s="3">
        <f t="shared" si="368"/>
        <v>35</v>
      </c>
      <c r="F1271">
        <v>2024</v>
      </c>
      <c r="G1271">
        <f t="shared" si="367"/>
        <v>1</v>
      </c>
      <c r="H1271">
        <f t="shared" si="369"/>
        <v>0.16660285475285713</v>
      </c>
      <c r="J1271">
        <v>100</v>
      </c>
      <c r="L1271">
        <v>55</v>
      </c>
      <c r="M1271">
        <f t="shared" si="370"/>
        <v>7.9305135821047659E-2</v>
      </c>
      <c r="N1271">
        <f t="shared" si="371"/>
        <v>2.8161167557657775E-2</v>
      </c>
      <c r="O1271">
        <f t="shared" si="372"/>
        <v>0.28161167557657774</v>
      </c>
      <c r="P1271" t="s">
        <v>1331</v>
      </c>
      <c r="S1271">
        <f t="shared" si="373"/>
        <v>1.4609411764705882</v>
      </c>
      <c r="Y1271">
        <v>2020</v>
      </c>
      <c r="Z1271">
        <f t="shared" si="374"/>
        <v>5</v>
      </c>
      <c r="AN1271" t="s">
        <v>185</v>
      </c>
      <c r="AO1271">
        <v>6.0970000000000004</v>
      </c>
    </row>
    <row r="1272" spans="1:41" ht="15">
      <c r="A1272">
        <v>30</v>
      </c>
      <c r="B1272" s="13" t="s">
        <v>1252</v>
      </c>
      <c r="C1272" t="s">
        <v>1353</v>
      </c>
      <c r="D1272" s="3">
        <f t="shared" si="368"/>
        <v>35</v>
      </c>
      <c r="F1272">
        <v>2024</v>
      </c>
      <c r="G1272">
        <f t="shared" si="367"/>
        <v>1</v>
      </c>
      <c r="H1272">
        <f t="shared" si="369"/>
        <v>0.16660285475285713</v>
      </c>
      <c r="J1272">
        <v>100</v>
      </c>
      <c r="L1272">
        <v>55</v>
      </c>
      <c r="M1272">
        <f t="shared" si="370"/>
        <v>7.9305135821047659E-2</v>
      </c>
      <c r="N1272">
        <f t="shared" si="371"/>
        <v>2.8161167557657775E-2</v>
      </c>
      <c r="O1272">
        <f t="shared" si="372"/>
        <v>0.28161167557657774</v>
      </c>
      <c r="P1272" t="s">
        <v>1332</v>
      </c>
      <c r="S1272">
        <f t="shared" si="373"/>
        <v>1.4609411764705882</v>
      </c>
      <c r="Y1272">
        <v>2020</v>
      </c>
      <c r="Z1272">
        <f t="shared" si="374"/>
        <v>5</v>
      </c>
      <c r="AN1272" t="s">
        <v>185</v>
      </c>
      <c r="AO1272">
        <v>6.0970000000000004</v>
      </c>
    </row>
    <row r="1273" spans="1:41" ht="15">
      <c r="A1273">
        <v>30</v>
      </c>
      <c r="B1273" s="13" t="s">
        <v>1252</v>
      </c>
      <c r="C1273" t="s">
        <v>1353</v>
      </c>
      <c r="D1273" s="3">
        <f t="shared" si="368"/>
        <v>35</v>
      </c>
      <c r="F1273">
        <v>2024</v>
      </c>
      <c r="G1273">
        <f t="shared" si="367"/>
        <v>1</v>
      </c>
      <c r="H1273">
        <f t="shared" si="369"/>
        <v>0.16660285475285713</v>
      </c>
      <c r="J1273">
        <v>100</v>
      </c>
      <c r="L1273">
        <v>55</v>
      </c>
      <c r="M1273">
        <f t="shared" si="370"/>
        <v>7.9305135821047659E-2</v>
      </c>
      <c r="N1273">
        <f t="shared" si="371"/>
        <v>2.8161167557657775E-2</v>
      </c>
      <c r="O1273">
        <f t="shared" si="372"/>
        <v>0.28161167557657774</v>
      </c>
      <c r="P1273" t="s">
        <v>1333</v>
      </c>
      <c r="S1273">
        <f t="shared" si="373"/>
        <v>1.4609411764705882</v>
      </c>
      <c r="Y1273">
        <v>2020</v>
      </c>
      <c r="Z1273">
        <f t="shared" si="374"/>
        <v>5</v>
      </c>
      <c r="AN1273" t="s">
        <v>185</v>
      </c>
      <c r="AO1273">
        <v>6.0970000000000004</v>
      </c>
    </row>
    <row r="1274" spans="1:41" ht="15">
      <c r="A1274">
        <v>30</v>
      </c>
      <c r="B1274" s="13" t="s">
        <v>1252</v>
      </c>
      <c r="C1274" t="s">
        <v>1353</v>
      </c>
      <c r="D1274" s="3">
        <f t="shared" si="368"/>
        <v>35</v>
      </c>
      <c r="F1274">
        <v>2024</v>
      </c>
      <c r="G1274">
        <f t="shared" si="367"/>
        <v>1</v>
      </c>
      <c r="H1274">
        <f t="shared" si="369"/>
        <v>0.16660285475285713</v>
      </c>
      <c r="J1274">
        <v>100</v>
      </c>
      <c r="L1274">
        <v>55</v>
      </c>
      <c r="M1274">
        <f t="shared" si="370"/>
        <v>7.9305135821047659E-2</v>
      </c>
      <c r="N1274">
        <f t="shared" si="371"/>
        <v>2.8161167557657775E-2</v>
      </c>
      <c r="O1274">
        <f t="shared" si="372"/>
        <v>0.28161167557657774</v>
      </c>
      <c r="P1274" t="s">
        <v>1334</v>
      </c>
      <c r="S1274">
        <f t="shared" si="373"/>
        <v>1.4609411764705882</v>
      </c>
      <c r="Y1274">
        <v>2020</v>
      </c>
      <c r="Z1274">
        <f t="shared" si="374"/>
        <v>5</v>
      </c>
      <c r="AN1274" t="s">
        <v>185</v>
      </c>
      <c r="AO1274">
        <v>6.0970000000000004</v>
      </c>
    </row>
    <row r="1275" spans="1:41" ht="15">
      <c r="A1275">
        <v>30</v>
      </c>
      <c r="B1275" s="13" t="s">
        <v>1252</v>
      </c>
      <c r="C1275" t="s">
        <v>1353</v>
      </c>
      <c r="D1275" s="3">
        <f t="shared" si="368"/>
        <v>35</v>
      </c>
      <c r="F1275">
        <v>2024</v>
      </c>
      <c r="G1275">
        <f t="shared" si="367"/>
        <v>1</v>
      </c>
      <c r="H1275">
        <f t="shared" si="369"/>
        <v>0.16660285475285713</v>
      </c>
      <c r="J1275">
        <v>100</v>
      </c>
      <c r="L1275">
        <v>55</v>
      </c>
      <c r="M1275">
        <f t="shared" si="370"/>
        <v>7.9305135821047659E-2</v>
      </c>
      <c r="N1275">
        <f t="shared" si="371"/>
        <v>2.8161167557657775E-2</v>
      </c>
      <c r="O1275">
        <f t="shared" si="372"/>
        <v>0.28161167557657774</v>
      </c>
      <c r="P1275" t="s">
        <v>1335</v>
      </c>
      <c r="S1275">
        <f t="shared" si="373"/>
        <v>1.4609411764705882</v>
      </c>
      <c r="Y1275">
        <v>2020</v>
      </c>
      <c r="Z1275">
        <f t="shared" si="374"/>
        <v>5</v>
      </c>
      <c r="AN1275" t="s">
        <v>185</v>
      </c>
      <c r="AO1275">
        <v>6.0970000000000004</v>
      </c>
    </row>
    <row r="1276" spans="1:41" ht="15">
      <c r="A1276">
        <v>30</v>
      </c>
      <c r="B1276" s="13" t="s">
        <v>1252</v>
      </c>
      <c r="C1276" t="s">
        <v>1353</v>
      </c>
      <c r="D1276" s="3">
        <f t="shared" si="368"/>
        <v>35</v>
      </c>
      <c r="F1276">
        <v>2024</v>
      </c>
      <c r="G1276">
        <f t="shared" si="367"/>
        <v>1</v>
      </c>
      <c r="H1276">
        <f t="shared" si="369"/>
        <v>0.16660285475285713</v>
      </c>
      <c r="J1276">
        <v>100</v>
      </c>
      <c r="L1276">
        <v>55</v>
      </c>
      <c r="M1276">
        <f t="shared" si="370"/>
        <v>7.9305135821047659E-2</v>
      </c>
      <c r="N1276">
        <f t="shared" si="371"/>
        <v>2.8161167557657775E-2</v>
      </c>
      <c r="O1276">
        <f t="shared" si="372"/>
        <v>0.28161167557657774</v>
      </c>
      <c r="P1276" t="s">
        <v>1336</v>
      </c>
      <c r="S1276">
        <f t="shared" si="373"/>
        <v>1.4609411764705882</v>
      </c>
      <c r="Y1276">
        <v>2020</v>
      </c>
      <c r="Z1276">
        <f t="shared" si="374"/>
        <v>5</v>
      </c>
      <c r="AN1276" t="s">
        <v>185</v>
      </c>
      <c r="AO1276">
        <v>6.0970000000000004</v>
      </c>
    </row>
    <row r="1277" spans="1:41" ht="15">
      <c r="A1277">
        <v>30</v>
      </c>
      <c r="B1277" s="13" t="s">
        <v>1252</v>
      </c>
      <c r="C1277" t="s">
        <v>1353</v>
      </c>
      <c r="D1277" s="3">
        <f t="shared" si="368"/>
        <v>35</v>
      </c>
      <c r="F1277">
        <v>2024</v>
      </c>
      <c r="G1277">
        <f t="shared" si="367"/>
        <v>1</v>
      </c>
      <c r="H1277">
        <f t="shared" si="369"/>
        <v>0.16660285475285713</v>
      </c>
      <c r="J1277">
        <v>100</v>
      </c>
      <c r="L1277">
        <v>55</v>
      </c>
      <c r="M1277">
        <f t="shared" si="370"/>
        <v>7.9305135821047659E-2</v>
      </c>
      <c r="N1277">
        <f t="shared" si="371"/>
        <v>2.8161167557657775E-2</v>
      </c>
      <c r="O1277">
        <f t="shared" si="372"/>
        <v>0.28161167557657774</v>
      </c>
      <c r="P1277" t="s">
        <v>1337</v>
      </c>
      <c r="S1277">
        <f t="shared" si="373"/>
        <v>1.4609411764705882</v>
      </c>
      <c r="Y1277">
        <v>2020</v>
      </c>
      <c r="Z1277">
        <f t="shared" si="374"/>
        <v>5</v>
      </c>
      <c r="AN1277" t="s">
        <v>185</v>
      </c>
      <c r="AO1277">
        <v>6.0970000000000004</v>
      </c>
    </row>
    <row r="1278" spans="1:41" ht="15">
      <c r="A1278">
        <v>30</v>
      </c>
      <c r="B1278" s="13" t="s">
        <v>1252</v>
      </c>
      <c r="C1278" t="s">
        <v>1353</v>
      </c>
      <c r="D1278" s="3">
        <f t="shared" si="368"/>
        <v>35</v>
      </c>
      <c r="F1278">
        <v>2024</v>
      </c>
      <c r="G1278">
        <f t="shared" si="367"/>
        <v>1</v>
      </c>
      <c r="H1278">
        <f t="shared" si="369"/>
        <v>0.16660285475285713</v>
      </c>
      <c r="J1278">
        <v>100</v>
      </c>
      <c r="L1278">
        <v>55</v>
      </c>
      <c r="M1278">
        <f t="shared" si="370"/>
        <v>7.9305135821047659E-2</v>
      </c>
      <c r="N1278">
        <f t="shared" si="371"/>
        <v>2.8161167557657775E-2</v>
      </c>
      <c r="O1278">
        <f t="shared" si="372"/>
        <v>0.28161167557657774</v>
      </c>
      <c r="P1278" t="s">
        <v>1338</v>
      </c>
      <c r="S1278">
        <f t="shared" si="373"/>
        <v>1.4609411764705882</v>
      </c>
      <c r="Y1278">
        <v>2020</v>
      </c>
      <c r="Z1278">
        <f t="shared" si="374"/>
        <v>5</v>
      </c>
      <c r="AN1278" t="s">
        <v>185</v>
      </c>
      <c r="AO1278">
        <v>6.0970000000000004</v>
      </c>
    </row>
    <row r="1279" spans="1:41" ht="15">
      <c r="A1279">
        <v>30</v>
      </c>
      <c r="B1279" s="13" t="s">
        <v>1252</v>
      </c>
      <c r="C1279" t="s">
        <v>1353</v>
      </c>
      <c r="D1279" s="3">
        <f t="shared" si="368"/>
        <v>35</v>
      </c>
      <c r="F1279">
        <v>2024</v>
      </c>
      <c r="G1279">
        <f t="shared" si="367"/>
        <v>1</v>
      </c>
      <c r="H1279">
        <f t="shared" si="369"/>
        <v>0.16660285475285713</v>
      </c>
      <c r="J1279">
        <v>100</v>
      </c>
      <c r="L1279">
        <v>55</v>
      </c>
      <c r="M1279">
        <f t="shared" si="370"/>
        <v>7.9305135821047659E-2</v>
      </c>
      <c r="N1279">
        <f t="shared" si="371"/>
        <v>2.8161167557657775E-2</v>
      </c>
      <c r="O1279">
        <f t="shared" si="372"/>
        <v>0.28161167557657774</v>
      </c>
      <c r="P1279" t="s">
        <v>1339</v>
      </c>
      <c r="S1279">
        <f t="shared" si="373"/>
        <v>1.4609411764705882</v>
      </c>
      <c r="Y1279">
        <v>2020</v>
      </c>
      <c r="Z1279">
        <f t="shared" si="374"/>
        <v>5</v>
      </c>
      <c r="AN1279" t="s">
        <v>185</v>
      </c>
      <c r="AO1279">
        <v>6.0970000000000004</v>
      </c>
    </row>
    <row r="1280" spans="1:41" ht="15">
      <c r="A1280">
        <v>30</v>
      </c>
      <c r="B1280" s="13" t="s">
        <v>1252</v>
      </c>
      <c r="C1280" t="s">
        <v>1353</v>
      </c>
      <c r="D1280" s="3">
        <f t="shared" si="368"/>
        <v>35</v>
      </c>
      <c r="F1280">
        <v>2024</v>
      </c>
      <c r="G1280">
        <f t="shared" si="367"/>
        <v>1</v>
      </c>
      <c r="H1280">
        <f t="shared" si="369"/>
        <v>0.16660285475285713</v>
      </c>
      <c r="J1280">
        <v>100</v>
      </c>
      <c r="L1280">
        <v>55</v>
      </c>
      <c r="M1280">
        <f t="shared" si="370"/>
        <v>7.9305135821047659E-2</v>
      </c>
      <c r="N1280">
        <f t="shared" si="371"/>
        <v>2.8161167557657775E-2</v>
      </c>
      <c r="O1280">
        <f t="shared" si="372"/>
        <v>0.28161167557657774</v>
      </c>
      <c r="P1280" t="s">
        <v>1340</v>
      </c>
      <c r="S1280">
        <f t="shared" si="373"/>
        <v>1.4609411764705882</v>
      </c>
      <c r="Y1280">
        <v>2020</v>
      </c>
      <c r="Z1280">
        <f t="shared" si="374"/>
        <v>5</v>
      </c>
      <c r="AN1280" t="s">
        <v>185</v>
      </c>
      <c r="AO1280">
        <v>6.0970000000000004</v>
      </c>
    </row>
    <row r="1281" spans="1:41" ht="15">
      <c r="A1281">
        <v>30</v>
      </c>
      <c r="B1281" s="13" t="s">
        <v>1252</v>
      </c>
      <c r="C1281" t="s">
        <v>1353</v>
      </c>
      <c r="D1281" s="3">
        <f t="shared" si="368"/>
        <v>35</v>
      </c>
      <c r="F1281">
        <v>2024</v>
      </c>
      <c r="G1281">
        <f t="shared" si="367"/>
        <v>1</v>
      </c>
      <c r="H1281">
        <f t="shared" si="369"/>
        <v>0.16660285475285713</v>
      </c>
      <c r="J1281">
        <v>100</v>
      </c>
      <c r="L1281">
        <v>55</v>
      </c>
      <c r="M1281">
        <f t="shared" si="370"/>
        <v>7.9305135821047659E-2</v>
      </c>
      <c r="N1281">
        <f t="shared" si="371"/>
        <v>2.8161167557657775E-2</v>
      </c>
      <c r="O1281">
        <f t="shared" si="372"/>
        <v>0.28161167557657774</v>
      </c>
      <c r="P1281" t="s">
        <v>1341</v>
      </c>
      <c r="S1281">
        <f t="shared" si="373"/>
        <v>1.4609411764705882</v>
      </c>
      <c r="Y1281">
        <v>2020</v>
      </c>
      <c r="Z1281">
        <f t="shared" si="374"/>
        <v>5</v>
      </c>
      <c r="AN1281" t="s">
        <v>185</v>
      </c>
      <c r="AO1281">
        <v>6.0970000000000004</v>
      </c>
    </row>
    <row r="1282" spans="1:41" ht="15">
      <c r="A1282">
        <v>30</v>
      </c>
      <c r="B1282" s="13" t="s">
        <v>1252</v>
      </c>
      <c r="C1282" t="s">
        <v>1353</v>
      </c>
      <c r="D1282" s="3">
        <f t="shared" si="368"/>
        <v>35</v>
      </c>
      <c r="F1282">
        <v>2024</v>
      </c>
      <c r="G1282">
        <f t="shared" si="367"/>
        <v>1</v>
      </c>
      <c r="H1282">
        <f t="shared" si="369"/>
        <v>0.16660285475285713</v>
      </c>
      <c r="J1282">
        <v>100</v>
      </c>
      <c r="L1282">
        <v>55</v>
      </c>
      <c r="M1282">
        <f t="shared" si="370"/>
        <v>7.9305135821047659E-2</v>
      </c>
      <c r="N1282">
        <f t="shared" si="371"/>
        <v>2.8161167557657775E-2</v>
      </c>
      <c r="O1282">
        <f t="shared" si="372"/>
        <v>0.28161167557657774</v>
      </c>
      <c r="P1282" t="s">
        <v>1342</v>
      </c>
      <c r="S1282">
        <f t="shared" si="373"/>
        <v>1.4609411764705882</v>
      </c>
      <c r="Y1282">
        <v>2020</v>
      </c>
      <c r="Z1282">
        <f t="shared" si="374"/>
        <v>5</v>
      </c>
      <c r="AN1282" t="s">
        <v>185</v>
      </c>
      <c r="AO1282">
        <v>6.0970000000000004</v>
      </c>
    </row>
    <row r="1283" spans="1:41" ht="15">
      <c r="A1283">
        <v>30</v>
      </c>
      <c r="B1283" s="13" t="s">
        <v>1252</v>
      </c>
      <c r="C1283" t="s">
        <v>1353</v>
      </c>
      <c r="D1283" s="3">
        <f t="shared" si="368"/>
        <v>35</v>
      </c>
      <c r="F1283">
        <v>2024</v>
      </c>
      <c r="G1283">
        <f t="shared" si="367"/>
        <v>1</v>
      </c>
      <c r="H1283">
        <f t="shared" si="369"/>
        <v>0.16660285475285713</v>
      </c>
      <c r="J1283">
        <v>100</v>
      </c>
      <c r="L1283">
        <v>55</v>
      </c>
      <c r="M1283">
        <f t="shared" si="370"/>
        <v>7.9305135821047659E-2</v>
      </c>
      <c r="N1283">
        <f t="shared" si="371"/>
        <v>2.8161167557657775E-2</v>
      </c>
      <c r="O1283">
        <f t="shared" si="372"/>
        <v>0.28161167557657774</v>
      </c>
      <c r="P1283" t="s">
        <v>1343</v>
      </c>
      <c r="S1283">
        <f t="shared" si="373"/>
        <v>1.4609411764705882</v>
      </c>
      <c r="Y1283">
        <v>2020</v>
      </c>
      <c r="Z1283">
        <f t="shared" si="374"/>
        <v>5</v>
      </c>
      <c r="AN1283" t="s">
        <v>185</v>
      </c>
      <c r="AO1283">
        <v>6.0970000000000004</v>
      </c>
    </row>
    <row r="1284" spans="1:41" ht="15">
      <c r="A1284">
        <v>30</v>
      </c>
      <c r="B1284" s="13" t="s">
        <v>1252</v>
      </c>
      <c r="C1284" t="s">
        <v>1353</v>
      </c>
      <c r="D1284" s="3">
        <f t="shared" si="368"/>
        <v>35</v>
      </c>
      <c r="F1284">
        <v>2024</v>
      </c>
      <c r="G1284">
        <f t="shared" si="367"/>
        <v>1</v>
      </c>
      <c r="H1284">
        <f t="shared" si="369"/>
        <v>0.16660285475285713</v>
      </c>
      <c r="J1284">
        <v>100</v>
      </c>
      <c r="L1284">
        <v>55</v>
      </c>
      <c r="M1284">
        <f t="shared" si="370"/>
        <v>7.9305135821047659E-2</v>
      </c>
      <c r="N1284">
        <f t="shared" si="371"/>
        <v>2.8161167557657775E-2</v>
      </c>
      <c r="O1284">
        <f t="shared" si="372"/>
        <v>0.28161167557657774</v>
      </c>
      <c r="P1284" t="s">
        <v>1344</v>
      </c>
      <c r="S1284">
        <f t="shared" si="373"/>
        <v>1.4609411764705882</v>
      </c>
      <c r="Y1284">
        <v>2020</v>
      </c>
      <c r="Z1284">
        <f t="shared" si="374"/>
        <v>5</v>
      </c>
      <c r="AN1284" t="s">
        <v>185</v>
      </c>
      <c r="AO1284">
        <v>6.0970000000000004</v>
      </c>
    </row>
    <row r="1285" spans="1:41" ht="15">
      <c r="A1285">
        <v>30</v>
      </c>
      <c r="B1285" s="13" t="s">
        <v>1252</v>
      </c>
      <c r="C1285" t="s">
        <v>1353</v>
      </c>
      <c r="D1285" s="3">
        <f t="shared" si="368"/>
        <v>35</v>
      </c>
      <c r="F1285">
        <v>2024</v>
      </c>
      <c r="G1285">
        <f t="shared" si="367"/>
        <v>1</v>
      </c>
      <c r="H1285">
        <f t="shared" si="369"/>
        <v>0.16660285475285713</v>
      </c>
      <c r="J1285">
        <v>100</v>
      </c>
      <c r="L1285">
        <v>55</v>
      </c>
      <c r="M1285">
        <f t="shared" si="370"/>
        <v>7.9305135821047659E-2</v>
      </c>
      <c r="N1285">
        <f t="shared" si="371"/>
        <v>2.8161167557657775E-2</v>
      </c>
      <c r="O1285">
        <f t="shared" si="372"/>
        <v>0.28161167557657774</v>
      </c>
      <c r="P1285" t="s">
        <v>1345</v>
      </c>
      <c r="S1285">
        <f t="shared" si="373"/>
        <v>1.4609411764705882</v>
      </c>
      <c r="Y1285">
        <v>2020</v>
      </c>
      <c r="Z1285">
        <f t="shared" si="374"/>
        <v>5</v>
      </c>
      <c r="AN1285" t="s">
        <v>185</v>
      </c>
      <c r="AO1285">
        <v>6.0970000000000004</v>
      </c>
    </row>
    <row r="1286" spans="1:41" ht="15">
      <c r="A1286">
        <v>30</v>
      </c>
      <c r="B1286" s="13" t="s">
        <v>1252</v>
      </c>
      <c r="C1286" t="s">
        <v>1353</v>
      </c>
      <c r="D1286" s="3">
        <f t="shared" si="368"/>
        <v>35</v>
      </c>
      <c r="F1286">
        <v>2024</v>
      </c>
      <c r="G1286">
        <f t="shared" si="367"/>
        <v>1</v>
      </c>
      <c r="H1286">
        <f t="shared" si="369"/>
        <v>0.16660285475285713</v>
      </c>
      <c r="J1286">
        <v>100</v>
      </c>
      <c r="L1286">
        <v>55</v>
      </c>
      <c r="M1286">
        <f t="shared" si="370"/>
        <v>7.9305135821047659E-2</v>
      </c>
      <c r="N1286">
        <f t="shared" si="371"/>
        <v>2.8161167557657775E-2</v>
      </c>
      <c r="O1286">
        <f t="shared" si="372"/>
        <v>0.28161167557657774</v>
      </c>
      <c r="P1286" t="s">
        <v>1346</v>
      </c>
      <c r="S1286">
        <f t="shared" si="373"/>
        <v>1.4609411764705882</v>
      </c>
      <c r="Y1286">
        <v>2020</v>
      </c>
      <c r="Z1286">
        <f t="shared" si="374"/>
        <v>5</v>
      </c>
      <c r="AN1286" t="s">
        <v>185</v>
      </c>
      <c r="AO1286">
        <v>6.0970000000000004</v>
      </c>
    </row>
    <row r="1287" spans="1:41" ht="15">
      <c r="A1287">
        <v>30</v>
      </c>
      <c r="B1287" s="13" t="s">
        <v>1252</v>
      </c>
      <c r="C1287" t="s">
        <v>1353</v>
      </c>
      <c r="D1287" s="3">
        <f t="shared" si="368"/>
        <v>35</v>
      </c>
      <c r="F1287">
        <v>2024</v>
      </c>
      <c r="G1287">
        <f t="shared" si="367"/>
        <v>1</v>
      </c>
      <c r="H1287">
        <f t="shared" si="369"/>
        <v>0.16660285475285713</v>
      </c>
      <c r="J1287">
        <v>100</v>
      </c>
      <c r="L1287">
        <v>55</v>
      </c>
      <c r="M1287">
        <f t="shared" si="370"/>
        <v>7.9305135821047659E-2</v>
      </c>
      <c r="N1287">
        <f t="shared" si="371"/>
        <v>2.8161167557657775E-2</v>
      </c>
      <c r="O1287">
        <f t="shared" si="372"/>
        <v>0.28161167557657774</v>
      </c>
      <c r="P1287" t="s">
        <v>1347</v>
      </c>
      <c r="S1287">
        <f t="shared" si="373"/>
        <v>1.4609411764705882</v>
      </c>
      <c r="Y1287">
        <v>2020</v>
      </c>
      <c r="Z1287">
        <f t="shared" si="374"/>
        <v>5</v>
      </c>
      <c r="AN1287" t="s">
        <v>185</v>
      </c>
      <c r="AO1287">
        <v>6.0970000000000004</v>
      </c>
    </row>
    <row r="1288" spans="1:41" ht="15">
      <c r="A1288">
        <v>30</v>
      </c>
      <c r="B1288" s="13" t="s">
        <v>1252</v>
      </c>
      <c r="C1288" t="s">
        <v>1353</v>
      </c>
      <c r="D1288" s="3">
        <f t="shared" si="368"/>
        <v>35</v>
      </c>
      <c r="F1288">
        <v>2024</v>
      </c>
      <c r="G1288">
        <f t="shared" si="367"/>
        <v>1</v>
      </c>
      <c r="H1288">
        <f t="shared" si="369"/>
        <v>0.16660285475285713</v>
      </c>
      <c r="J1288">
        <v>100</v>
      </c>
      <c r="L1288">
        <v>55</v>
      </c>
      <c r="M1288">
        <f t="shared" si="370"/>
        <v>7.9305135821047659E-2</v>
      </c>
      <c r="N1288">
        <f t="shared" si="371"/>
        <v>2.8161167557657775E-2</v>
      </c>
      <c r="O1288">
        <f t="shared" si="372"/>
        <v>0.28161167557657774</v>
      </c>
      <c r="P1288" t="s">
        <v>1348</v>
      </c>
      <c r="S1288">
        <f t="shared" si="373"/>
        <v>1.4609411764705882</v>
      </c>
      <c r="Y1288">
        <v>2020</v>
      </c>
      <c r="Z1288">
        <f t="shared" si="374"/>
        <v>5</v>
      </c>
      <c r="AN1288" t="s">
        <v>185</v>
      </c>
      <c r="AO1288">
        <v>6.0970000000000004</v>
      </c>
    </row>
    <row r="1289" spans="1:41" ht="15">
      <c r="A1289">
        <v>30</v>
      </c>
      <c r="B1289" s="13" t="s">
        <v>1252</v>
      </c>
      <c r="C1289" t="s">
        <v>1353</v>
      </c>
      <c r="D1289" s="3">
        <f t="shared" si="368"/>
        <v>35</v>
      </c>
      <c r="F1289">
        <v>2024</v>
      </c>
      <c r="G1289">
        <f t="shared" si="367"/>
        <v>1</v>
      </c>
      <c r="H1289">
        <f t="shared" si="369"/>
        <v>0.16660285475285713</v>
      </c>
      <c r="J1289">
        <v>100</v>
      </c>
      <c r="L1289">
        <v>55</v>
      </c>
      <c r="M1289">
        <f t="shared" si="370"/>
        <v>7.9305135821047659E-2</v>
      </c>
      <c r="N1289">
        <f t="shared" si="371"/>
        <v>2.8161167557657775E-2</v>
      </c>
      <c r="O1289">
        <f t="shared" si="372"/>
        <v>0.28161167557657774</v>
      </c>
      <c r="P1289" t="s">
        <v>1349</v>
      </c>
      <c r="S1289">
        <f t="shared" si="373"/>
        <v>1.4609411764705882</v>
      </c>
      <c r="Y1289">
        <v>2020</v>
      </c>
      <c r="Z1289">
        <f t="shared" si="374"/>
        <v>5</v>
      </c>
      <c r="AN1289" t="s">
        <v>185</v>
      </c>
      <c r="AO1289">
        <v>6.0970000000000004</v>
      </c>
    </row>
    <row r="1290" spans="1:41" ht="15">
      <c r="A1290">
        <v>30</v>
      </c>
      <c r="B1290" s="13" t="s">
        <v>1252</v>
      </c>
      <c r="C1290" t="s">
        <v>1353</v>
      </c>
      <c r="D1290" s="3">
        <f t="shared" si="368"/>
        <v>35</v>
      </c>
      <c r="F1290">
        <v>2024</v>
      </c>
      <c r="G1290">
        <f t="shared" si="367"/>
        <v>1</v>
      </c>
      <c r="H1290">
        <f t="shared" si="369"/>
        <v>0.16660285475285713</v>
      </c>
      <c r="J1290">
        <v>100</v>
      </c>
      <c r="L1290">
        <v>55</v>
      </c>
      <c r="M1290">
        <f t="shared" si="370"/>
        <v>7.9305135821047659E-2</v>
      </c>
      <c r="N1290">
        <f t="shared" si="371"/>
        <v>2.8161167557657775E-2</v>
      </c>
      <c r="O1290">
        <f t="shared" si="372"/>
        <v>0.28161167557657774</v>
      </c>
      <c r="P1290" t="s">
        <v>1350</v>
      </c>
      <c r="S1290">
        <f t="shared" si="373"/>
        <v>1.4609411764705882</v>
      </c>
      <c r="Y1290">
        <v>2020</v>
      </c>
      <c r="Z1290">
        <f t="shared" si="374"/>
        <v>5</v>
      </c>
      <c r="AN1290" t="s">
        <v>185</v>
      </c>
      <c r="AO1290">
        <v>6.0970000000000004</v>
      </c>
    </row>
    <row r="1291" spans="1:41" ht="15">
      <c r="A1291">
        <v>30</v>
      </c>
      <c r="B1291" s="13" t="s">
        <v>1252</v>
      </c>
      <c r="C1291" t="s">
        <v>1353</v>
      </c>
      <c r="D1291" s="3">
        <f t="shared" si="368"/>
        <v>35</v>
      </c>
      <c r="F1291">
        <v>2024</v>
      </c>
      <c r="G1291">
        <f t="shared" si="367"/>
        <v>1</v>
      </c>
      <c r="H1291">
        <f t="shared" si="369"/>
        <v>0.16660285475285713</v>
      </c>
      <c r="J1291">
        <v>100</v>
      </c>
      <c r="L1291">
        <v>55</v>
      </c>
      <c r="M1291">
        <f t="shared" si="370"/>
        <v>7.9305135821047659E-2</v>
      </c>
      <c r="N1291">
        <f t="shared" si="371"/>
        <v>2.8161167557657775E-2</v>
      </c>
      <c r="O1291">
        <f t="shared" si="372"/>
        <v>0.28161167557657774</v>
      </c>
      <c r="P1291" t="s">
        <v>1351</v>
      </c>
      <c r="S1291">
        <f t="shared" si="373"/>
        <v>1.4609411764705882</v>
      </c>
      <c r="Y1291">
        <v>2020</v>
      </c>
      <c r="Z1291">
        <f t="shared" si="374"/>
        <v>5</v>
      </c>
      <c r="AN1291" t="s">
        <v>185</v>
      </c>
      <c r="AO1291">
        <v>6.0970000000000004</v>
      </c>
    </row>
    <row r="1292" spans="1:41" ht="15">
      <c r="A1292">
        <v>30</v>
      </c>
      <c r="B1292" s="13" t="s">
        <v>1252</v>
      </c>
      <c r="C1292" t="s">
        <v>1353</v>
      </c>
      <c r="D1292" s="3">
        <f t="shared" si="368"/>
        <v>35</v>
      </c>
      <c r="F1292">
        <v>2024</v>
      </c>
      <c r="G1292">
        <f t="shared" si="367"/>
        <v>1</v>
      </c>
      <c r="H1292">
        <f t="shared" si="369"/>
        <v>0.16660285475285713</v>
      </c>
      <c r="J1292">
        <v>100</v>
      </c>
      <c r="L1292">
        <v>55</v>
      </c>
      <c r="M1292">
        <f t="shared" si="370"/>
        <v>7.9305135821047659E-2</v>
      </c>
      <c r="N1292">
        <f t="shared" si="371"/>
        <v>2.8161167557657775E-2</v>
      </c>
      <c r="O1292">
        <f t="shared" si="372"/>
        <v>0.28161167557657774</v>
      </c>
      <c r="P1292" t="s">
        <v>1352</v>
      </c>
      <c r="S1292">
        <f t="shared" si="373"/>
        <v>1.4609411764705882</v>
      </c>
      <c r="Y1292">
        <v>2020</v>
      </c>
      <c r="Z1292">
        <f t="shared" si="374"/>
        <v>5</v>
      </c>
      <c r="AN1292" t="s">
        <v>185</v>
      </c>
      <c r="AO1292">
        <v>6.0970000000000004</v>
      </c>
    </row>
  </sheetData>
  <phoneticPr fontId="1" type="noConversion"/>
  <hyperlinks>
    <hyperlink ref="Q168" r:id="rId1" display="https://philpapers.org/asearch.pl?pub=621" xr:uid="{44F5CBA3-2A68-4BA2-9762-E5B5E461388F}"/>
    <hyperlink ref="Q157" r:id="rId2" tooltip="Go to Cognitive Psychology on ScienceDirect" display="https://www.sciencedirect.com/journal/cognitive-psychology" xr:uid="{C1917A6C-F4CF-4B2D-8AB8-766281FDAFAB}"/>
    <hyperlink ref="Q162" r:id="rId3" display="https://journals.sagepub.com/home/MRJ" xr:uid="{36BA6B7F-54D0-45C7-AB7D-7B0B6B87729F}"/>
  </hyperlinks>
  <pageMargins left="0.7" right="0.7" top="0.75" bottom="0.75" header="0.3" footer="0.3"/>
  <pageSetup paperSize="9" orientation="portrait" r:id="rId4"/>
  <legacyDrawing r:id="rId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Rolando Villaseñor Agundez</dc:creator>
  <cp:lastModifiedBy>Jose Rolando Villaseñor Agundez</cp:lastModifiedBy>
  <dcterms:created xsi:type="dcterms:W3CDTF">2024-07-16T18:16:58Z</dcterms:created>
  <dcterms:modified xsi:type="dcterms:W3CDTF">2025-02-23T19:47:55Z</dcterms:modified>
</cp:coreProperties>
</file>