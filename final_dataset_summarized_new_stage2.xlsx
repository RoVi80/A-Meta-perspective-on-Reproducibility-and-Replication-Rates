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zh-my.sharepoint.com/personal/joserolando_villasenoragundez_uzh_ch/Documents/Desktop/UZH/8_semester/Nax/Replication/Meta_of_meta_code/second_stage/"/>
    </mc:Choice>
  </mc:AlternateContent>
  <xr:revisionPtr revIDLastSave="63" documentId="13_ncr:1_{250058CD-6782-4C72-B67C-E7B050C3BFA0}" xr6:coauthVersionLast="47" xr6:coauthVersionMax="47" xr10:uidLastSave="{1E6EF2C9-2EA1-4FC0-9CE4-C7DF1BC61B89}"/>
  <bookViews>
    <workbookView xWindow="-108" yWindow="-108" windowWidth="23256" windowHeight="1245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32" i="1" l="1"/>
  <c r="AV32" i="1" s="1"/>
  <c r="L28" i="1" l="1"/>
  <c r="L29" i="1"/>
  <c r="L30" i="1"/>
  <c r="L31" i="1"/>
  <c r="L32" i="1"/>
  <c r="K28" i="1"/>
  <c r="K29" i="1"/>
  <c r="K30" i="1"/>
  <c r="K31" i="1"/>
  <c r="K32" i="1"/>
  <c r="H32" i="1"/>
  <c r="I32" i="1" s="1"/>
  <c r="AC32" i="1"/>
  <c r="C32" i="1"/>
  <c r="AK31" i="1"/>
  <c r="AL31" i="1" s="1"/>
  <c r="AK30" i="1"/>
  <c r="AL30" i="1"/>
  <c r="AK29" i="1"/>
  <c r="AL29" i="1"/>
  <c r="U29" i="1"/>
  <c r="U30" i="1"/>
  <c r="U31" i="1"/>
  <c r="T29" i="1"/>
  <c r="T30" i="1"/>
  <c r="T31" i="1"/>
  <c r="O30" i="1"/>
  <c r="O31" i="1"/>
  <c r="N30" i="1"/>
  <c r="N31" i="1"/>
  <c r="N29" i="1"/>
  <c r="O29" i="1" s="1"/>
  <c r="AV31" i="1"/>
  <c r="AU31" i="1"/>
  <c r="H31" i="1"/>
  <c r="I31" i="1" s="1"/>
  <c r="AC31" i="1"/>
  <c r="AF31" i="1" s="1"/>
  <c r="C31" i="1"/>
  <c r="AU29" i="1"/>
  <c r="AV29" i="1" s="1"/>
  <c r="AU30" i="1"/>
  <c r="AV30" i="1" s="1"/>
  <c r="C30" i="1" l="1"/>
  <c r="AC30" i="1" s="1"/>
  <c r="AF30" i="1" s="1"/>
  <c r="H30" i="1"/>
  <c r="I30" i="1" s="1"/>
  <c r="H29" i="1"/>
  <c r="I29" i="1" s="1"/>
  <c r="AC29" i="1"/>
  <c r="AF29" i="1" s="1"/>
  <c r="T11" i="1"/>
  <c r="U11" i="1" s="1"/>
  <c r="W11" i="1"/>
  <c r="X11" i="1"/>
  <c r="N11" i="1"/>
  <c r="O11" i="1" s="1"/>
  <c r="N28" i="1"/>
  <c r="O28" i="1" s="1"/>
  <c r="AU28" i="1"/>
  <c r="AV28" i="1" s="1"/>
  <c r="AU27" i="1"/>
  <c r="AV27" i="1" s="1"/>
  <c r="AU26" i="1"/>
  <c r="AV26" i="1" s="1"/>
  <c r="AU25" i="1"/>
  <c r="AV25" i="1" s="1"/>
  <c r="AU24" i="1"/>
  <c r="AV24" i="1" s="1"/>
  <c r="AU23" i="1"/>
  <c r="AV23" i="1" s="1"/>
  <c r="AU22" i="1"/>
  <c r="AV22" i="1" s="1"/>
  <c r="AU21" i="1"/>
  <c r="AV21" i="1" s="1"/>
  <c r="AU20" i="1"/>
  <c r="AV20" i="1" s="1"/>
  <c r="AU19" i="1"/>
  <c r="AV19" i="1" s="1"/>
  <c r="AU18" i="1"/>
  <c r="AV18" i="1" s="1"/>
  <c r="AU17" i="1"/>
  <c r="AV17" i="1" s="1"/>
  <c r="AU16" i="1"/>
  <c r="AV16" i="1" s="1"/>
  <c r="AU15" i="1"/>
  <c r="AV15" i="1" s="1"/>
  <c r="AU14" i="1"/>
  <c r="AV14" i="1" s="1"/>
  <c r="AU13" i="1"/>
  <c r="AV13" i="1" s="1"/>
  <c r="AU12" i="1"/>
  <c r="AV12" i="1" s="1"/>
  <c r="AU11" i="1"/>
  <c r="AV11" i="1" s="1"/>
  <c r="AU10" i="1"/>
  <c r="AV10" i="1" s="1"/>
  <c r="AU9" i="1"/>
  <c r="AV9" i="1" s="1"/>
  <c r="AU8" i="1"/>
  <c r="AV8" i="1" s="1"/>
  <c r="AU7" i="1"/>
  <c r="AV7" i="1" s="1"/>
  <c r="AU6" i="1"/>
  <c r="AV6" i="1" s="1"/>
  <c r="AU5" i="1"/>
  <c r="AV5" i="1" s="1"/>
  <c r="AU4" i="1"/>
  <c r="AV4" i="1" s="1"/>
  <c r="AU3" i="1"/>
  <c r="AV3" i="1" s="1"/>
  <c r="AU2" i="1"/>
  <c r="AV2" i="1" s="1"/>
  <c r="AQ28" i="1"/>
  <c r="AR28" i="1" s="1"/>
  <c r="AQ27" i="1"/>
  <c r="AR27" i="1" s="1"/>
  <c r="AQ26" i="1"/>
  <c r="AR26" i="1" s="1"/>
  <c r="AQ25" i="1"/>
  <c r="AR25" i="1" s="1"/>
  <c r="AQ24" i="1"/>
  <c r="AR24" i="1" s="1"/>
  <c r="AQ23" i="1"/>
  <c r="AR23" i="1" s="1"/>
  <c r="AQ22" i="1"/>
  <c r="AR22" i="1" s="1"/>
  <c r="AQ21" i="1"/>
  <c r="AR21" i="1" s="1"/>
  <c r="AQ20" i="1"/>
  <c r="AR20" i="1" s="1"/>
  <c r="AQ19" i="1"/>
  <c r="AR19" i="1" s="1"/>
  <c r="AQ18" i="1"/>
  <c r="AR18" i="1" s="1"/>
  <c r="AQ17" i="1"/>
  <c r="AR17" i="1" s="1"/>
  <c r="AQ16" i="1"/>
  <c r="AR16" i="1" s="1"/>
  <c r="AQ15" i="1"/>
  <c r="AR15" i="1" s="1"/>
  <c r="AQ14" i="1"/>
  <c r="AR14" i="1" s="1"/>
  <c r="AQ13" i="1"/>
  <c r="AR13" i="1" s="1"/>
  <c r="AQ12" i="1"/>
  <c r="AR12" i="1" s="1"/>
  <c r="AQ11" i="1"/>
  <c r="AR11" i="1" s="1"/>
  <c r="AQ10" i="1"/>
  <c r="AR10" i="1" s="1"/>
  <c r="AQ9" i="1"/>
  <c r="AR9" i="1" s="1"/>
  <c r="AQ8" i="1"/>
  <c r="AR8" i="1" s="1"/>
  <c r="AQ7" i="1"/>
  <c r="AR7" i="1" s="1"/>
  <c r="AQ6" i="1"/>
  <c r="AR6" i="1" s="1"/>
  <c r="AQ5" i="1"/>
  <c r="AR5" i="1" s="1"/>
  <c r="AQ4" i="1"/>
  <c r="AR4" i="1" s="1"/>
  <c r="AQ3" i="1"/>
  <c r="AR3" i="1" s="1"/>
  <c r="AQ2" i="1"/>
  <c r="AR2" i="1" s="1"/>
  <c r="AN28" i="1"/>
  <c r="AO28" i="1" s="1"/>
  <c r="AN27" i="1"/>
  <c r="AO27" i="1" s="1"/>
  <c r="AN26" i="1"/>
  <c r="AO26" i="1" s="1"/>
  <c r="AN25" i="1"/>
  <c r="AO25" i="1" s="1"/>
  <c r="AN24" i="1"/>
  <c r="AO24" i="1" s="1"/>
  <c r="AN23" i="1"/>
  <c r="AO23" i="1" s="1"/>
  <c r="AN22" i="1"/>
  <c r="AO22" i="1" s="1"/>
  <c r="AN21" i="1"/>
  <c r="AO21" i="1" s="1"/>
  <c r="AN20" i="1"/>
  <c r="AO20" i="1" s="1"/>
  <c r="AN19" i="1"/>
  <c r="AO19" i="1" s="1"/>
  <c r="AN18" i="1"/>
  <c r="AO18" i="1" s="1"/>
  <c r="AN17" i="1"/>
  <c r="AO17" i="1" s="1"/>
  <c r="AN16" i="1"/>
  <c r="AO16" i="1" s="1"/>
  <c r="AN15" i="1"/>
  <c r="AO15" i="1" s="1"/>
  <c r="AN14" i="1"/>
  <c r="AO14" i="1" s="1"/>
  <c r="AN13" i="1"/>
  <c r="AO13" i="1" s="1"/>
  <c r="AN12" i="1"/>
  <c r="AO12" i="1" s="1"/>
  <c r="AN11" i="1"/>
  <c r="AO11" i="1" s="1"/>
  <c r="AN10" i="1"/>
  <c r="AO10" i="1" s="1"/>
  <c r="AN9" i="1"/>
  <c r="AO9" i="1" s="1"/>
  <c r="AN8" i="1"/>
  <c r="AO8" i="1" s="1"/>
  <c r="AN7" i="1"/>
  <c r="AO7" i="1" s="1"/>
  <c r="AN6" i="1"/>
  <c r="AO6" i="1" s="1"/>
  <c r="AN5" i="1"/>
  <c r="AO5" i="1" s="1"/>
  <c r="AN4" i="1"/>
  <c r="AO4" i="1" s="1"/>
  <c r="AN3" i="1"/>
  <c r="AO3" i="1" s="1"/>
  <c r="AN2" i="1"/>
  <c r="AO2" i="1" s="1"/>
  <c r="AK28" i="1"/>
  <c r="AL28" i="1" s="1"/>
  <c r="AK27" i="1"/>
  <c r="AL27" i="1" s="1"/>
  <c r="AK26" i="1"/>
  <c r="AL26" i="1" s="1"/>
  <c r="AK25" i="1"/>
  <c r="AL25" i="1" s="1"/>
  <c r="AK24" i="1"/>
  <c r="AL24" i="1" s="1"/>
  <c r="AK23" i="1"/>
  <c r="AL23" i="1" s="1"/>
  <c r="AK22" i="1"/>
  <c r="AL22" i="1" s="1"/>
  <c r="AK21" i="1"/>
  <c r="AL21" i="1" s="1"/>
  <c r="AK20" i="1"/>
  <c r="AL20" i="1" s="1"/>
  <c r="AK19" i="1"/>
  <c r="AL19" i="1" s="1"/>
  <c r="AK18" i="1"/>
  <c r="AL18" i="1" s="1"/>
  <c r="AK17" i="1"/>
  <c r="AL17" i="1" s="1"/>
  <c r="AK16" i="1"/>
  <c r="AL16" i="1" s="1"/>
  <c r="AK15" i="1"/>
  <c r="AL15" i="1" s="1"/>
  <c r="AK14" i="1"/>
  <c r="AL14" i="1" s="1"/>
  <c r="AK13" i="1"/>
  <c r="AL13" i="1" s="1"/>
  <c r="AK12" i="1"/>
  <c r="AL12" i="1" s="1"/>
  <c r="AK11" i="1"/>
  <c r="AL11" i="1" s="1"/>
  <c r="AK10" i="1"/>
  <c r="AL10" i="1" s="1"/>
  <c r="AK9" i="1"/>
  <c r="AL9" i="1" s="1"/>
  <c r="AK8" i="1"/>
  <c r="AL8" i="1" s="1"/>
  <c r="AK7" i="1"/>
  <c r="AL7" i="1" s="1"/>
  <c r="AK6" i="1"/>
  <c r="AL6" i="1" s="1"/>
  <c r="AK5" i="1"/>
  <c r="AL5" i="1" s="1"/>
  <c r="AK4" i="1"/>
  <c r="AL4" i="1" s="1"/>
  <c r="AK3" i="1"/>
  <c r="AL3" i="1" s="1"/>
  <c r="AK2" i="1"/>
  <c r="AL2" i="1" s="1"/>
  <c r="AD12" i="1"/>
  <c r="AD28" i="1"/>
  <c r="AC28" i="1"/>
  <c r="AF28" i="1" s="1"/>
  <c r="AD27" i="1"/>
  <c r="AD26" i="1"/>
  <c r="AC26" i="1"/>
  <c r="AD25" i="1"/>
  <c r="AC25" i="1"/>
  <c r="AD24" i="1"/>
  <c r="AC24" i="1"/>
  <c r="AE24" i="1" s="1"/>
  <c r="AF24" i="1" s="1"/>
  <c r="AD23" i="1"/>
  <c r="AC23" i="1"/>
  <c r="AC22" i="1"/>
  <c r="AF22" i="1" s="1"/>
  <c r="AC21" i="1"/>
  <c r="AF21" i="1" s="1"/>
  <c r="AD20" i="1"/>
  <c r="AC20" i="1"/>
  <c r="AD19" i="1"/>
  <c r="AC18" i="1"/>
  <c r="AF18" i="1" s="1"/>
  <c r="AD17" i="1"/>
  <c r="AC17" i="1"/>
  <c r="AC16" i="1"/>
  <c r="AF16" i="1" s="1"/>
  <c r="AD15" i="1"/>
  <c r="AC15" i="1"/>
  <c r="AD14" i="1"/>
  <c r="AF14" i="1" s="1"/>
  <c r="AC13" i="1"/>
  <c r="AF13" i="1" s="1"/>
  <c r="AC12" i="1"/>
  <c r="AF12" i="1" s="1"/>
  <c r="AD11" i="1"/>
  <c r="AF11" i="1" s="1"/>
  <c r="AD10" i="1"/>
  <c r="AC10" i="1"/>
  <c r="AD9" i="1"/>
  <c r="AC9" i="1"/>
  <c r="AD8" i="1"/>
  <c r="AC8" i="1"/>
  <c r="AC7" i="1"/>
  <c r="AF7" i="1" s="1"/>
  <c r="AD6" i="1"/>
  <c r="AF6" i="1" s="1"/>
  <c r="AD5" i="1"/>
  <c r="AC5" i="1"/>
  <c r="AC4" i="1"/>
  <c r="AF4" i="1" s="1"/>
  <c r="AD3" i="1"/>
  <c r="AC3" i="1"/>
  <c r="AC2" i="1"/>
  <c r="AF2" i="1" s="1"/>
  <c r="Z28" i="1"/>
  <c r="AA28" i="1" s="1"/>
  <c r="Z27" i="1"/>
  <c r="AA27" i="1" s="1"/>
  <c r="Z24" i="1"/>
  <c r="AA24" i="1" s="1"/>
  <c r="Z23" i="1"/>
  <c r="AA23" i="1" s="1"/>
  <c r="Z22" i="1"/>
  <c r="AA22" i="1" s="1"/>
  <c r="Z20" i="1"/>
  <c r="AA20" i="1" s="1"/>
  <c r="Z18" i="1"/>
  <c r="AA18" i="1" s="1"/>
  <c r="Z17" i="1"/>
  <c r="AA17" i="1" s="1"/>
  <c r="Z16" i="1"/>
  <c r="AA16" i="1" s="1"/>
  <c r="Z15" i="1"/>
  <c r="AA15" i="1" s="1"/>
  <c r="Z13" i="1"/>
  <c r="AA13" i="1" s="1"/>
  <c r="Z12" i="1"/>
  <c r="AA12" i="1" s="1"/>
  <c r="Z10" i="1"/>
  <c r="AA10" i="1" s="1"/>
  <c r="Z9" i="1"/>
  <c r="AA9" i="1" s="1"/>
  <c r="Z6" i="1"/>
  <c r="AA6" i="1" s="1"/>
  <c r="Z5" i="1"/>
  <c r="AA5" i="1" s="1"/>
  <c r="Z4" i="1"/>
  <c r="AA4" i="1" s="1"/>
  <c r="Z3" i="1"/>
  <c r="AA3" i="1" s="1"/>
  <c r="W28" i="1"/>
  <c r="X28" i="1" s="1"/>
  <c r="W27" i="1"/>
  <c r="X27" i="1" s="1"/>
  <c r="W26" i="1"/>
  <c r="X26" i="1" s="1"/>
  <c r="W25" i="1"/>
  <c r="X25" i="1" s="1"/>
  <c r="W24" i="1"/>
  <c r="X24" i="1" s="1"/>
  <c r="W23" i="1"/>
  <c r="X23" i="1" s="1"/>
  <c r="W22" i="1"/>
  <c r="X22" i="1" s="1"/>
  <c r="W21" i="1"/>
  <c r="X21" i="1" s="1"/>
  <c r="W20" i="1"/>
  <c r="X20" i="1" s="1"/>
  <c r="W19" i="1"/>
  <c r="X19" i="1" s="1"/>
  <c r="W18" i="1"/>
  <c r="X18" i="1" s="1"/>
  <c r="W17" i="1"/>
  <c r="X17" i="1" s="1"/>
  <c r="W16" i="1"/>
  <c r="X16" i="1" s="1"/>
  <c r="W15" i="1"/>
  <c r="X15" i="1" s="1"/>
  <c r="W14" i="1"/>
  <c r="X14" i="1" s="1"/>
  <c r="W13" i="1"/>
  <c r="X13" i="1" s="1"/>
  <c r="W12" i="1"/>
  <c r="X12" i="1" s="1"/>
  <c r="W10" i="1"/>
  <c r="X10" i="1" s="1"/>
  <c r="W9" i="1"/>
  <c r="X9" i="1" s="1"/>
  <c r="W8" i="1"/>
  <c r="X8" i="1" s="1"/>
  <c r="W7" i="1"/>
  <c r="X7" i="1" s="1"/>
  <c r="W6" i="1"/>
  <c r="X6" i="1" s="1"/>
  <c r="W5" i="1"/>
  <c r="X5" i="1" s="1"/>
  <c r="W4" i="1"/>
  <c r="X4" i="1" s="1"/>
  <c r="W3" i="1"/>
  <c r="X3" i="1" s="1"/>
  <c r="W2" i="1"/>
  <c r="X2" i="1" s="1"/>
  <c r="T28" i="1"/>
  <c r="U28" i="1" s="1"/>
  <c r="T27" i="1"/>
  <c r="U27" i="1" s="1"/>
  <c r="T26" i="1"/>
  <c r="U26" i="1" s="1"/>
  <c r="T25" i="1"/>
  <c r="U25" i="1" s="1"/>
  <c r="T24" i="1"/>
  <c r="U24" i="1" s="1"/>
  <c r="T23" i="1"/>
  <c r="U23" i="1" s="1"/>
  <c r="T22" i="1"/>
  <c r="U22" i="1" s="1"/>
  <c r="T21" i="1"/>
  <c r="U21" i="1" s="1"/>
  <c r="T20" i="1"/>
  <c r="U20" i="1" s="1"/>
  <c r="T19" i="1"/>
  <c r="U19" i="1" s="1"/>
  <c r="T18" i="1"/>
  <c r="U18" i="1" s="1"/>
  <c r="T17" i="1"/>
  <c r="U17" i="1" s="1"/>
  <c r="T16" i="1"/>
  <c r="U16" i="1" s="1"/>
  <c r="T15" i="1"/>
  <c r="U15" i="1" s="1"/>
  <c r="T14" i="1"/>
  <c r="U14" i="1" s="1"/>
  <c r="T13" i="1"/>
  <c r="U13" i="1" s="1"/>
  <c r="T12" i="1"/>
  <c r="U12" i="1" s="1"/>
  <c r="T10" i="1"/>
  <c r="U10" i="1" s="1"/>
  <c r="T9" i="1"/>
  <c r="U9" i="1" s="1"/>
  <c r="T8" i="1"/>
  <c r="U8" i="1" s="1"/>
  <c r="T7" i="1"/>
  <c r="U7" i="1" s="1"/>
  <c r="T6" i="1"/>
  <c r="U6" i="1" s="1"/>
  <c r="T5" i="1"/>
  <c r="U5" i="1" s="1"/>
  <c r="T4" i="1"/>
  <c r="U4" i="1" s="1"/>
  <c r="T3" i="1"/>
  <c r="U3" i="1" s="1"/>
  <c r="T2" i="1"/>
  <c r="U2" i="1" s="1"/>
  <c r="R28" i="1"/>
  <c r="Q27" i="1"/>
  <c r="R27" i="1" s="1"/>
  <c r="Q26" i="1"/>
  <c r="R26" i="1" s="1"/>
  <c r="Q25" i="1"/>
  <c r="R25" i="1" s="1"/>
  <c r="Q24" i="1"/>
  <c r="R24" i="1" s="1"/>
  <c r="Q23" i="1"/>
  <c r="R23" i="1" s="1"/>
  <c r="Q22" i="1"/>
  <c r="R22" i="1" s="1"/>
  <c r="R21" i="1"/>
  <c r="Q20" i="1"/>
  <c r="R20" i="1" s="1"/>
  <c r="Q19" i="1"/>
  <c r="R19" i="1" s="1"/>
  <c r="Q18" i="1"/>
  <c r="R18" i="1" s="1"/>
  <c r="Q17" i="1"/>
  <c r="R17" i="1" s="1"/>
  <c r="Q16" i="1"/>
  <c r="R16" i="1" s="1"/>
  <c r="Q15" i="1"/>
  <c r="R15" i="1" s="1"/>
  <c r="Q14" i="1"/>
  <c r="R14" i="1" s="1"/>
  <c r="Q13" i="1"/>
  <c r="R13" i="1" s="1"/>
  <c r="Q12" i="1"/>
  <c r="R12" i="1" s="1"/>
  <c r="R11" i="1"/>
  <c r="Q10" i="1"/>
  <c r="R10" i="1" s="1"/>
  <c r="Q9" i="1"/>
  <c r="R9" i="1" s="1"/>
  <c r="Q8" i="1"/>
  <c r="R8" i="1" s="1"/>
  <c r="Q7" i="1"/>
  <c r="R7" i="1" s="1"/>
  <c r="Q6" i="1"/>
  <c r="R6" i="1" s="1"/>
  <c r="Q5" i="1"/>
  <c r="R5" i="1" s="1"/>
  <c r="Q4" i="1"/>
  <c r="R4" i="1" s="1"/>
  <c r="Q3" i="1"/>
  <c r="R3" i="1" s="1"/>
  <c r="Q2" i="1"/>
  <c r="R2" i="1" s="1"/>
  <c r="N27" i="1"/>
  <c r="O27" i="1" s="1"/>
  <c r="N26" i="1"/>
  <c r="O26" i="1" s="1"/>
  <c r="N25" i="1"/>
  <c r="O25" i="1" s="1"/>
  <c r="N24" i="1"/>
  <c r="O24" i="1" s="1"/>
  <c r="N23" i="1"/>
  <c r="O23" i="1" s="1"/>
  <c r="N22" i="1"/>
  <c r="O22" i="1" s="1"/>
  <c r="N21" i="1"/>
  <c r="O21" i="1" s="1"/>
  <c r="N20" i="1"/>
  <c r="O20" i="1" s="1"/>
  <c r="N19" i="1"/>
  <c r="O19" i="1" s="1"/>
  <c r="N18" i="1"/>
  <c r="O18" i="1" s="1"/>
  <c r="N17" i="1"/>
  <c r="O17" i="1" s="1"/>
  <c r="N16" i="1"/>
  <c r="O16" i="1" s="1"/>
  <c r="N15" i="1"/>
  <c r="O15" i="1" s="1"/>
  <c r="N14" i="1"/>
  <c r="O14" i="1" s="1"/>
  <c r="N13" i="1"/>
  <c r="O13" i="1" s="1"/>
  <c r="N12" i="1"/>
  <c r="O12" i="1" s="1"/>
  <c r="N10" i="1"/>
  <c r="O10" i="1" s="1"/>
  <c r="N9" i="1"/>
  <c r="O9" i="1" s="1"/>
  <c r="N8" i="1"/>
  <c r="O8" i="1" s="1"/>
  <c r="N7" i="1"/>
  <c r="O7" i="1" s="1"/>
  <c r="N6" i="1"/>
  <c r="O6" i="1" s="1"/>
  <c r="N5" i="1"/>
  <c r="O5" i="1" s="1"/>
  <c r="N4" i="1"/>
  <c r="O4" i="1" s="1"/>
  <c r="N3" i="1"/>
  <c r="O3" i="1" s="1"/>
  <c r="N2" i="1"/>
  <c r="O2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  <c r="K2" i="1"/>
  <c r="L2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H2" i="1"/>
  <c r="I2" i="1" s="1"/>
  <c r="AE9" i="1" l="1"/>
  <c r="AF9" i="1" s="1"/>
  <c r="AE3" i="1"/>
  <c r="AF3" i="1" s="1"/>
  <c r="AE17" i="1"/>
  <c r="AF17" i="1" s="1"/>
  <c r="AE15" i="1"/>
  <c r="AF15" i="1" s="1"/>
  <c r="AE10" i="1"/>
  <c r="AF10" i="1" s="1"/>
  <c r="AE26" i="1"/>
  <c r="AF26" i="1" s="1"/>
  <c r="AE5" i="1"/>
  <c r="AF5" i="1" s="1"/>
  <c r="AE25" i="1"/>
  <c r="AF25" i="1" s="1"/>
  <c r="AE23" i="1"/>
  <c r="AF23" i="1" s="1"/>
  <c r="AE8" i="1"/>
  <c r="AF8" i="1" s="1"/>
  <c r="AE20" i="1"/>
  <c r="AF20" i="1" s="1"/>
  <c r="AE27" i="1"/>
  <c r="AF27" i="1" s="1"/>
  <c r="AF19" i="1"/>
</calcChain>
</file>

<file path=xl/sharedStrings.xml><?xml version="1.0" encoding="utf-8"?>
<sst xmlns="http://schemas.openxmlformats.org/spreadsheetml/2006/main" count="133" uniqueCount="85">
  <si>
    <t>Id</t>
  </si>
  <si>
    <t>rep_author</t>
  </si>
  <si>
    <t>rep_rate_p_value</t>
  </si>
  <si>
    <t>rep_rate_interval</t>
  </si>
  <si>
    <t>TE</t>
  </si>
  <si>
    <t>vi</t>
  </si>
  <si>
    <t>no_of_studies_rep_project</t>
  </si>
  <si>
    <t>no_of_journals_used_rep_project</t>
  </si>
  <si>
    <t>average_SJR_of_original_papers</t>
  </si>
  <si>
    <t>ave_age_original_papers</t>
  </si>
  <si>
    <t>ave_authors_original_papers</t>
  </si>
  <si>
    <t>ave_authors_rep_papers</t>
  </si>
  <si>
    <t>se</t>
  </si>
  <si>
    <t>sd</t>
  </si>
  <si>
    <t>country_of_publication_rep_project</t>
  </si>
  <si>
    <t>publication_region_rep_project</t>
  </si>
  <si>
    <t>publication_year_rep_project</t>
  </si>
  <si>
    <t>no_of_authors_rep_project</t>
  </si>
  <si>
    <t>field_of_study_rep_project</t>
  </si>
  <si>
    <t>age_rep_paper</t>
  </si>
  <si>
    <t>SJR_of_rep_project</t>
  </si>
  <si>
    <t>Nosek et al. (RPP) (2015)</t>
  </si>
  <si>
    <t>US</t>
  </si>
  <si>
    <t>Psychology</t>
  </si>
  <si>
    <t>Camerer et al. (2016)</t>
  </si>
  <si>
    <t>Economics and Management</t>
  </si>
  <si>
    <t>Camerer et al. (2018)</t>
  </si>
  <si>
    <t>Non-US</t>
  </si>
  <si>
    <t>Philosophy, Political Science, and Social Sciences</t>
  </si>
  <si>
    <t>Davis et al. (2022)</t>
  </si>
  <si>
    <t>Kvarven et al. (2020)</t>
  </si>
  <si>
    <t>Cova et al. (2018)</t>
  </si>
  <si>
    <t>Errington et al. (2021)</t>
  </si>
  <si>
    <t>Medicine, Ecology, and Psychiatry</t>
  </si>
  <si>
    <t>Kelly (2019)</t>
  </si>
  <si>
    <t>Tajika et al. (2015)</t>
  </si>
  <si>
    <t>Sobkow et al. (2022)</t>
  </si>
  <si>
    <t>Soto (2019)</t>
  </si>
  <si>
    <t>Niven et al (2018)</t>
  </si>
  <si>
    <t>Naudet et al. (2018)</t>
  </si>
  <si>
    <t>Hardwicke et al. (2021)</t>
  </si>
  <si>
    <t>Patil et al. (2016)</t>
  </si>
  <si>
    <t>Protzko et al. (2023)</t>
  </si>
  <si>
    <t>Ebersole et al. (2020)</t>
  </si>
  <si>
    <t>Maassen et al. (2020)</t>
  </si>
  <si>
    <t>Ebersole et al. (2016)</t>
  </si>
  <si>
    <t>Nosek et al. (2022)</t>
  </si>
  <si>
    <t>Schweinsberg et al. (2016)</t>
  </si>
  <si>
    <t>no_of_studies_rep_project_bi</t>
  </si>
  <si>
    <t>no_of_studies_rep_project_cat</t>
  </si>
  <si>
    <t>no_of_journals_used_rep_project_bi</t>
  </si>
  <si>
    <t>no_of_journals_used_rep_project_cat</t>
  </si>
  <si>
    <t>average_SJR_of_original_papers_bi</t>
  </si>
  <si>
    <t>average_SJR_of_original_papers_cat</t>
  </si>
  <si>
    <t>average_references_original_papers_bi</t>
  </si>
  <si>
    <t>average_references_original_papers_cat</t>
  </si>
  <si>
    <t>ave_age_original_papers_bi</t>
  </si>
  <si>
    <t>ave_age_original_papers_cat</t>
  </si>
  <si>
    <t>ave_authors_original_papers_bi</t>
  </si>
  <si>
    <t>ave_authors_original_papers_cat</t>
  </si>
  <si>
    <t>ave_authors_rep_papers_bi</t>
  </si>
  <si>
    <t>ave_authors_rep_papers_cat</t>
  </si>
  <si>
    <t>se_p</t>
  </si>
  <si>
    <t>se_ci</t>
  </si>
  <si>
    <t>se_ave</t>
  </si>
  <si>
    <t>se_final</t>
  </si>
  <si>
    <t>publication_year_rep_project_bi</t>
  </si>
  <si>
    <t>publication_year_rep_project_cat</t>
  </si>
  <si>
    <t>no_of_authors_rep_project_bi</t>
  </si>
  <si>
    <t>no_of_authors_rep_project_cat</t>
  </si>
  <si>
    <t>field_of_study_rep_project_bi</t>
  </si>
  <si>
    <t>field_of_study_rep_project_cat</t>
  </si>
  <si>
    <t>SJR_of_rep_project_bi</t>
  </si>
  <si>
    <t>SJR_of_rep_project_cat</t>
  </si>
  <si>
    <t>average_references_original_papers</t>
  </si>
  <si>
    <t>Huber et al. (2024)</t>
  </si>
  <si>
    <t>Marcoci et al. (2024)</t>
  </si>
  <si>
    <t>Klein et al. (2014)</t>
  </si>
  <si>
    <t>Avelino et al. (2021)</t>
  </si>
  <si>
    <t>Dreber et al. (2015)</t>
  </si>
  <si>
    <t>Klein et al. (2018)</t>
  </si>
  <si>
    <t>Gonçalves et al. (2022)</t>
  </si>
  <si>
    <t>Boyce et al. (2023)</t>
  </si>
  <si>
    <t>Holzmeister et al. (2024)</t>
  </si>
  <si>
    <t>Investigating the replicability of the social and behavioural sciences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</si>
</sst>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family val="2"/>
      <scheme val="minor"/>
    </font>
    <font>
      <sz val="10"/>
      <color theme="1"/>
      <name val="Arial Unicode MS"/>
    </font>
    <font>
      <b/>
      <sz val="8"/>
      <color rgb="FF333333"/>
      <name val="Arial"/>
      <family val="2"/>
    </font>
    <font>
      <sz val="12"/>
      <color rgb="FF000000"/>
      <name val="Arial"/>
      <family val="2"/>
    </font>
    <font>
      <sz val="10"/>
      <color rgb="FF222222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2" borderId="0" xfId="0" applyNumberFormat="1" applyFill="1"/>
    <xf numFmtId="0" fontId="0" fillId="2" borderId="0" xfId="0" applyFill="1"/>
    <xf numFmtId="2" fontId="0" fillId="0" borderId="0" xfId="0" applyNumberFormat="1"/>
    <xf numFmtId="0" fontId="0" fillId="3" borderId="0" xfId="0" applyFill="1"/>
    <xf numFmtId="2" fontId="0" fillId="3" borderId="0" xfId="0" applyNumberFormat="1" applyFill="1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2"/>
  <sheetViews>
    <sheetView tabSelected="1" topLeftCell="AJ1" zoomScale="85" zoomScaleNormal="85" workbookViewId="0">
      <pane ySplit="1" topLeftCell="A4" activePane="bottomLeft" state="frozen"/>
      <selection pane="bottomLeft" activeCell="AT33" sqref="AT33"/>
    </sheetView>
  </sheetViews>
  <sheetFormatPr defaultColWidth="11.5546875" defaultRowHeight="14.4"/>
  <cols>
    <col min="1" max="1" width="11.5546875" customWidth="1"/>
    <col min="2" max="2" width="37" bestFit="1" customWidth="1"/>
    <col min="3" max="3" width="12" bestFit="1" customWidth="1"/>
    <col min="4" max="4" width="15.6640625" bestFit="1" customWidth="1"/>
    <col min="8" max="8" width="8.88671875"/>
    <col min="9" max="9" width="17.6640625" customWidth="1"/>
    <col min="10" max="10" width="11.44140625" customWidth="1"/>
    <col min="11" max="12" width="8.88671875"/>
    <col min="14" max="15" width="8.88671875"/>
    <col min="17" max="17" width="9" bestFit="1" customWidth="1"/>
    <col min="18" max="18" width="32.6640625" bestFit="1" customWidth="1"/>
    <col min="19" max="19" width="21.77734375" customWidth="1"/>
    <col min="20" max="21" width="8.88671875"/>
    <col min="22" max="22" width="26" bestFit="1" customWidth="1"/>
    <col min="23" max="23" width="8.88671875"/>
    <col min="24" max="24" width="15.21875" customWidth="1"/>
    <col min="25" max="25" width="22.33203125" bestFit="1" customWidth="1"/>
    <col min="26" max="27" width="8.88671875"/>
    <col min="29" max="29" width="22.5546875" customWidth="1"/>
    <col min="30" max="32" width="11.6640625" customWidth="1"/>
    <col min="37" max="37" width="8.88671875"/>
    <col min="38" max="38" width="29.88671875" bestFit="1" customWidth="1"/>
    <col min="40" max="41" width="8.88671875"/>
  </cols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48</v>
      </c>
      <c r="I1" t="s">
        <v>49</v>
      </c>
      <c r="J1" t="s">
        <v>7</v>
      </c>
      <c r="K1" t="s">
        <v>50</v>
      </c>
      <c r="L1" t="s">
        <v>51</v>
      </c>
      <c r="M1" t="s">
        <v>8</v>
      </c>
      <c r="N1" t="s">
        <v>52</v>
      </c>
      <c r="O1" t="s">
        <v>53</v>
      </c>
      <c r="P1" t="s">
        <v>74</v>
      </c>
      <c r="Q1" t="s">
        <v>54</v>
      </c>
      <c r="R1" t="s">
        <v>55</v>
      </c>
      <c r="S1" t="s">
        <v>9</v>
      </c>
      <c r="T1" t="s">
        <v>56</v>
      </c>
      <c r="U1" t="s">
        <v>57</v>
      </c>
      <c r="V1" t="s">
        <v>10</v>
      </c>
      <c r="W1" t="s">
        <v>58</v>
      </c>
      <c r="X1" t="s">
        <v>59</v>
      </c>
      <c r="Y1" t="s">
        <v>11</v>
      </c>
      <c r="Z1" t="s">
        <v>60</v>
      </c>
      <c r="AA1" t="s">
        <v>61</v>
      </c>
      <c r="AB1" t="s">
        <v>12</v>
      </c>
      <c r="AC1" t="s">
        <v>62</v>
      </c>
      <c r="AD1" s="4" t="s">
        <v>63</v>
      </c>
      <c r="AE1" t="s">
        <v>64</v>
      </c>
      <c r="AF1" t="s">
        <v>65</v>
      </c>
      <c r="AG1" t="s">
        <v>13</v>
      </c>
      <c r="AH1" t="s">
        <v>14</v>
      </c>
      <c r="AI1" t="s">
        <v>15</v>
      </c>
      <c r="AJ1" t="s">
        <v>16</v>
      </c>
      <c r="AK1" t="s">
        <v>66</v>
      </c>
      <c r="AL1" t="s">
        <v>67</v>
      </c>
      <c r="AM1" t="s">
        <v>17</v>
      </c>
      <c r="AN1" t="s">
        <v>68</v>
      </c>
      <c r="AO1" t="s">
        <v>69</v>
      </c>
      <c r="AP1" t="s">
        <v>18</v>
      </c>
      <c r="AQ1" t="s">
        <v>70</v>
      </c>
      <c r="AR1" t="s">
        <v>71</v>
      </c>
      <c r="AS1" t="s">
        <v>19</v>
      </c>
      <c r="AT1" t="s">
        <v>20</v>
      </c>
      <c r="AU1" t="s">
        <v>72</v>
      </c>
      <c r="AV1" t="s">
        <v>73</v>
      </c>
    </row>
    <row r="2" spans="1:48">
      <c r="A2">
        <v>1</v>
      </c>
      <c r="B2" t="s">
        <v>77</v>
      </c>
      <c r="C2">
        <v>0.76923076923076905</v>
      </c>
      <c r="E2">
        <v>0.69307692307692303</v>
      </c>
      <c r="F2">
        <v>0.50046745562130202</v>
      </c>
      <c r="G2">
        <v>13</v>
      </c>
      <c r="H2" s="1">
        <f t="shared" ref="H2:H32" si="0">IF(G2&gt;=54,1,0)</f>
        <v>0</v>
      </c>
      <c r="I2" s="2" t="str">
        <f t="shared" ref="I2:I32" si="1">IF(H2=0,"Less than average (54)","54 or More Studies")</f>
        <v>Less than average (54)</v>
      </c>
      <c r="J2">
        <v>12</v>
      </c>
      <c r="K2" s="1">
        <f t="shared" ref="K2:K32" si="2">IF(J2&gt;=8,1,0)</f>
        <v>1</v>
      </c>
      <c r="L2" s="2" t="str">
        <f t="shared" ref="L2:L32" si="3">IF(K2=0,"Less than average (8)","8 or More Journals")</f>
        <v>8 or More Journals</v>
      </c>
      <c r="M2">
        <v>3.10528571428571</v>
      </c>
      <c r="N2" s="1">
        <f t="shared" ref="N2:N11" si="4">IF(M2&gt;=5,1,0)</f>
        <v>0</v>
      </c>
      <c r="O2" s="2" t="str">
        <f t="shared" ref="O2:O11" si="5">IF(N2=1,"Impact higher than average (5)", "Impact lower than average (5)")</f>
        <v>Impact lower than average (5)</v>
      </c>
      <c r="P2">
        <v>29.2</v>
      </c>
      <c r="Q2" s="1">
        <f t="shared" ref="Q2:Q10" si="6">IF(P2&gt;=48,1,0)</f>
        <v>0</v>
      </c>
      <c r="R2" s="2" t="str">
        <f t="shared" ref="R2:R28" si="7">IF(Q2=0,"Less than average (48)","48 or More References")</f>
        <v>Less than average (48)</v>
      </c>
      <c r="S2">
        <v>36</v>
      </c>
      <c r="T2" s="1">
        <f t="shared" ref="T2:T11" si="8">IF(S2&gt;=16,0,1)</f>
        <v>0</v>
      </c>
      <c r="U2" s="2" t="str">
        <f t="shared" ref="U2:U11" si="9">IF(T2=0,"Old","New")</f>
        <v>Old</v>
      </c>
      <c r="V2">
        <v>2.5384615384615401</v>
      </c>
      <c r="W2" s="1">
        <f t="shared" ref="W2:W11" si="10">IF(V2&gt;=9,1,0)</f>
        <v>0</v>
      </c>
      <c r="X2" s="2" t="str">
        <f t="shared" ref="X2:X11" si="11">IF(W2=0,"Less than average(9)","9 or More Authors")</f>
        <v>Less than average(9)</v>
      </c>
      <c r="Z2" s="1"/>
      <c r="AA2" s="2"/>
      <c r="AB2">
        <v>0.196207789310858</v>
      </c>
      <c r="AC2">
        <f>SQRT(((C2*(1-C2))/G2))</f>
        <v>0.11685454235580772</v>
      </c>
      <c r="AD2" s="5"/>
      <c r="AF2" s="6">
        <f t="shared" ref="AF2:AF31" si="12">IF(NOT(ISBLANK(AE2)), AE2, IF(NOT(ISBLANK(AC2)), AC2, AD2))</f>
        <v>0.11685454235580772</v>
      </c>
      <c r="AG2">
        <v>0.70743724500573302</v>
      </c>
      <c r="AH2" t="s">
        <v>27</v>
      </c>
      <c r="AI2">
        <v>0</v>
      </c>
      <c r="AJ2">
        <v>2014</v>
      </c>
      <c r="AK2" s="1">
        <f t="shared" ref="AK2:AK31" si="13">IF(AJ2&lt;=2018,0,1)</f>
        <v>0</v>
      </c>
      <c r="AL2" s="2" t="str">
        <f t="shared" ref="AL2:AL31" si="14">IF(AK2=0,"Old","New")</f>
        <v>Old</v>
      </c>
      <c r="AM2">
        <v>52</v>
      </c>
      <c r="AN2" s="1">
        <f t="shared" ref="AN2:AN28" si="15">IF(AM2&gt;=10,1,0)</f>
        <v>1</v>
      </c>
      <c r="AO2" s="2" t="str">
        <f t="shared" ref="AO2:AO28" si="16">IF(AN2=1,"10 or more authors","Less than 10 authors")</f>
        <v>10 or more authors</v>
      </c>
      <c r="AP2" t="s">
        <v>23</v>
      </c>
      <c r="AQ2" s="1">
        <f t="shared" ref="AQ2:AQ28" si="17">IF(AP2= "Psychology",1,0)</f>
        <v>1</v>
      </c>
      <c r="AR2" s="2" t="str">
        <f t="shared" ref="AR2:AR28" si="18">IF(AQ2=1,"Psychology","Not Psychology")</f>
        <v>Psychology</v>
      </c>
      <c r="AS2">
        <v>10</v>
      </c>
      <c r="AT2">
        <v>1</v>
      </c>
      <c r="AU2" s="1">
        <f t="shared" ref="AU2:AU32" si="19">IF(AT2&lt;=3,0,1)</f>
        <v>0</v>
      </c>
      <c r="AV2" s="2" t="str">
        <f t="shared" ref="AV2:AV32" si="20">IF(AU2=1,"Impact higher than average (3)", "Impact lower than average (3)")</f>
        <v>Impact lower than average (3)</v>
      </c>
    </row>
    <row r="3" spans="1:48">
      <c r="A3">
        <v>2</v>
      </c>
      <c r="B3" t="s">
        <v>21</v>
      </c>
      <c r="C3" s="10">
        <v>0.36082474226804101</v>
      </c>
      <c r="D3">
        <v>0.47700000000000004</v>
      </c>
      <c r="E3">
        <v>0.19699645297938101</v>
      </c>
      <c r="F3">
        <v>6.5302343936490703E-2</v>
      </c>
      <c r="G3">
        <v>97</v>
      </c>
      <c r="H3" s="1">
        <f t="shared" si="0"/>
        <v>1</v>
      </c>
      <c r="I3" s="2" t="str">
        <f t="shared" si="1"/>
        <v>54 or More Studies</v>
      </c>
      <c r="J3">
        <v>3</v>
      </c>
      <c r="K3" s="1">
        <f t="shared" si="2"/>
        <v>0</v>
      </c>
      <c r="L3" s="2" t="str">
        <f t="shared" si="3"/>
        <v>Less than average (8)</v>
      </c>
      <c r="M3">
        <v>4.0181340206185601</v>
      </c>
      <c r="N3" s="1">
        <f t="shared" si="4"/>
        <v>0</v>
      </c>
      <c r="O3" s="2" t="str">
        <f t="shared" si="5"/>
        <v>Impact lower than average (5)</v>
      </c>
      <c r="P3">
        <v>84.0309278350515</v>
      </c>
      <c r="Q3" s="1">
        <f t="shared" si="6"/>
        <v>1</v>
      </c>
      <c r="R3" s="2" t="str">
        <f t="shared" si="7"/>
        <v>48 or More References</v>
      </c>
      <c r="S3">
        <v>16</v>
      </c>
      <c r="T3" s="1">
        <f t="shared" si="8"/>
        <v>0</v>
      </c>
      <c r="U3" s="2" t="str">
        <f t="shared" si="9"/>
        <v>Old</v>
      </c>
      <c r="V3">
        <v>2.8659793814432999</v>
      </c>
      <c r="W3" s="1">
        <f t="shared" si="10"/>
        <v>0</v>
      </c>
      <c r="X3" s="2" t="str">
        <f t="shared" si="11"/>
        <v>Less than average(9)</v>
      </c>
      <c r="Y3">
        <v>2.1855670103092799</v>
      </c>
      <c r="Z3" s="1">
        <f>IF(Y3&gt;=3,1,0)</f>
        <v>0</v>
      </c>
      <c r="AA3" s="2" t="str">
        <f>IF(Z3=0,"Less than average(3)","3 or More Authors")</f>
        <v>Less than average(3)</v>
      </c>
      <c r="AB3">
        <v>2.6094396443934E-2</v>
      </c>
      <c r="AC3">
        <f>SQRT(((C3*(1-C3))/G3))</f>
        <v>4.8760962038499903E-2</v>
      </c>
      <c r="AD3" s="5">
        <f>SQRT((D3*(1-D3)/G3))</f>
        <v>5.0713568000895409E-2</v>
      </c>
      <c r="AE3">
        <f>AVERAGE(AC3:AD3)</f>
        <v>4.9737265019697656E-2</v>
      </c>
      <c r="AF3" s="6">
        <f t="shared" si="12"/>
        <v>4.9737265019697656E-2</v>
      </c>
      <c r="AG3">
        <v>0.25700000000000001</v>
      </c>
      <c r="AH3" t="s">
        <v>22</v>
      </c>
      <c r="AI3">
        <v>1</v>
      </c>
      <c r="AJ3">
        <v>2015</v>
      </c>
      <c r="AK3" s="1">
        <f t="shared" si="13"/>
        <v>0</v>
      </c>
      <c r="AL3" s="2" t="str">
        <f t="shared" si="14"/>
        <v>Old</v>
      </c>
      <c r="AM3">
        <v>270</v>
      </c>
      <c r="AN3" s="1">
        <f t="shared" si="15"/>
        <v>1</v>
      </c>
      <c r="AO3" s="2" t="str">
        <f t="shared" si="16"/>
        <v>10 or more authors</v>
      </c>
      <c r="AP3" t="s">
        <v>23</v>
      </c>
      <c r="AQ3" s="1">
        <f t="shared" si="17"/>
        <v>1</v>
      </c>
      <c r="AR3" s="2" t="str">
        <f t="shared" si="18"/>
        <v>Psychology</v>
      </c>
      <c r="AS3">
        <v>9</v>
      </c>
      <c r="AT3">
        <v>12.872</v>
      </c>
      <c r="AU3" s="1">
        <f t="shared" si="19"/>
        <v>1</v>
      </c>
      <c r="AV3" s="2" t="str">
        <f t="shared" si="20"/>
        <v>Impact higher than average (3)</v>
      </c>
    </row>
    <row r="4" spans="1:48">
      <c r="A4">
        <v>3</v>
      </c>
      <c r="B4" t="s">
        <v>79</v>
      </c>
      <c r="C4">
        <v>0.36363636363636404</v>
      </c>
      <c r="E4">
        <v>0.229861816666667</v>
      </c>
      <c r="F4">
        <v>1.0884034404434299E-2</v>
      </c>
      <c r="G4">
        <v>44</v>
      </c>
      <c r="H4" s="1">
        <f t="shared" si="0"/>
        <v>0</v>
      </c>
      <c r="I4" s="2" t="str">
        <f t="shared" si="1"/>
        <v>Less than average (54)</v>
      </c>
      <c r="J4">
        <v>3</v>
      </c>
      <c r="K4" s="1">
        <f t="shared" si="2"/>
        <v>0</v>
      </c>
      <c r="L4" s="2" t="str">
        <f t="shared" si="3"/>
        <v>Less than average (8)</v>
      </c>
      <c r="M4">
        <v>4.0940000000000003</v>
      </c>
      <c r="N4" s="1">
        <f t="shared" si="4"/>
        <v>0</v>
      </c>
      <c r="O4" s="2" t="str">
        <f t="shared" si="5"/>
        <v>Impact lower than average (5)</v>
      </c>
      <c r="P4">
        <v>81.6666666666667</v>
      </c>
      <c r="Q4" s="1">
        <f t="shared" si="6"/>
        <v>1</v>
      </c>
      <c r="R4" s="2" t="str">
        <f t="shared" si="7"/>
        <v>48 or More References</v>
      </c>
      <c r="S4">
        <v>16</v>
      </c>
      <c r="T4" s="1">
        <f t="shared" si="8"/>
        <v>0</v>
      </c>
      <c r="U4" s="2" t="str">
        <f t="shared" si="9"/>
        <v>Old</v>
      </c>
      <c r="V4">
        <v>2.5</v>
      </c>
      <c r="W4" s="1">
        <f t="shared" si="10"/>
        <v>0</v>
      </c>
      <c r="X4" s="2" t="str">
        <f t="shared" si="11"/>
        <v>Less than average(9)</v>
      </c>
      <c r="Y4">
        <v>2.1666666666666701</v>
      </c>
      <c r="Z4" s="1">
        <f>IF(Y4&gt;=3,1,0)</f>
        <v>0</v>
      </c>
      <c r="AA4" s="2" t="str">
        <f>IF(Z4=0,"Less than average(3)","3 or More Authors")</f>
        <v>Less than average(3)</v>
      </c>
      <c r="AB4">
        <v>1.5727823062413802E-2</v>
      </c>
      <c r="AC4">
        <f>SQRT(((C4*(1-C4))/G4))</f>
        <v>7.2520366837951447E-2</v>
      </c>
      <c r="AD4" s="5"/>
      <c r="AF4" s="6">
        <f t="shared" si="12"/>
        <v>7.2520366837951447E-2</v>
      </c>
      <c r="AG4">
        <v>0.10432657573425</v>
      </c>
      <c r="AH4" t="s">
        <v>22</v>
      </c>
      <c r="AI4">
        <v>1</v>
      </c>
      <c r="AJ4">
        <v>2015</v>
      </c>
      <c r="AK4" s="1">
        <f t="shared" si="13"/>
        <v>0</v>
      </c>
      <c r="AL4" s="2" t="str">
        <f t="shared" si="14"/>
        <v>Old</v>
      </c>
      <c r="AM4">
        <v>8</v>
      </c>
      <c r="AN4" s="1">
        <f t="shared" si="15"/>
        <v>0</v>
      </c>
      <c r="AO4" s="2" t="str">
        <f t="shared" si="16"/>
        <v>Less than 10 authors</v>
      </c>
      <c r="AP4" t="s">
        <v>23</v>
      </c>
      <c r="AQ4" s="1">
        <f t="shared" si="17"/>
        <v>1</v>
      </c>
      <c r="AR4" s="2" t="str">
        <f t="shared" si="18"/>
        <v>Psychology</v>
      </c>
      <c r="AS4">
        <v>9</v>
      </c>
      <c r="AT4">
        <v>6.8140000000000001</v>
      </c>
      <c r="AU4" s="1">
        <f t="shared" si="19"/>
        <v>1</v>
      </c>
      <c r="AV4" s="2" t="str">
        <f t="shared" si="20"/>
        <v>Impact higher than average (3)</v>
      </c>
    </row>
    <row r="5" spans="1:48">
      <c r="A5">
        <v>4</v>
      </c>
      <c r="B5" t="s">
        <v>24</v>
      </c>
      <c r="C5" s="10">
        <v>0.61111111111111105</v>
      </c>
      <c r="D5">
        <v>0.66666666666666696</v>
      </c>
      <c r="E5">
        <v>0.27722222222222198</v>
      </c>
      <c r="F5">
        <v>5.2286728395061703E-2</v>
      </c>
      <c r="G5">
        <v>18</v>
      </c>
      <c r="H5" s="1">
        <f t="shared" si="0"/>
        <v>0</v>
      </c>
      <c r="I5" s="2" t="str">
        <f t="shared" si="1"/>
        <v>Less than average (54)</v>
      </c>
      <c r="J5">
        <v>2</v>
      </c>
      <c r="K5" s="1">
        <f t="shared" si="2"/>
        <v>0</v>
      </c>
      <c r="L5" s="2" t="str">
        <f t="shared" si="3"/>
        <v>Less than average (8)</v>
      </c>
      <c r="M5">
        <v>11.202222222222201</v>
      </c>
      <c r="N5" s="1">
        <f t="shared" si="4"/>
        <v>1</v>
      </c>
      <c r="O5" s="2" t="str">
        <f t="shared" si="5"/>
        <v>Impact higher than average (5)</v>
      </c>
      <c r="P5">
        <v>36.7777777777778</v>
      </c>
      <c r="Q5" s="1">
        <f t="shared" si="6"/>
        <v>0</v>
      </c>
      <c r="R5" s="2" t="str">
        <f t="shared" si="7"/>
        <v>Less than average (48)</v>
      </c>
      <c r="S5">
        <v>12.055555555555699</v>
      </c>
      <c r="T5" s="1">
        <f t="shared" si="8"/>
        <v>1</v>
      </c>
      <c r="U5" s="2" t="str">
        <f t="shared" si="9"/>
        <v>New</v>
      </c>
      <c r="V5">
        <v>2.7222222222222201</v>
      </c>
      <c r="W5" s="1">
        <f t="shared" si="10"/>
        <v>0</v>
      </c>
      <c r="X5" s="2" t="str">
        <f t="shared" si="11"/>
        <v>Less than average(9)</v>
      </c>
      <c r="Y5">
        <v>3.2777777777777799</v>
      </c>
      <c r="Z5" s="1">
        <f>IF(Y5&gt;=3,1,0)</f>
        <v>1</v>
      </c>
      <c r="AA5" s="2" t="str">
        <f>IF(Z5=0,"Less than average(3)","3 or More Authors")</f>
        <v>3 or More Authors</v>
      </c>
      <c r="AB5">
        <v>5.5154328932550699E-2</v>
      </c>
      <c r="AC5">
        <f>SQRT(((C5*(1-C5))/G5))</f>
        <v>0.11490438561102645</v>
      </c>
      <c r="AD5" s="5">
        <f>SQRT((D5*(1-D5)/G5))</f>
        <v>0.11111111111111109</v>
      </c>
      <c r="AE5">
        <f>AVERAGE(AC5:AD5)</f>
        <v>0.11300774836106878</v>
      </c>
      <c r="AF5" s="6">
        <f t="shared" si="12"/>
        <v>0.11300774836106878</v>
      </c>
      <c r="AG5">
        <v>0.23400000000000001</v>
      </c>
      <c r="AH5" t="s">
        <v>22</v>
      </c>
      <c r="AI5">
        <v>1</v>
      </c>
      <c r="AJ5">
        <v>2016</v>
      </c>
      <c r="AK5" s="1">
        <f t="shared" si="13"/>
        <v>0</v>
      </c>
      <c r="AL5" s="2" t="str">
        <f t="shared" si="14"/>
        <v>Old</v>
      </c>
      <c r="AM5">
        <v>18</v>
      </c>
      <c r="AN5" s="1">
        <f t="shared" si="15"/>
        <v>1</v>
      </c>
      <c r="AO5" s="2" t="str">
        <f t="shared" si="16"/>
        <v>10 or more authors</v>
      </c>
      <c r="AP5" t="s">
        <v>25</v>
      </c>
      <c r="AQ5" s="1">
        <f t="shared" si="17"/>
        <v>0</v>
      </c>
      <c r="AR5" s="2" t="str">
        <f t="shared" si="18"/>
        <v>Not Psychology</v>
      </c>
      <c r="AS5">
        <v>8</v>
      </c>
      <c r="AT5">
        <v>13.744999999999999</v>
      </c>
      <c r="AU5" s="1">
        <f t="shared" si="19"/>
        <v>1</v>
      </c>
      <c r="AV5" s="2" t="str">
        <f t="shared" si="20"/>
        <v>Impact higher than average (3)</v>
      </c>
    </row>
    <row r="6" spans="1:48">
      <c r="A6">
        <v>5</v>
      </c>
      <c r="B6" t="s">
        <v>41</v>
      </c>
      <c r="D6">
        <v>0.77173913043478293</v>
      </c>
      <c r="E6">
        <v>0.13737906250000001</v>
      </c>
      <c r="F6">
        <v>0.18191058592099599</v>
      </c>
      <c r="G6">
        <v>100</v>
      </c>
      <c r="H6" s="1">
        <f t="shared" si="0"/>
        <v>1</v>
      </c>
      <c r="I6" s="2" t="str">
        <f t="shared" si="1"/>
        <v>54 or More Studies</v>
      </c>
      <c r="J6">
        <v>3</v>
      </c>
      <c r="K6" s="1">
        <f t="shared" si="2"/>
        <v>0</v>
      </c>
      <c r="L6" s="2" t="str">
        <f t="shared" si="3"/>
        <v>Less than average (8)</v>
      </c>
      <c r="M6">
        <v>4.1156400000000097</v>
      </c>
      <c r="N6" s="1">
        <f t="shared" si="4"/>
        <v>0</v>
      </c>
      <c r="O6" s="2" t="str">
        <f t="shared" si="5"/>
        <v>Impact lower than average (5)</v>
      </c>
      <c r="P6">
        <v>84.72</v>
      </c>
      <c r="Q6" s="1">
        <f t="shared" si="6"/>
        <v>1</v>
      </c>
      <c r="R6" s="2" t="str">
        <f t="shared" si="7"/>
        <v>48 or More References</v>
      </c>
      <c r="S6">
        <v>16</v>
      </c>
      <c r="T6" s="1">
        <f t="shared" si="8"/>
        <v>0</v>
      </c>
      <c r="U6" s="2" t="str">
        <f t="shared" si="9"/>
        <v>Old</v>
      </c>
      <c r="V6">
        <v>2.84</v>
      </c>
      <c r="W6" s="1">
        <f t="shared" si="10"/>
        <v>0</v>
      </c>
      <c r="X6" s="2" t="str">
        <f t="shared" si="11"/>
        <v>Less than average(9)</v>
      </c>
      <c r="Y6">
        <v>2.17</v>
      </c>
      <c r="Z6" s="1">
        <f>IF(Y6&gt;=3,1,0)</f>
        <v>0</v>
      </c>
      <c r="AA6" s="2" t="str">
        <f>IF(Z6=0,"Less than average(3)","3 or More Authors")</f>
        <v>Less than average(3)</v>
      </c>
      <c r="AB6">
        <v>4.2650977236283402E-2</v>
      </c>
      <c r="AD6" s="5">
        <f>SQRT((D6*(1-D6)/G6))</f>
        <v>4.1971162122408291E-2</v>
      </c>
      <c r="AF6" s="6">
        <f t="shared" si="12"/>
        <v>4.1971162122408291E-2</v>
      </c>
      <c r="AG6">
        <v>0.42650977236283399</v>
      </c>
      <c r="AH6" t="s">
        <v>22</v>
      </c>
      <c r="AI6">
        <v>1</v>
      </c>
      <c r="AJ6">
        <v>2016</v>
      </c>
      <c r="AK6" s="1">
        <f t="shared" si="13"/>
        <v>0</v>
      </c>
      <c r="AL6" s="2" t="str">
        <f t="shared" si="14"/>
        <v>Old</v>
      </c>
      <c r="AM6">
        <v>3</v>
      </c>
      <c r="AN6" s="1">
        <f t="shared" si="15"/>
        <v>0</v>
      </c>
      <c r="AO6" s="2" t="str">
        <f t="shared" si="16"/>
        <v>Less than 10 authors</v>
      </c>
      <c r="AP6" t="s">
        <v>23</v>
      </c>
      <c r="AQ6" s="1">
        <f t="shared" si="17"/>
        <v>1</v>
      </c>
      <c r="AR6" s="2" t="str">
        <f t="shared" si="18"/>
        <v>Psychology</v>
      </c>
      <c r="AS6">
        <v>8</v>
      </c>
      <c r="AT6">
        <v>4.4050000000000002</v>
      </c>
      <c r="AU6" s="1">
        <f t="shared" si="19"/>
        <v>1</v>
      </c>
      <c r="AV6" s="2" t="str">
        <f t="shared" si="20"/>
        <v>Impact higher than average (3)</v>
      </c>
    </row>
    <row r="7" spans="1:48">
      <c r="A7">
        <v>6</v>
      </c>
      <c r="B7" t="s">
        <v>45</v>
      </c>
      <c r="C7">
        <v>0.3</v>
      </c>
      <c r="E7">
        <v>0.12901009999999999</v>
      </c>
      <c r="F7">
        <v>6.7366395098090004E-2</v>
      </c>
      <c r="G7">
        <v>10</v>
      </c>
      <c r="H7" s="1">
        <f t="shared" si="0"/>
        <v>0</v>
      </c>
      <c r="I7" s="2" t="str">
        <f t="shared" si="1"/>
        <v>Less than average (54)</v>
      </c>
      <c r="J7">
        <v>12</v>
      </c>
      <c r="K7" s="1">
        <f t="shared" si="2"/>
        <v>1</v>
      </c>
      <c r="L7" s="2" t="str">
        <f t="shared" si="3"/>
        <v>8 or More Journals</v>
      </c>
      <c r="M7">
        <v>3.0135000000000001</v>
      </c>
      <c r="N7" s="1">
        <f t="shared" si="4"/>
        <v>0</v>
      </c>
      <c r="O7" s="2" t="str">
        <f t="shared" si="5"/>
        <v>Impact lower than average (5)</v>
      </c>
      <c r="P7">
        <v>38.9</v>
      </c>
      <c r="Q7" s="1">
        <f t="shared" si="6"/>
        <v>0</v>
      </c>
      <c r="R7" s="2" t="str">
        <f t="shared" si="7"/>
        <v>Less than average (48)</v>
      </c>
      <c r="S7">
        <v>24.599999999999898</v>
      </c>
      <c r="T7" s="1">
        <f t="shared" si="8"/>
        <v>0</v>
      </c>
      <c r="U7" s="2" t="str">
        <f t="shared" si="9"/>
        <v>Old</v>
      </c>
      <c r="V7">
        <v>2.7</v>
      </c>
      <c r="W7" s="1">
        <f t="shared" si="10"/>
        <v>0</v>
      </c>
      <c r="X7" s="2" t="str">
        <f t="shared" si="11"/>
        <v>Less than average(9)</v>
      </c>
      <c r="Z7" s="1"/>
      <c r="AA7" s="2"/>
      <c r="AB7">
        <v>8.2077033997391705E-2</v>
      </c>
      <c r="AC7">
        <f>SQRT(((C7*(1-C7))/G7))</f>
        <v>0.14491376746189438</v>
      </c>
      <c r="AD7" s="5"/>
      <c r="AF7" s="6">
        <f t="shared" si="12"/>
        <v>0.14491376746189438</v>
      </c>
      <c r="AG7">
        <v>0.25955037102283302</v>
      </c>
      <c r="AH7" t="s">
        <v>22</v>
      </c>
      <c r="AI7">
        <v>1</v>
      </c>
      <c r="AJ7">
        <v>2016</v>
      </c>
      <c r="AK7" s="1">
        <f t="shared" si="13"/>
        <v>0</v>
      </c>
      <c r="AL7" s="2" t="str">
        <f t="shared" si="14"/>
        <v>Old</v>
      </c>
      <c r="AM7">
        <v>6</v>
      </c>
      <c r="AN7" s="1">
        <f t="shared" si="15"/>
        <v>0</v>
      </c>
      <c r="AO7" s="2" t="str">
        <f t="shared" si="16"/>
        <v>Less than 10 authors</v>
      </c>
      <c r="AP7" t="s">
        <v>23</v>
      </c>
      <c r="AQ7" s="1">
        <f t="shared" si="17"/>
        <v>1</v>
      </c>
      <c r="AR7" s="2" t="str">
        <f t="shared" si="18"/>
        <v>Psychology</v>
      </c>
      <c r="AS7">
        <v>8</v>
      </c>
      <c r="AT7">
        <v>2.089</v>
      </c>
      <c r="AU7" s="1">
        <f t="shared" si="19"/>
        <v>0</v>
      </c>
      <c r="AV7" s="2" t="str">
        <f t="shared" si="20"/>
        <v>Impact lower than average (3)</v>
      </c>
    </row>
    <row r="8" spans="1:48">
      <c r="A8">
        <v>7</v>
      </c>
      <c r="B8" t="s">
        <v>47</v>
      </c>
      <c r="C8">
        <v>0.6</v>
      </c>
      <c r="D8">
        <v>0.6</v>
      </c>
      <c r="E8">
        <v>0.224444444444444</v>
      </c>
      <c r="F8">
        <v>0.22406913580246901</v>
      </c>
      <c r="G8">
        <v>10</v>
      </c>
      <c r="H8" s="1">
        <f t="shared" si="0"/>
        <v>0</v>
      </c>
      <c r="I8" s="2" t="str">
        <f t="shared" si="1"/>
        <v>Less than average (54)</v>
      </c>
      <c r="K8" s="1">
        <f t="shared" si="2"/>
        <v>0</v>
      </c>
      <c r="L8" s="2" t="str">
        <f t="shared" si="3"/>
        <v>Less than average (8)</v>
      </c>
      <c r="M8">
        <v>2.089</v>
      </c>
      <c r="N8" s="1">
        <f t="shared" si="4"/>
        <v>0</v>
      </c>
      <c r="O8" s="2" t="str">
        <f t="shared" si="5"/>
        <v>Impact lower than average (5)</v>
      </c>
      <c r="Q8" s="1">
        <f t="shared" si="6"/>
        <v>0</v>
      </c>
      <c r="R8" s="2" t="str">
        <f t="shared" si="7"/>
        <v>Less than average (48)</v>
      </c>
      <c r="S8">
        <v>8</v>
      </c>
      <c r="T8" s="1">
        <f t="shared" si="8"/>
        <v>1</v>
      </c>
      <c r="U8" s="2" t="str">
        <f t="shared" si="9"/>
        <v>New</v>
      </c>
      <c r="V8">
        <v>2.9</v>
      </c>
      <c r="W8" s="1">
        <f t="shared" si="10"/>
        <v>0</v>
      </c>
      <c r="X8" s="2" t="str">
        <f t="shared" si="11"/>
        <v>Less than average(9)</v>
      </c>
      <c r="Z8" s="1"/>
      <c r="AA8" s="2"/>
      <c r="AB8">
        <v>0.14968939033961901</v>
      </c>
      <c r="AC8">
        <f>SQRT(((C8*(1-C8))/G8))</f>
        <v>0.15491933384829668</v>
      </c>
      <c r="AD8" s="5">
        <f>SQRT((D8*(1-D8)/G8))</f>
        <v>0.15491933384829668</v>
      </c>
      <c r="AE8">
        <f>AVERAGE(AC8:AD8)</f>
        <v>0.15491933384829668</v>
      </c>
      <c r="AF8" s="6">
        <f t="shared" si="12"/>
        <v>0.15491933384829668</v>
      </c>
      <c r="AG8">
        <v>0.47335941503520301</v>
      </c>
      <c r="AH8" t="s">
        <v>22</v>
      </c>
      <c r="AI8">
        <v>1</v>
      </c>
      <c r="AJ8">
        <v>2016</v>
      </c>
      <c r="AK8" s="1">
        <f t="shared" si="13"/>
        <v>0</v>
      </c>
      <c r="AL8" s="2" t="str">
        <f t="shared" si="14"/>
        <v>Old</v>
      </c>
      <c r="AM8">
        <v>82</v>
      </c>
      <c r="AN8" s="1">
        <f t="shared" si="15"/>
        <v>1</v>
      </c>
      <c r="AO8" s="2" t="str">
        <f t="shared" si="16"/>
        <v>10 or more authors</v>
      </c>
      <c r="AP8" t="s">
        <v>23</v>
      </c>
      <c r="AQ8" s="1">
        <f t="shared" si="17"/>
        <v>1</v>
      </c>
      <c r="AR8" s="2" t="str">
        <f t="shared" si="18"/>
        <v>Psychology</v>
      </c>
      <c r="AS8">
        <v>8</v>
      </c>
      <c r="AT8">
        <v>2.089</v>
      </c>
      <c r="AU8" s="1">
        <f t="shared" si="19"/>
        <v>0</v>
      </c>
      <c r="AV8" s="2" t="str">
        <f t="shared" si="20"/>
        <v>Impact lower than average (3)</v>
      </c>
    </row>
    <row r="9" spans="1:48">
      <c r="A9">
        <v>8</v>
      </c>
      <c r="B9" t="s">
        <v>26</v>
      </c>
      <c r="C9" s="10">
        <v>0.61904761904761896</v>
      </c>
      <c r="D9">
        <v>0.66666666666666696</v>
      </c>
      <c r="E9">
        <v>0.24908090357142901</v>
      </c>
      <c r="F9">
        <v>5.0114606556775701E-2</v>
      </c>
      <c r="G9">
        <v>21</v>
      </c>
      <c r="H9" s="1">
        <f t="shared" si="0"/>
        <v>0</v>
      </c>
      <c r="I9" s="2" t="str">
        <f t="shared" si="1"/>
        <v>Less than average (54)</v>
      </c>
      <c r="J9">
        <v>2</v>
      </c>
      <c r="K9" s="1">
        <f t="shared" si="2"/>
        <v>0</v>
      </c>
      <c r="L9" s="2" t="str">
        <f t="shared" si="3"/>
        <v>Less than average (8)</v>
      </c>
      <c r="M9">
        <v>14.3994761904762</v>
      </c>
      <c r="N9" s="1">
        <f t="shared" si="4"/>
        <v>1</v>
      </c>
      <c r="O9" s="2" t="str">
        <f t="shared" si="5"/>
        <v>Impact higher than average (5)</v>
      </c>
      <c r="P9">
        <v>27.285714285714299</v>
      </c>
      <c r="Q9" s="1">
        <f t="shared" si="6"/>
        <v>0</v>
      </c>
      <c r="R9" s="2" t="str">
        <f t="shared" si="7"/>
        <v>Less than average (48)</v>
      </c>
      <c r="S9">
        <v>12.190476190476099</v>
      </c>
      <c r="T9" s="1">
        <f t="shared" si="8"/>
        <v>1</v>
      </c>
      <c r="U9" s="2" t="str">
        <f t="shared" si="9"/>
        <v>New</v>
      </c>
      <c r="V9">
        <v>3.0952380952380998</v>
      </c>
      <c r="W9" s="1">
        <f t="shared" si="10"/>
        <v>0</v>
      </c>
      <c r="X9" s="2" t="str">
        <f t="shared" si="11"/>
        <v>Less than average(9)</v>
      </c>
      <c r="Y9">
        <v>4</v>
      </c>
      <c r="Z9" s="1">
        <f>IF(Y9&gt;=3,1,0)</f>
        <v>1</v>
      </c>
      <c r="AA9" s="2" t="str">
        <f>IF(Z9=0,"Less than average(3)","3 or More Authors")</f>
        <v>3 or More Authors</v>
      </c>
      <c r="AB9">
        <v>6.0161021154775098E-2</v>
      </c>
      <c r="AC9">
        <f>SQRT(((C9*(1-C9))/G9))</f>
        <v>0.10597116957413082</v>
      </c>
      <c r="AD9" s="5">
        <f>SQRT((D9*(1-D9)/G9))</f>
        <v>0.10286889997472792</v>
      </c>
      <c r="AE9">
        <f>AVERAGE(AC9:AD9)</f>
        <v>0.10442003477442938</v>
      </c>
      <c r="AF9" s="6">
        <f t="shared" si="12"/>
        <v>0.10442003477442938</v>
      </c>
      <c r="AG9">
        <v>0.27569243332759602</v>
      </c>
      <c r="AH9" t="s">
        <v>27</v>
      </c>
      <c r="AI9">
        <v>0</v>
      </c>
      <c r="AJ9">
        <v>2018</v>
      </c>
      <c r="AK9" s="1">
        <f t="shared" si="13"/>
        <v>0</v>
      </c>
      <c r="AL9" s="2" t="str">
        <f t="shared" si="14"/>
        <v>Old</v>
      </c>
      <c r="AM9">
        <v>24</v>
      </c>
      <c r="AN9" s="1">
        <f t="shared" si="15"/>
        <v>1</v>
      </c>
      <c r="AO9" s="2" t="str">
        <f t="shared" si="16"/>
        <v>10 or more authors</v>
      </c>
      <c r="AP9" t="s">
        <v>28</v>
      </c>
      <c r="AQ9" s="1">
        <f t="shared" si="17"/>
        <v>0</v>
      </c>
      <c r="AR9" s="2" t="str">
        <f t="shared" si="18"/>
        <v>Not Psychology</v>
      </c>
      <c r="AS9">
        <v>6</v>
      </c>
      <c r="AT9">
        <v>4.0519999999999996</v>
      </c>
      <c r="AU9" s="1">
        <f t="shared" si="19"/>
        <v>1</v>
      </c>
      <c r="AV9" s="2" t="str">
        <f t="shared" si="20"/>
        <v>Impact higher than average (3)</v>
      </c>
    </row>
    <row r="10" spans="1:48">
      <c r="A10">
        <v>9</v>
      </c>
      <c r="B10" t="s">
        <v>31</v>
      </c>
      <c r="C10">
        <v>0.78378378378378399</v>
      </c>
      <c r="D10" s="10">
        <v>0.70588235294117696</v>
      </c>
      <c r="E10">
        <v>0.38147058823529401</v>
      </c>
      <c r="F10">
        <v>2.6147837370242299E-2</v>
      </c>
      <c r="G10">
        <v>40</v>
      </c>
      <c r="H10" s="1">
        <f t="shared" si="0"/>
        <v>0</v>
      </c>
      <c r="I10" s="2" t="str">
        <f t="shared" si="1"/>
        <v>Less than average (54)</v>
      </c>
      <c r="J10">
        <v>35</v>
      </c>
      <c r="K10" s="1">
        <f t="shared" si="2"/>
        <v>1</v>
      </c>
      <c r="L10" s="2" t="str">
        <f t="shared" si="3"/>
        <v>8 or More Journals</v>
      </c>
      <c r="M10">
        <v>1.0161578947368399</v>
      </c>
      <c r="N10" s="1">
        <f t="shared" si="4"/>
        <v>0</v>
      </c>
      <c r="O10" s="2" t="str">
        <f t="shared" si="5"/>
        <v>Impact lower than average (5)</v>
      </c>
      <c r="P10">
        <v>30.897435897435901</v>
      </c>
      <c r="Q10" s="1">
        <f t="shared" si="6"/>
        <v>0</v>
      </c>
      <c r="R10" s="2" t="str">
        <f t="shared" si="7"/>
        <v>Less than average (48)</v>
      </c>
      <c r="S10">
        <v>15.05</v>
      </c>
      <c r="T10" s="1">
        <f t="shared" si="8"/>
        <v>1</v>
      </c>
      <c r="U10" s="2" t="str">
        <f t="shared" si="9"/>
        <v>New</v>
      </c>
      <c r="V10">
        <v>2.2999999999999998</v>
      </c>
      <c r="W10" s="1">
        <f t="shared" si="10"/>
        <v>0</v>
      </c>
      <c r="X10" s="2" t="str">
        <f t="shared" si="11"/>
        <v>Less than average(9)</v>
      </c>
      <c r="Y10">
        <v>1.075</v>
      </c>
      <c r="Z10" s="1">
        <f>IF(Y10&gt;=3,1,0)</f>
        <v>0</v>
      </c>
      <c r="AA10" s="2" t="str">
        <f>IF(Z10=0,"Less than average(3)","3 or More Authors")</f>
        <v>Less than average(3)</v>
      </c>
      <c r="AB10">
        <v>2.5567478058190599E-2</v>
      </c>
      <c r="AC10">
        <f>SQRT(((C10*(1-C10))/G10))</f>
        <v>6.5089700425904284E-2</v>
      </c>
      <c r="AD10" s="5">
        <f>SQRT((D10*(1-D10)/G10))</f>
        <v>7.2043815964211083E-2</v>
      </c>
      <c r="AE10">
        <f>AVERAGE(AC10:AD10)</f>
        <v>6.8566758195057684E-2</v>
      </c>
      <c r="AF10" s="6">
        <f t="shared" si="12"/>
        <v>6.8566758195057684E-2</v>
      </c>
      <c r="AG10">
        <v>0.161702929380523</v>
      </c>
      <c r="AH10" t="s">
        <v>27</v>
      </c>
      <c r="AI10">
        <v>0</v>
      </c>
      <c r="AJ10">
        <v>2018</v>
      </c>
      <c r="AK10" s="1">
        <f t="shared" si="13"/>
        <v>0</v>
      </c>
      <c r="AL10" s="2" t="str">
        <f t="shared" si="14"/>
        <v>Old</v>
      </c>
      <c r="AM10">
        <v>42</v>
      </c>
      <c r="AN10" s="1">
        <f t="shared" si="15"/>
        <v>1</v>
      </c>
      <c r="AO10" s="2" t="str">
        <f t="shared" si="16"/>
        <v>10 or more authors</v>
      </c>
      <c r="AP10" t="s">
        <v>28</v>
      </c>
      <c r="AQ10" s="1">
        <f t="shared" si="17"/>
        <v>0</v>
      </c>
      <c r="AR10" s="2" t="str">
        <f t="shared" si="18"/>
        <v>Not Psychology</v>
      </c>
      <c r="AS10">
        <v>6</v>
      </c>
      <c r="AT10">
        <v>0.79300000000000004</v>
      </c>
      <c r="AU10" s="1">
        <f t="shared" si="19"/>
        <v>0</v>
      </c>
      <c r="AV10" s="2" t="str">
        <f t="shared" si="20"/>
        <v>Impact lower than average (3)</v>
      </c>
    </row>
    <row r="11" spans="1:48">
      <c r="A11">
        <v>10</v>
      </c>
      <c r="B11" t="s">
        <v>35</v>
      </c>
      <c r="D11">
        <v>0.19277108433734899</v>
      </c>
      <c r="E11">
        <v>0.28000000000000003</v>
      </c>
      <c r="F11">
        <v>0.58113887326388902</v>
      </c>
      <c r="G11">
        <v>43</v>
      </c>
      <c r="H11" s="1">
        <f t="shared" si="0"/>
        <v>0</v>
      </c>
      <c r="I11" s="2" t="str">
        <f t="shared" si="1"/>
        <v>Less than average (54)</v>
      </c>
      <c r="J11">
        <v>8</v>
      </c>
      <c r="K11" s="1">
        <f t="shared" si="2"/>
        <v>1</v>
      </c>
      <c r="L11" s="2" t="str">
        <f t="shared" si="3"/>
        <v>8 or More Journals</v>
      </c>
      <c r="M11">
        <v>5.0999999999999996</v>
      </c>
      <c r="N11" s="3">
        <f t="shared" si="4"/>
        <v>1</v>
      </c>
      <c r="O11" s="2" t="str">
        <f t="shared" si="5"/>
        <v>Impact higher than average (5)</v>
      </c>
      <c r="Q11" s="1"/>
      <c r="R11" s="2" t="str">
        <f t="shared" si="7"/>
        <v>Less than average (48)</v>
      </c>
      <c r="S11">
        <v>11</v>
      </c>
      <c r="T11" s="1">
        <f t="shared" si="8"/>
        <v>1</v>
      </c>
      <c r="U11" s="2" t="str">
        <f t="shared" si="9"/>
        <v>New</v>
      </c>
      <c r="V11">
        <v>9.1</v>
      </c>
      <c r="W11" s="1">
        <f t="shared" si="10"/>
        <v>1</v>
      </c>
      <c r="X11" s="2" t="str">
        <f t="shared" si="11"/>
        <v>9 or More Authors</v>
      </c>
      <c r="Z11" s="1"/>
      <c r="AA11" s="2"/>
      <c r="AB11">
        <v>5.6424471023063701E-2</v>
      </c>
      <c r="AD11" s="5">
        <f>SQRT((D11*(1-D11)/G11))</f>
        <v>6.015684797005158E-2</v>
      </c>
      <c r="AF11" s="6">
        <f t="shared" si="12"/>
        <v>6.015684797005158E-2</v>
      </c>
      <c r="AG11">
        <v>0.37</v>
      </c>
      <c r="AH11" t="s">
        <v>27</v>
      </c>
      <c r="AI11">
        <v>0</v>
      </c>
      <c r="AJ11">
        <v>2018</v>
      </c>
      <c r="AK11" s="1">
        <f t="shared" si="13"/>
        <v>0</v>
      </c>
      <c r="AL11" s="2" t="str">
        <f t="shared" si="14"/>
        <v>Old</v>
      </c>
      <c r="AM11">
        <v>4</v>
      </c>
      <c r="AN11" s="1">
        <f t="shared" si="15"/>
        <v>0</v>
      </c>
      <c r="AO11" s="2" t="str">
        <f t="shared" si="16"/>
        <v>Less than 10 authors</v>
      </c>
      <c r="AP11" t="s">
        <v>33</v>
      </c>
      <c r="AQ11" s="1">
        <f t="shared" si="17"/>
        <v>0</v>
      </c>
      <c r="AR11" s="2" t="str">
        <f t="shared" si="18"/>
        <v>Not Psychology</v>
      </c>
      <c r="AS11">
        <v>6</v>
      </c>
      <c r="AT11">
        <v>0.71099999999999997</v>
      </c>
      <c r="AU11" s="1">
        <f t="shared" si="19"/>
        <v>0</v>
      </c>
      <c r="AV11" s="2" t="str">
        <f t="shared" si="20"/>
        <v>Impact lower than average (3)</v>
      </c>
    </row>
    <row r="12" spans="1:48">
      <c r="A12">
        <v>11</v>
      </c>
      <c r="B12" t="s">
        <v>80</v>
      </c>
      <c r="C12">
        <v>0.53571428571428603</v>
      </c>
      <c r="E12">
        <v>0.38232142857142898</v>
      </c>
      <c r="F12">
        <v>0.30398300382653098</v>
      </c>
      <c r="G12">
        <v>28</v>
      </c>
      <c r="H12" s="1">
        <f t="shared" si="0"/>
        <v>0</v>
      </c>
      <c r="I12" s="2" t="str">
        <f t="shared" si="1"/>
        <v>Less than average (54)</v>
      </c>
      <c r="J12">
        <v>16</v>
      </c>
      <c r="K12" s="1">
        <f t="shared" si="2"/>
        <v>1</v>
      </c>
      <c r="L12" s="2" t="str">
        <f t="shared" si="3"/>
        <v>8 or More Journals</v>
      </c>
      <c r="M12">
        <v>3.7036500000000001</v>
      </c>
      <c r="N12" s="1">
        <f t="shared" ref="N12:N31" si="21">IF(M12&gt;=5,1,0)</f>
        <v>0</v>
      </c>
      <c r="O12" s="2" t="str">
        <f t="shared" ref="O12:O31" si="22">IF(N12=1,"Impact higher than average (5)", "Impact lower than average (5)")</f>
        <v>Impact lower than average (5)</v>
      </c>
      <c r="P12">
        <v>35.392857142857103</v>
      </c>
      <c r="Q12" s="1">
        <f t="shared" ref="Q12:Q20" si="23">IF(P12&gt;=48,1,0)</f>
        <v>0</v>
      </c>
      <c r="R12" s="2" t="str">
        <f t="shared" si="7"/>
        <v>Less than average (48)</v>
      </c>
      <c r="S12">
        <v>21.8928571428571</v>
      </c>
      <c r="T12" s="1">
        <f t="shared" ref="T12:T31" si="24">IF(S12&gt;=16,0,1)</f>
        <v>0</v>
      </c>
      <c r="U12" s="2" t="str">
        <f t="shared" ref="U12:U31" si="25">IF(T12=0,"Old","New")</f>
        <v>Old</v>
      </c>
      <c r="V12">
        <v>2.92592592592593</v>
      </c>
      <c r="W12" s="1">
        <f t="shared" ref="W12:W28" si="26">IF(V12&gt;=9,1,0)</f>
        <v>0</v>
      </c>
      <c r="X12" s="2" t="str">
        <f t="shared" ref="X12:X28" si="27">IF(W12=0,"Less than average(9)","9 or More Authors")</f>
        <v>Less than average(9)</v>
      </c>
      <c r="Y12">
        <v>1</v>
      </c>
      <c r="Z12" s="1">
        <f>IF(Y12&gt;=3,1,0)</f>
        <v>0</v>
      </c>
      <c r="AA12" s="2" t="str">
        <f>IF(Z12=0,"Less than average(3)","3 or More Authors")</f>
        <v>Less than average(3)</v>
      </c>
      <c r="AB12">
        <v>0.104194701645273</v>
      </c>
      <c r="AC12">
        <f>SQRT(((C12*(1-C12))/G12))</f>
        <v>9.4249761234240642E-2</v>
      </c>
      <c r="AD12" s="5">
        <f>SQRT((D12*(1-D12)/G12))</f>
        <v>0</v>
      </c>
      <c r="AF12" s="6">
        <f t="shared" si="12"/>
        <v>9.4249761234240642E-2</v>
      </c>
      <c r="AG12">
        <v>0.55134653696793101</v>
      </c>
      <c r="AH12" t="s">
        <v>22</v>
      </c>
      <c r="AI12">
        <v>1</v>
      </c>
      <c r="AJ12">
        <v>2018</v>
      </c>
      <c r="AK12" s="1">
        <f t="shared" si="13"/>
        <v>0</v>
      </c>
      <c r="AL12" s="2" t="str">
        <f t="shared" si="14"/>
        <v>Old</v>
      </c>
      <c r="AM12">
        <v>190</v>
      </c>
      <c r="AN12" s="1">
        <f t="shared" si="15"/>
        <v>1</v>
      </c>
      <c r="AO12" s="2" t="str">
        <f t="shared" si="16"/>
        <v>10 or more authors</v>
      </c>
      <c r="AP12" t="s">
        <v>23</v>
      </c>
      <c r="AQ12" s="1">
        <f t="shared" si="17"/>
        <v>1</v>
      </c>
      <c r="AR12" s="2" t="str">
        <f t="shared" si="18"/>
        <v>Psychology</v>
      </c>
      <c r="AS12">
        <v>6</v>
      </c>
      <c r="AT12" s="7">
        <v>6.2690000000000001</v>
      </c>
      <c r="AU12" s="1">
        <f t="shared" si="19"/>
        <v>1</v>
      </c>
      <c r="AV12" s="2" t="str">
        <f t="shared" si="20"/>
        <v>Impact higher than average (3)</v>
      </c>
    </row>
    <row r="13" spans="1:48">
      <c r="A13">
        <v>12</v>
      </c>
      <c r="B13" t="s">
        <v>38</v>
      </c>
      <c r="C13">
        <v>0.42424242424242403</v>
      </c>
      <c r="G13">
        <v>66</v>
      </c>
      <c r="H13" s="1">
        <f t="shared" si="0"/>
        <v>1</v>
      </c>
      <c r="I13" s="2" t="str">
        <f t="shared" si="1"/>
        <v>54 or More Studies</v>
      </c>
      <c r="J13">
        <v>9</v>
      </c>
      <c r="K13" s="1">
        <f t="shared" si="2"/>
        <v>1</v>
      </c>
      <c r="L13" s="2" t="str">
        <f t="shared" si="3"/>
        <v>8 or More Journals</v>
      </c>
      <c r="M13">
        <v>5.93163888888889</v>
      </c>
      <c r="N13" s="1">
        <f t="shared" si="21"/>
        <v>1</v>
      </c>
      <c r="O13" s="2" t="str">
        <f t="shared" si="22"/>
        <v>Impact higher than average (5)</v>
      </c>
      <c r="P13">
        <v>32.734375</v>
      </c>
      <c r="Q13" s="1">
        <f t="shared" si="23"/>
        <v>0</v>
      </c>
      <c r="R13" s="2" t="str">
        <f t="shared" si="7"/>
        <v>Less than average (48)</v>
      </c>
      <c r="S13">
        <v>24.954545454545499</v>
      </c>
      <c r="T13" s="1">
        <f t="shared" si="24"/>
        <v>0</v>
      </c>
      <c r="U13" s="2" t="str">
        <f t="shared" si="25"/>
        <v>Old</v>
      </c>
      <c r="V13">
        <v>11.253846153846199</v>
      </c>
      <c r="W13" s="1">
        <f t="shared" si="26"/>
        <v>1</v>
      </c>
      <c r="X13" s="2" t="str">
        <f t="shared" si="27"/>
        <v>9 or More Authors</v>
      </c>
      <c r="Y13">
        <v>12.890625</v>
      </c>
      <c r="Z13" s="1">
        <f>IF(Y13&gt;=3,1,0)</f>
        <v>1</v>
      </c>
      <c r="AA13" s="2" t="str">
        <f>IF(Z13=0,"Less than average(3)","3 or More Authors")</f>
        <v>3 or More Authors</v>
      </c>
      <c r="AC13">
        <f>SQRT(((C13*(1-C13))/G13))</f>
        <v>6.0835195867959165E-2</v>
      </c>
      <c r="AD13" s="5"/>
      <c r="AF13" s="6">
        <f t="shared" si="12"/>
        <v>6.0835195867959165E-2</v>
      </c>
      <c r="AH13" t="s">
        <v>27</v>
      </c>
      <c r="AI13">
        <v>0</v>
      </c>
      <c r="AJ13">
        <v>2018</v>
      </c>
      <c r="AK13" s="1">
        <f t="shared" si="13"/>
        <v>0</v>
      </c>
      <c r="AL13" s="2" t="str">
        <f t="shared" si="14"/>
        <v>Old</v>
      </c>
      <c r="AM13">
        <v>7</v>
      </c>
      <c r="AN13" s="1">
        <f t="shared" si="15"/>
        <v>0</v>
      </c>
      <c r="AO13" s="2" t="str">
        <f t="shared" si="16"/>
        <v>Less than 10 authors</v>
      </c>
      <c r="AP13" t="s">
        <v>33</v>
      </c>
      <c r="AQ13" s="1">
        <f t="shared" si="17"/>
        <v>0</v>
      </c>
      <c r="AR13" s="2" t="str">
        <f t="shared" si="18"/>
        <v>Not Psychology</v>
      </c>
      <c r="AS13">
        <v>6</v>
      </c>
      <c r="AT13">
        <v>4.0990000000000002</v>
      </c>
      <c r="AU13" s="1">
        <f t="shared" si="19"/>
        <v>1</v>
      </c>
      <c r="AV13" s="2" t="str">
        <f t="shared" si="20"/>
        <v>Impact higher than average (3)</v>
      </c>
    </row>
    <row r="14" spans="1:48">
      <c r="A14">
        <v>13</v>
      </c>
      <c r="B14" t="s">
        <v>39</v>
      </c>
      <c r="D14">
        <v>0.82352941176470595</v>
      </c>
      <c r="E14">
        <v>0.84846666666666704</v>
      </c>
      <c r="F14">
        <v>1.41523891555556</v>
      </c>
      <c r="G14">
        <v>17</v>
      </c>
      <c r="H14" s="1">
        <f t="shared" si="0"/>
        <v>0</v>
      </c>
      <c r="I14" s="2" t="str">
        <f t="shared" si="1"/>
        <v>Less than average (54)</v>
      </c>
      <c r="J14">
        <v>2</v>
      </c>
      <c r="K14" s="1">
        <f t="shared" si="2"/>
        <v>0</v>
      </c>
      <c r="L14" s="2" t="str">
        <f t="shared" si="3"/>
        <v>Less than average (8)</v>
      </c>
      <c r="M14">
        <v>4.4783125000000004</v>
      </c>
      <c r="N14" s="1">
        <f t="shared" si="21"/>
        <v>0</v>
      </c>
      <c r="O14" s="2" t="str">
        <f t="shared" si="22"/>
        <v>Impact lower than average (5)</v>
      </c>
      <c r="P14">
        <v>49.8125</v>
      </c>
      <c r="Q14" s="1">
        <f t="shared" si="23"/>
        <v>1</v>
      </c>
      <c r="R14" s="2" t="str">
        <f t="shared" si="7"/>
        <v>48 or More References</v>
      </c>
      <c r="S14">
        <v>8.9375</v>
      </c>
      <c r="T14" s="1">
        <f t="shared" si="24"/>
        <v>1</v>
      </c>
      <c r="U14" s="2" t="str">
        <f t="shared" si="25"/>
        <v>New</v>
      </c>
      <c r="V14">
        <v>11.5625</v>
      </c>
      <c r="W14" s="1">
        <f t="shared" si="26"/>
        <v>1</v>
      </c>
      <c r="X14" s="2" t="str">
        <f t="shared" si="27"/>
        <v>9 or More Authors</v>
      </c>
      <c r="Z14" s="1"/>
      <c r="AA14" s="2"/>
      <c r="AB14">
        <v>0.288529631015354</v>
      </c>
      <c r="AD14" s="5">
        <f>SQRT((D14*(1-D14)/G14))</f>
        <v>9.2459440940397139E-2</v>
      </c>
      <c r="AF14" s="6">
        <f t="shared" si="12"/>
        <v>9.2459440940397139E-2</v>
      </c>
      <c r="AG14">
        <v>1.1896381447967901</v>
      </c>
      <c r="AH14" t="s">
        <v>27</v>
      </c>
      <c r="AI14">
        <v>0</v>
      </c>
      <c r="AJ14">
        <v>2018</v>
      </c>
      <c r="AK14" s="1">
        <f t="shared" si="13"/>
        <v>0</v>
      </c>
      <c r="AL14" s="2" t="str">
        <f t="shared" si="14"/>
        <v>Old</v>
      </c>
      <c r="AM14">
        <v>7</v>
      </c>
      <c r="AN14" s="1">
        <f t="shared" si="15"/>
        <v>0</v>
      </c>
      <c r="AO14" s="2" t="str">
        <f t="shared" si="16"/>
        <v>Less than 10 authors</v>
      </c>
      <c r="AP14" t="s">
        <v>33</v>
      </c>
      <c r="AQ14" s="1">
        <f t="shared" si="17"/>
        <v>0</v>
      </c>
      <c r="AR14" s="2" t="str">
        <f t="shared" si="18"/>
        <v>Not Psychology</v>
      </c>
      <c r="AS14">
        <v>6</v>
      </c>
      <c r="AT14">
        <v>2.8809999999999998</v>
      </c>
      <c r="AU14" s="1">
        <f t="shared" si="19"/>
        <v>0</v>
      </c>
      <c r="AV14" s="2" t="str">
        <f t="shared" si="20"/>
        <v>Impact lower than average (3)</v>
      </c>
    </row>
    <row r="15" spans="1:48">
      <c r="A15">
        <v>14</v>
      </c>
      <c r="B15" t="s">
        <v>34</v>
      </c>
      <c r="C15">
        <v>0.2</v>
      </c>
      <c r="D15">
        <v>0.1</v>
      </c>
      <c r="E15">
        <v>0.463166666666667</v>
      </c>
      <c r="F15">
        <v>0.30102013888888901</v>
      </c>
      <c r="G15">
        <v>11</v>
      </c>
      <c r="H15" s="1">
        <f t="shared" si="0"/>
        <v>0</v>
      </c>
      <c r="I15" s="2" t="str">
        <f t="shared" si="1"/>
        <v>Less than average (54)</v>
      </c>
      <c r="J15">
        <v>2</v>
      </c>
      <c r="K15" s="1">
        <f t="shared" si="2"/>
        <v>0</v>
      </c>
      <c r="L15" s="2" t="str">
        <f t="shared" si="3"/>
        <v>Less than average (8)</v>
      </c>
      <c r="M15">
        <v>3.0197777777777799</v>
      </c>
      <c r="N15" s="1">
        <f t="shared" si="21"/>
        <v>0</v>
      </c>
      <c r="O15" s="2" t="str">
        <f t="shared" si="22"/>
        <v>Impact lower than average (5)</v>
      </c>
      <c r="P15">
        <v>49.454545454545503</v>
      </c>
      <c r="Q15" s="1">
        <f t="shared" si="23"/>
        <v>1</v>
      </c>
      <c r="R15" s="2" t="str">
        <f t="shared" si="7"/>
        <v>48 or More References</v>
      </c>
      <c r="S15">
        <v>16.727272727272702</v>
      </c>
      <c r="T15" s="1">
        <f t="shared" si="24"/>
        <v>0</v>
      </c>
      <c r="U15" s="2" t="str">
        <f t="shared" si="25"/>
        <v>Old</v>
      </c>
      <c r="V15">
        <v>4.7272727272727302</v>
      </c>
      <c r="W15" s="1">
        <f t="shared" si="26"/>
        <v>0</v>
      </c>
      <c r="X15" s="2" t="str">
        <f t="shared" si="27"/>
        <v>Less than average(9)</v>
      </c>
      <c r="Y15">
        <v>3.7272727272727302</v>
      </c>
      <c r="Z15" s="1">
        <f>IF(Y15&gt;=3,1,0)</f>
        <v>1</v>
      </c>
      <c r="AA15" s="2" t="str">
        <f>IF(Z15=0,"Less than average(3)","3 or More Authors")</f>
        <v>3 or More Authors</v>
      </c>
      <c r="AB15">
        <v>0.16542511046306499</v>
      </c>
      <c r="AC15">
        <f>SQRT(((C15*(1-C15))/G15))</f>
        <v>0.12060453783110546</v>
      </c>
      <c r="AD15" s="5">
        <f>SQRT((D15*(1-D15)/G15))</f>
        <v>9.0453403373329092E-2</v>
      </c>
      <c r="AE15">
        <f>AVERAGE(AC15:AD15)</f>
        <v>0.10552897060221728</v>
      </c>
      <c r="AF15" s="6">
        <f t="shared" si="12"/>
        <v>0.10552897060221728</v>
      </c>
      <c r="AG15">
        <v>0.54865302230908097</v>
      </c>
      <c r="AH15" t="s">
        <v>22</v>
      </c>
      <c r="AI15">
        <v>1</v>
      </c>
      <c r="AJ15">
        <v>2019</v>
      </c>
      <c r="AK15" s="1">
        <f t="shared" si="13"/>
        <v>1</v>
      </c>
      <c r="AL15" s="2" t="str">
        <f t="shared" si="14"/>
        <v>New</v>
      </c>
      <c r="AM15">
        <v>1</v>
      </c>
      <c r="AN15" s="1">
        <f t="shared" si="15"/>
        <v>0</v>
      </c>
      <c r="AO15" s="2" t="str">
        <f t="shared" si="16"/>
        <v>Less than 10 authors</v>
      </c>
      <c r="AP15" t="s">
        <v>33</v>
      </c>
      <c r="AQ15" s="1">
        <f t="shared" si="17"/>
        <v>0</v>
      </c>
      <c r="AR15" s="2" t="str">
        <f t="shared" si="18"/>
        <v>Not Psychology</v>
      </c>
      <c r="AS15">
        <v>5</v>
      </c>
      <c r="AT15">
        <v>0.995</v>
      </c>
      <c r="AU15" s="1">
        <f t="shared" si="19"/>
        <v>0</v>
      </c>
      <c r="AV15" s="2" t="str">
        <f t="shared" si="20"/>
        <v>Impact lower than average (3)</v>
      </c>
    </row>
    <row r="16" spans="1:48">
      <c r="A16">
        <v>15</v>
      </c>
      <c r="B16" t="s">
        <v>37</v>
      </c>
      <c r="C16">
        <v>0.87</v>
      </c>
      <c r="E16">
        <v>6.8532229339697701E-2</v>
      </c>
      <c r="F16">
        <v>6.6876377880362298E-2</v>
      </c>
      <c r="G16">
        <v>78</v>
      </c>
      <c r="H16" s="1">
        <f t="shared" si="0"/>
        <v>1</v>
      </c>
      <c r="I16" s="2" t="str">
        <f t="shared" si="1"/>
        <v>54 or More Studies</v>
      </c>
      <c r="J16">
        <v>1</v>
      </c>
      <c r="K16" s="1">
        <f t="shared" si="2"/>
        <v>0</v>
      </c>
      <c r="L16" s="2" t="str">
        <f t="shared" si="3"/>
        <v>Less than average (8)</v>
      </c>
      <c r="M16">
        <v>6.8550000000000004</v>
      </c>
      <c r="N16" s="1">
        <f t="shared" si="21"/>
        <v>1</v>
      </c>
      <c r="O16" s="2" t="str">
        <f t="shared" si="22"/>
        <v>Impact higher than average (5)</v>
      </c>
      <c r="P16">
        <v>104</v>
      </c>
      <c r="Q16" s="1">
        <f t="shared" si="23"/>
        <v>1</v>
      </c>
      <c r="R16" s="2" t="str">
        <f t="shared" si="7"/>
        <v>48 or More References</v>
      </c>
      <c r="S16">
        <v>18</v>
      </c>
      <c r="T16" s="1">
        <f t="shared" si="24"/>
        <v>0</v>
      </c>
      <c r="U16" s="2" t="str">
        <f t="shared" si="25"/>
        <v>Old</v>
      </c>
      <c r="V16">
        <v>2</v>
      </c>
      <c r="W16" s="1">
        <f t="shared" si="26"/>
        <v>0</v>
      </c>
      <c r="X16" s="2" t="str">
        <f t="shared" si="27"/>
        <v>Less than average(9)</v>
      </c>
      <c r="Y16">
        <v>1</v>
      </c>
      <c r="Z16" s="1">
        <f>IF(Y16&gt;=3,1,0)</f>
        <v>0</v>
      </c>
      <c r="AA16" s="2" t="str">
        <f>IF(Z16=0,"Less than average(3)","3 or More Authors")</f>
        <v>Less than average(3)</v>
      </c>
      <c r="AB16">
        <v>2.92812134312198E-2</v>
      </c>
      <c r="AC16">
        <f>SQRT(((C16*(1-C16))/G16))</f>
        <v>3.8078865529319543E-2</v>
      </c>
      <c r="AD16" s="5"/>
      <c r="AF16" s="6">
        <f t="shared" si="12"/>
        <v>3.8078865529319543E-2</v>
      </c>
      <c r="AG16">
        <v>0.25860467490043998</v>
      </c>
      <c r="AH16" t="s">
        <v>22</v>
      </c>
      <c r="AI16">
        <v>1</v>
      </c>
      <c r="AJ16">
        <v>2019</v>
      </c>
      <c r="AK16" s="1">
        <f t="shared" si="13"/>
        <v>1</v>
      </c>
      <c r="AL16" s="2" t="str">
        <f t="shared" si="14"/>
        <v>New</v>
      </c>
      <c r="AM16">
        <v>1</v>
      </c>
      <c r="AN16" s="1">
        <f t="shared" si="15"/>
        <v>0</v>
      </c>
      <c r="AO16" s="2" t="str">
        <f t="shared" si="16"/>
        <v>Less than 10 authors</v>
      </c>
      <c r="AP16" t="s">
        <v>23</v>
      </c>
      <c r="AQ16" s="1">
        <f t="shared" si="17"/>
        <v>1</v>
      </c>
      <c r="AR16" s="2" t="str">
        <f t="shared" si="18"/>
        <v>Psychology</v>
      </c>
      <c r="AS16">
        <v>5</v>
      </c>
      <c r="AT16">
        <v>3.3029999999999999</v>
      </c>
      <c r="AU16" s="1">
        <f t="shared" si="19"/>
        <v>1</v>
      </c>
      <c r="AV16" s="2" t="str">
        <f t="shared" si="20"/>
        <v>Impact higher than average (3)</v>
      </c>
    </row>
    <row r="17" spans="1:48">
      <c r="A17">
        <v>16</v>
      </c>
      <c r="B17" t="s">
        <v>30</v>
      </c>
      <c r="C17">
        <v>0.46666666666666701</v>
      </c>
      <c r="D17" s="10">
        <v>0.2</v>
      </c>
      <c r="E17">
        <v>0.16343999998013201</v>
      </c>
      <c r="F17">
        <v>5.43595370759428E-2</v>
      </c>
      <c r="G17">
        <v>15</v>
      </c>
      <c r="H17" s="1">
        <f t="shared" si="0"/>
        <v>0</v>
      </c>
      <c r="I17" s="2" t="str">
        <f t="shared" si="1"/>
        <v>Less than average (54)</v>
      </c>
      <c r="J17">
        <v>9</v>
      </c>
      <c r="K17" s="1">
        <f t="shared" si="2"/>
        <v>1</v>
      </c>
      <c r="L17" s="2" t="str">
        <f t="shared" si="3"/>
        <v>8 or More Journals</v>
      </c>
      <c r="M17">
        <v>4.9645555555555596</v>
      </c>
      <c r="N17" s="1">
        <f t="shared" si="21"/>
        <v>0</v>
      </c>
      <c r="O17" s="2" t="str">
        <f t="shared" si="22"/>
        <v>Impact lower than average (5)</v>
      </c>
      <c r="P17">
        <v>40</v>
      </c>
      <c r="Q17" s="1">
        <f t="shared" si="23"/>
        <v>0</v>
      </c>
      <c r="R17" s="2" t="str">
        <f t="shared" si="7"/>
        <v>Less than average (48)</v>
      </c>
      <c r="S17">
        <v>22.933333333333401</v>
      </c>
      <c r="T17" s="1">
        <f t="shared" si="24"/>
        <v>0</v>
      </c>
      <c r="U17" s="2" t="str">
        <f t="shared" si="25"/>
        <v>Old</v>
      </c>
      <c r="V17">
        <v>2.7333333333333298</v>
      </c>
      <c r="W17" s="1">
        <f t="shared" si="26"/>
        <v>0</v>
      </c>
      <c r="X17" s="2" t="str">
        <f t="shared" si="27"/>
        <v>Less than average(9)</v>
      </c>
      <c r="Y17">
        <v>3.2</v>
      </c>
      <c r="Z17" s="1">
        <f>IF(Y17&gt;=3,1,0)</f>
        <v>1</v>
      </c>
      <c r="AA17" s="2" t="str">
        <f>IF(Z17=0,"Less than average(3)","3 or More Authors")</f>
        <v>3 or More Authors</v>
      </c>
      <c r="AB17">
        <v>6.01994114455962E-2</v>
      </c>
      <c r="AC17">
        <f>SQRT(((C17*(1-C17))/G17))</f>
        <v>0.12881223774390613</v>
      </c>
      <c r="AD17" s="5">
        <f>SQRT((D17*(1-D17)/G17))</f>
        <v>0.10327955589886445</v>
      </c>
      <c r="AE17">
        <f>AVERAGE(AC17:AD17)</f>
        <v>0.11604589682138529</v>
      </c>
      <c r="AF17" s="6">
        <f t="shared" si="12"/>
        <v>0.11604589682138529</v>
      </c>
      <c r="AG17">
        <v>0.23315131798028199</v>
      </c>
      <c r="AH17" t="s">
        <v>27</v>
      </c>
      <c r="AI17">
        <v>0</v>
      </c>
      <c r="AJ17">
        <v>2020</v>
      </c>
      <c r="AK17" s="1">
        <f t="shared" si="13"/>
        <v>1</v>
      </c>
      <c r="AL17" s="2" t="str">
        <f t="shared" si="14"/>
        <v>New</v>
      </c>
      <c r="AM17">
        <v>3</v>
      </c>
      <c r="AN17" s="1">
        <f t="shared" si="15"/>
        <v>0</v>
      </c>
      <c r="AO17" s="2" t="str">
        <f t="shared" si="16"/>
        <v>Less than 10 authors</v>
      </c>
      <c r="AP17" t="s">
        <v>23</v>
      </c>
      <c r="AQ17" s="1">
        <f t="shared" si="17"/>
        <v>1</v>
      </c>
      <c r="AR17" s="2" t="str">
        <f t="shared" si="18"/>
        <v>Psychology</v>
      </c>
      <c r="AS17">
        <v>4</v>
      </c>
      <c r="AT17">
        <v>3.4340000000000002</v>
      </c>
      <c r="AU17" s="1">
        <f t="shared" si="19"/>
        <v>1</v>
      </c>
      <c r="AV17" s="2" t="str">
        <f t="shared" si="20"/>
        <v>Impact higher than average (3)</v>
      </c>
    </row>
    <row r="18" spans="1:48">
      <c r="A18">
        <v>17</v>
      </c>
      <c r="B18" t="s">
        <v>43</v>
      </c>
      <c r="C18">
        <v>0.1</v>
      </c>
      <c r="E18">
        <v>7.0000000000000007E-2</v>
      </c>
      <c r="F18">
        <v>1.0565E-2</v>
      </c>
      <c r="G18">
        <v>10</v>
      </c>
      <c r="H18" s="1">
        <f t="shared" si="0"/>
        <v>0</v>
      </c>
      <c r="I18" s="2" t="str">
        <f t="shared" si="1"/>
        <v>Less than average (54)</v>
      </c>
      <c r="J18">
        <v>2</v>
      </c>
      <c r="K18" s="1">
        <f t="shared" si="2"/>
        <v>0</v>
      </c>
      <c r="L18" s="2" t="str">
        <f t="shared" si="3"/>
        <v>Less than average (8)</v>
      </c>
      <c r="M18">
        <v>5.3493000000000004</v>
      </c>
      <c r="N18" s="1">
        <f t="shared" si="21"/>
        <v>1</v>
      </c>
      <c r="O18" s="2" t="str">
        <f t="shared" si="22"/>
        <v>Impact higher than average (5)</v>
      </c>
      <c r="P18">
        <v>48.1</v>
      </c>
      <c r="Q18" s="1">
        <f t="shared" si="23"/>
        <v>1</v>
      </c>
      <c r="R18" s="2" t="str">
        <f t="shared" si="7"/>
        <v>48 or More References</v>
      </c>
      <c r="S18">
        <v>16</v>
      </c>
      <c r="T18" s="1">
        <f t="shared" si="24"/>
        <v>0</v>
      </c>
      <c r="U18" s="2" t="str">
        <f t="shared" si="25"/>
        <v>Old</v>
      </c>
      <c r="V18">
        <v>3.9</v>
      </c>
      <c r="W18" s="1">
        <f t="shared" si="26"/>
        <v>0</v>
      </c>
      <c r="X18" s="2" t="str">
        <f t="shared" si="27"/>
        <v>Less than average(9)</v>
      </c>
      <c r="Y18">
        <v>1.9</v>
      </c>
      <c r="Z18" s="1">
        <f>IF(Y18&gt;=3,1,0)</f>
        <v>0</v>
      </c>
      <c r="AA18" s="2" t="str">
        <f>IF(Z18=0,"Less than average(3)","3 or More Authors")</f>
        <v>Less than average(3)</v>
      </c>
      <c r="AB18">
        <v>3.250384592629E-2</v>
      </c>
      <c r="AC18">
        <f>SQRT(((C18*(1-C18))/G18))</f>
        <v>9.4868329805051388E-2</v>
      </c>
      <c r="AD18" s="5"/>
      <c r="AF18" s="6">
        <f t="shared" si="12"/>
        <v>9.4868329805051388E-2</v>
      </c>
      <c r="AG18">
        <v>0.102786185842262</v>
      </c>
      <c r="AH18" t="s">
        <v>22</v>
      </c>
      <c r="AI18">
        <v>1</v>
      </c>
      <c r="AJ18">
        <v>2020</v>
      </c>
      <c r="AK18" s="1">
        <f t="shared" si="13"/>
        <v>1</v>
      </c>
      <c r="AL18" s="2" t="str">
        <f t="shared" si="14"/>
        <v>New</v>
      </c>
      <c r="AM18">
        <v>172</v>
      </c>
      <c r="AN18" s="1">
        <f t="shared" si="15"/>
        <v>1</v>
      </c>
      <c r="AO18" s="2" t="str">
        <f t="shared" si="16"/>
        <v>10 or more authors</v>
      </c>
      <c r="AP18" t="s">
        <v>23</v>
      </c>
      <c r="AQ18" s="1">
        <f t="shared" si="17"/>
        <v>1</v>
      </c>
      <c r="AR18" s="2" t="str">
        <f t="shared" si="18"/>
        <v>Psychology</v>
      </c>
      <c r="AS18">
        <v>4</v>
      </c>
      <c r="AT18" s="7">
        <v>6.2690000000000001</v>
      </c>
      <c r="AU18" s="1">
        <f t="shared" si="19"/>
        <v>1</v>
      </c>
      <c r="AV18" s="2" t="str">
        <f t="shared" si="20"/>
        <v>Impact higher than average (3)</v>
      </c>
    </row>
    <row r="19" spans="1:48">
      <c r="A19">
        <v>18</v>
      </c>
      <c r="B19" t="s">
        <v>44</v>
      </c>
      <c r="D19">
        <v>9.0909090909090898E-2</v>
      </c>
      <c r="E19">
        <v>0.22596875</v>
      </c>
      <c r="F19">
        <v>0.276151717773438</v>
      </c>
      <c r="G19">
        <v>33</v>
      </c>
      <c r="H19" s="1">
        <f t="shared" si="0"/>
        <v>0</v>
      </c>
      <c r="I19" s="2" t="str">
        <f t="shared" si="1"/>
        <v>Less than average (54)</v>
      </c>
      <c r="J19">
        <v>12</v>
      </c>
      <c r="K19" s="1">
        <f t="shared" si="2"/>
        <v>1</v>
      </c>
      <c r="L19" s="2" t="str">
        <f t="shared" si="3"/>
        <v>8 or More Journals</v>
      </c>
      <c r="M19">
        <v>4.4509090909090903</v>
      </c>
      <c r="N19" s="1">
        <f t="shared" si="21"/>
        <v>0</v>
      </c>
      <c r="O19" s="2" t="str">
        <f t="shared" si="22"/>
        <v>Impact lower than average (5)</v>
      </c>
      <c r="P19">
        <v>150.60606060606099</v>
      </c>
      <c r="Q19" s="1">
        <f t="shared" si="23"/>
        <v>1</v>
      </c>
      <c r="R19" s="2" t="str">
        <f t="shared" si="7"/>
        <v>48 or More References</v>
      </c>
      <c r="S19">
        <v>12.636363636363701</v>
      </c>
      <c r="T19" s="1">
        <f t="shared" si="24"/>
        <v>1</v>
      </c>
      <c r="U19" s="2" t="str">
        <f t="shared" si="25"/>
        <v>New</v>
      </c>
      <c r="V19">
        <v>3.5757575757575801</v>
      </c>
      <c r="W19" s="1">
        <f t="shared" si="26"/>
        <v>0</v>
      </c>
      <c r="X19" s="2" t="str">
        <f t="shared" si="27"/>
        <v>Less than average(9)</v>
      </c>
      <c r="Z19" s="1"/>
      <c r="AA19" s="2"/>
      <c r="AB19">
        <v>9.1478051312445199E-2</v>
      </c>
      <c r="AD19" s="5">
        <f>SQRT((D19*(1-D19)/G19))</f>
        <v>5.0043807505743658E-2</v>
      </c>
      <c r="AF19" s="6">
        <f t="shared" si="12"/>
        <v>5.0043807505743658E-2</v>
      </c>
      <c r="AG19">
        <v>0.52550139654756201</v>
      </c>
      <c r="AH19" t="s">
        <v>22</v>
      </c>
      <c r="AI19">
        <v>1</v>
      </c>
      <c r="AJ19">
        <v>2020</v>
      </c>
      <c r="AK19" s="1">
        <f t="shared" si="13"/>
        <v>1</v>
      </c>
      <c r="AL19" s="2" t="str">
        <f t="shared" si="14"/>
        <v>New</v>
      </c>
      <c r="AM19">
        <v>5</v>
      </c>
      <c r="AN19" s="1">
        <f t="shared" si="15"/>
        <v>0</v>
      </c>
      <c r="AO19" s="2" t="str">
        <f t="shared" si="16"/>
        <v>Less than 10 authors</v>
      </c>
      <c r="AP19" t="s">
        <v>23</v>
      </c>
      <c r="AQ19" s="1">
        <f t="shared" si="17"/>
        <v>1</v>
      </c>
      <c r="AR19" s="2" t="str">
        <f t="shared" si="18"/>
        <v>Psychology</v>
      </c>
      <c r="AS19">
        <v>4</v>
      </c>
      <c r="AT19">
        <v>0.99</v>
      </c>
      <c r="AU19" s="1">
        <f t="shared" si="19"/>
        <v>0</v>
      </c>
      <c r="AV19" s="2" t="str">
        <f t="shared" si="20"/>
        <v>Impact lower than average (3)</v>
      </c>
    </row>
    <row r="20" spans="1:48">
      <c r="A20">
        <v>19</v>
      </c>
      <c r="B20" t="s">
        <v>32</v>
      </c>
      <c r="C20" s="10">
        <v>0.43</v>
      </c>
      <c r="D20">
        <v>0.25</v>
      </c>
      <c r="E20">
        <v>0.43</v>
      </c>
      <c r="F20">
        <v>4.1269706232638903</v>
      </c>
      <c r="G20">
        <v>53</v>
      </c>
      <c r="H20" s="1">
        <f t="shared" si="0"/>
        <v>0</v>
      </c>
      <c r="I20" s="2" t="str">
        <f t="shared" si="1"/>
        <v>Less than average (54)</v>
      </c>
      <c r="J20">
        <v>6</v>
      </c>
      <c r="K20" s="1">
        <f t="shared" si="2"/>
        <v>0</v>
      </c>
      <c r="L20" s="2" t="str">
        <f t="shared" si="3"/>
        <v>Less than average (8)</v>
      </c>
      <c r="M20">
        <v>17.416283018867901</v>
      </c>
      <c r="N20" s="1">
        <f t="shared" si="21"/>
        <v>1</v>
      </c>
      <c r="O20" s="2" t="str">
        <f t="shared" si="22"/>
        <v>Impact higher than average (5)</v>
      </c>
      <c r="P20">
        <v>36.358490566037702</v>
      </c>
      <c r="Q20" s="1">
        <f t="shared" si="23"/>
        <v>0</v>
      </c>
      <c r="R20" s="2" t="str">
        <f t="shared" si="7"/>
        <v>Less than average (48)</v>
      </c>
      <c r="S20">
        <v>12.962264150943399</v>
      </c>
      <c r="T20" s="1">
        <f t="shared" si="24"/>
        <v>1</v>
      </c>
      <c r="U20" s="2" t="str">
        <f t="shared" si="25"/>
        <v>New</v>
      </c>
      <c r="V20">
        <v>17.415094339622598</v>
      </c>
      <c r="W20" s="1">
        <f t="shared" si="26"/>
        <v>1</v>
      </c>
      <c r="X20" s="2" t="str">
        <f t="shared" si="27"/>
        <v>9 or More Authors</v>
      </c>
      <c r="Y20">
        <v>8.3018867924528301</v>
      </c>
      <c r="Z20" s="1">
        <f>IF(Y20&gt;=3,1,0)</f>
        <v>1</v>
      </c>
      <c r="AA20" s="2" t="str">
        <f>IF(Z20=0,"Less than average(3)","3 or More Authors")</f>
        <v>3 or More Authors</v>
      </c>
      <c r="AB20">
        <v>0.115382873716899</v>
      </c>
      <c r="AC20">
        <f t="shared" ref="AC20:AC26" si="28">SQRT(((C20*(1-C20))/G20))</f>
        <v>6.8003884461748154E-2</v>
      </c>
      <c r="AD20" s="5">
        <f>SQRT((D20*(1-D20)/G20))</f>
        <v>5.9478868928860812E-2</v>
      </c>
      <c r="AE20">
        <f>AVERAGE(AC20:AD20)</f>
        <v>6.3741376695304483E-2</v>
      </c>
      <c r="AF20" s="6">
        <f t="shared" si="12"/>
        <v>6.3741376695304483E-2</v>
      </c>
      <c r="AG20">
        <v>0.84</v>
      </c>
      <c r="AH20" t="s">
        <v>22</v>
      </c>
      <c r="AI20">
        <v>1</v>
      </c>
      <c r="AJ20">
        <v>2021</v>
      </c>
      <c r="AK20" s="1">
        <f t="shared" si="13"/>
        <v>1</v>
      </c>
      <c r="AL20" s="2" t="str">
        <f t="shared" si="14"/>
        <v>New</v>
      </c>
      <c r="AM20">
        <v>5</v>
      </c>
      <c r="AN20" s="1">
        <f t="shared" si="15"/>
        <v>0</v>
      </c>
      <c r="AO20" s="2" t="str">
        <f t="shared" si="16"/>
        <v>Less than 10 authors</v>
      </c>
      <c r="AP20" t="s">
        <v>33</v>
      </c>
      <c r="AQ20" s="1">
        <f t="shared" si="17"/>
        <v>0</v>
      </c>
      <c r="AR20" s="2" t="str">
        <f t="shared" si="18"/>
        <v>Not Psychology</v>
      </c>
      <c r="AS20">
        <v>3</v>
      </c>
      <c r="AT20">
        <v>4.75</v>
      </c>
      <c r="AU20" s="1">
        <f t="shared" si="19"/>
        <v>1</v>
      </c>
      <c r="AV20" s="2" t="str">
        <f t="shared" si="20"/>
        <v>Impact higher than average (3)</v>
      </c>
    </row>
    <row r="21" spans="1:48">
      <c r="A21">
        <v>20</v>
      </c>
      <c r="B21" t="s">
        <v>78</v>
      </c>
      <c r="C21">
        <v>5.0761421319797002E-2</v>
      </c>
      <c r="G21">
        <v>197</v>
      </c>
      <c r="H21" s="1">
        <f t="shared" si="0"/>
        <v>1</v>
      </c>
      <c r="I21" s="2" t="str">
        <f t="shared" si="1"/>
        <v>54 or More Studies</v>
      </c>
      <c r="J21">
        <v>5</v>
      </c>
      <c r="K21" s="1">
        <f t="shared" si="2"/>
        <v>0</v>
      </c>
      <c r="L21" s="2" t="str">
        <f t="shared" si="3"/>
        <v>Less than average (8)</v>
      </c>
      <c r="M21">
        <v>0.39482432432432502</v>
      </c>
      <c r="N21" s="1">
        <f t="shared" si="21"/>
        <v>0</v>
      </c>
      <c r="O21" s="2" t="str">
        <f t="shared" si="22"/>
        <v>Impact lower than average (5)</v>
      </c>
      <c r="Q21" s="1"/>
      <c r="R21" s="2" t="str">
        <f t="shared" si="7"/>
        <v>Less than average (48)</v>
      </c>
      <c r="S21">
        <v>9.7969543147207805</v>
      </c>
      <c r="T21" s="1">
        <f t="shared" si="24"/>
        <v>1</v>
      </c>
      <c r="U21" s="2" t="str">
        <f t="shared" si="25"/>
        <v>New</v>
      </c>
      <c r="V21">
        <v>1.9086294416243701</v>
      </c>
      <c r="W21" s="1">
        <f t="shared" si="26"/>
        <v>0</v>
      </c>
      <c r="X21" s="2" t="str">
        <f t="shared" si="27"/>
        <v>Less than average(9)</v>
      </c>
      <c r="Z21" s="1"/>
      <c r="AA21" s="2"/>
      <c r="AC21">
        <f t="shared" si="28"/>
        <v>1.5639449570557313E-2</v>
      </c>
      <c r="AD21" s="5"/>
      <c r="AF21" s="6">
        <f t="shared" si="12"/>
        <v>1.5639449570557313E-2</v>
      </c>
      <c r="AH21" t="s">
        <v>27</v>
      </c>
      <c r="AI21">
        <v>0</v>
      </c>
      <c r="AJ21">
        <v>2021</v>
      </c>
      <c r="AK21" s="1">
        <f t="shared" si="13"/>
        <v>1</v>
      </c>
      <c r="AL21" s="2" t="str">
        <f t="shared" si="14"/>
        <v>New</v>
      </c>
      <c r="AM21">
        <v>3</v>
      </c>
      <c r="AN21" s="1">
        <f t="shared" si="15"/>
        <v>0</v>
      </c>
      <c r="AO21" s="2" t="str">
        <f t="shared" si="16"/>
        <v>Less than 10 authors</v>
      </c>
      <c r="AP21" t="s">
        <v>28</v>
      </c>
      <c r="AQ21" s="1">
        <f t="shared" si="17"/>
        <v>0</v>
      </c>
      <c r="AR21" s="2" t="str">
        <f t="shared" si="18"/>
        <v>Not Psychology</v>
      </c>
      <c r="AS21">
        <v>3</v>
      </c>
      <c r="AT21">
        <v>0.21199999999999999</v>
      </c>
      <c r="AU21" s="1">
        <f t="shared" si="19"/>
        <v>0</v>
      </c>
      <c r="AV21" s="2" t="str">
        <f t="shared" si="20"/>
        <v>Impact lower than average (3)</v>
      </c>
    </row>
    <row r="22" spans="1:48">
      <c r="A22">
        <v>21</v>
      </c>
      <c r="B22" t="s">
        <v>40</v>
      </c>
      <c r="C22">
        <v>0.6</v>
      </c>
      <c r="E22">
        <v>0.62897841789994802</v>
      </c>
      <c r="F22">
        <v>0.37441810751800803</v>
      </c>
      <c r="G22">
        <v>25</v>
      </c>
      <c r="H22" s="1">
        <f t="shared" si="0"/>
        <v>0</v>
      </c>
      <c r="I22" s="2" t="str">
        <f t="shared" si="1"/>
        <v>Less than average (54)</v>
      </c>
      <c r="J22">
        <v>1</v>
      </c>
      <c r="K22" s="1">
        <f t="shared" si="2"/>
        <v>0</v>
      </c>
      <c r="L22" s="2" t="str">
        <f t="shared" si="3"/>
        <v>Less than average (8)</v>
      </c>
      <c r="M22">
        <v>4.3024800000000001</v>
      </c>
      <c r="N22" s="1">
        <f t="shared" si="21"/>
        <v>0</v>
      </c>
      <c r="O22" s="2" t="str">
        <f t="shared" si="22"/>
        <v>Impact lower than average (5)</v>
      </c>
      <c r="P22">
        <v>32.24</v>
      </c>
      <c r="Q22" s="1">
        <f t="shared" ref="Q22:Q27" si="29">IF(P22&gt;=48,1,0)</f>
        <v>0</v>
      </c>
      <c r="R22" s="2" t="str">
        <f t="shared" si="7"/>
        <v>Less than average (48)</v>
      </c>
      <c r="S22">
        <v>9.5999999999999108</v>
      </c>
      <c r="T22" s="1">
        <f t="shared" si="24"/>
        <v>1</v>
      </c>
      <c r="U22" s="2" t="str">
        <f t="shared" si="25"/>
        <v>New</v>
      </c>
      <c r="V22">
        <v>3.2</v>
      </c>
      <c r="W22" s="1">
        <f t="shared" si="26"/>
        <v>0</v>
      </c>
      <c r="X22" s="2" t="str">
        <f t="shared" si="27"/>
        <v>Less than average(9)</v>
      </c>
      <c r="Y22">
        <v>1.76</v>
      </c>
      <c r="Z22" s="1">
        <f>IF(Y22&gt;=3,1,0)</f>
        <v>0</v>
      </c>
      <c r="AA22" s="2" t="str">
        <f>IF(Z22=0,"Less than average(3)","3 or More Authors")</f>
        <v>Less than average(3)</v>
      </c>
      <c r="AB22">
        <v>0.122379427604154</v>
      </c>
      <c r="AC22">
        <f t="shared" si="28"/>
        <v>9.7979589711327114E-2</v>
      </c>
      <c r="AD22" s="5"/>
      <c r="AF22" s="6">
        <f t="shared" si="12"/>
        <v>9.7979589711327114E-2</v>
      </c>
      <c r="AG22">
        <v>0.61189713802076895</v>
      </c>
      <c r="AH22" t="s">
        <v>22</v>
      </c>
      <c r="AI22">
        <v>1</v>
      </c>
      <c r="AJ22">
        <v>2021</v>
      </c>
      <c r="AK22" s="1">
        <f t="shared" si="13"/>
        <v>1</v>
      </c>
      <c r="AL22" s="2" t="str">
        <f t="shared" si="14"/>
        <v>New</v>
      </c>
      <c r="AM22">
        <v>10</v>
      </c>
      <c r="AN22" s="1">
        <f t="shared" si="15"/>
        <v>1</v>
      </c>
      <c r="AO22" s="2" t="str">
        <f t="shared" si="16"/>
        <v>10 or more authors</v>
      </c>
      <c r="AP22" t="s">
        <v>23</v>
      </c>
      <c r="AQ22" s="1">
        <f t="shared" si="17"/>
        <v>1</v>
      </c>
      <c r="AR22" s="2" t="str">
        <f t="shared" si="18"/>
        <v>Psychology</v>
      </c>
      <c r="AS22">
        <v>3</v>
      </c>
      <c r="AT22">
        <v>0.75800000000000001</v>
      </c>
      <c r="AU22" s="1">
        <f t="shared" si="19"/>
        <v>0</v>
      </c>
      <c r="AV22" s="2" t="str">
        <f t="shared" si="20"/>
        <v>Impact lower than average (3)</v>
      </c>
    </row>
    <row r="23" spans="1:48">
      <c r="A23">
        <v>22</v>
      </c>
      <c r="B23" t="s">
        <v>29</v>
      </c>
      <c r="C23">
        <v>0.7</v>
      </c>
      <c r="D23">
        <v>0.8</v>
      </c>
      <c r="E23">
        <v>0.47525000000000001</v>
      </c>
      <c r="F23">
        <v>0.13742181249999999</v>
      </c>
      <c r="G23">
        <v>10</v>
      </c>
      <c r="H23" s="1">
        <f t="shared" si="0"/>
        <v>0</v>
      </c>
      <c r="I23" s="2" t="str">
        <f t="shared" si="1"/>
        <v>Less than average (54)</v>
      </c>
      <c r="J23">
        <v>1</v>
      </c>
      <c r="K23" s="1">
        <f t="shared" si="2"/>
        <v>0</v>
      </c>
      <c r="L23" s="2" t="str">
        <f t="shared" si="3"/>
        <v>Less than average (8)</v>
      </c>
      <c r="M23">
        <v>3.5691999999999999</v>
      </c>
      <c r="N23" s="1">
        <f t="shared" si="21"/>
        <v>0</v>
      </c>
      <c r="O23" s="2" t="str">
        <f t="shared" si="22"/>
        <v>Impact lower than average (5)</v>
      </c>
      <c r="P23">
        <v>43.2</v>
      </c>
      <c r="Q23" s="1">
        <f t="shared" si="29"/>
        <v>0</v>
      </c>
      <c r="R23" s="2" t="str">
        <f t="shared" si="7"/>
        <v>Less than average (48)</v>
      </c>
      <c r="S23">
        <v>13.8</v>
      </c>
      <c r="T23" s="1">
        <f t="shared" si="24"/>
        <v>1</v>
      </c>
      <c r="U23" s="2" t="str">
        <f t="shared" si="25"/>
        <v>New</v>
      </c>
      <c r="V23">
        <v>2.5</v>
      </c>
      <c r="W23" s="1">
        <f t="shared" si="26"/>
        <v>0</v>
      </c>
      <c r="X23" s="2" t="str">
        <f t="shared" si="27"/>
        <v>Less than average(9)</v>
      </c>
      <c r="Y23">
        <v>1.8</v>
      </c>
      <c r="Z23" s="1">
        <f>IF(Y23&gt;=3,1,0)</f>
        <v>0</v>
      </c>
      <c r="AA23" s="2" t="str">
        <f>IF(Z23=0,"Less than average(3)","3 or More Authors")</f>
        <v>Less than average(3)</v>
      </c>
      <c r="AB23">
        <v>0.117227049992738</v>
      </c>
      <c r="AC23">
        <f t="shared" si="28"/>
        <v>0.14491376746189438</v>
      </c>
      <c r="AD23" s="5">
        <f t="shared" ref="AD23:AD28" si="30">SQRT((D23*(1-D23)/G23))</f>
        <v>0.12649110640673517</v>
      </c>
      <c r="AE23">
        <f>AVERAGE(AC23:AD23)</f>
        <v>0.13570243693431477</v>
      </c>
      <c r="AF23" s="6">
        <f t="shared" si="12"/>
        <v>0.13570243693431477</v>
      </c>
      <c r="AG23">
        <v>0.37070448135947798</v>
      </c>
      <c r="AH23" t="s">
        <v>22</v>
      </c>
      <c r="AI23">
        <v>1</v>
      </c>
      <c r="AJ23">
        <v>2022</v>
      </c>
      <c r="AK23" s="1">
        <f t="shared" si="13"/>
        <v>1</v>
      </c>
      <c r="AL23" s="2" t="str">
        <f t="shared" si="14"/>
        <v>New</v>
      </c>
      <c r="AM23">
        <v>8</v>
      </c>
      <c r="AN23" s="1">
        <f t="shared" si="15"/>
        <v>0</v>
      </c>
      <c r="AO23" s="2" t="str">
        <f t="shared" si="16"/>
        <v>Less than 10 authors</v>
      </c>
      <c r="AP23" t="s">
        <v>25</v>
      </c>
      <c r="AQ23" s="1">
        <f t="shared" si="17"/>
        <v>0</v>
      </c>
      <c r="AR23" s="2" t="str">
        <f t="shared" si="18"/>
        <v>Not Psychology</v>
      </c>
      <c r="AS23">
        <v>2</v>
      </c>
      <c r="AT23">
        <v>5.3220000000000001</v>
      </c>
      <c r="AU23" s="1">
        <f t="shared" si="19"/>
        <v>1</v>
      </c>
      <c r="AV23" s="2" t="str">
        <f t="shared" si="20"/>
        <v>Impact higher than average (3)</v>
      </c>
    </row>
    <row r="24" spans="1:48">
      <c r="A24">
        <v>23</v>
      </c>
      <c r="B24" t="s">
        <v>81</v>
      </c>
      <c r="C24">
        <v>0.875</v>
      </c>
      <c r="D24">
        <v>0.86666666666666703</v>
      </c>
      <c r="E24">
        <v>0.85995833333333305</v>
      </c>
      <c r="F24">
        <v>0.58113887326388902</v>
      </c>
      <c r="G24">
        <v>24</v>
      </c>
      <c r="H24" s="1">
        <f t="shared" si="0"/>
        <v>0</v>
      </c>
      <c r="I24" s="2" t="str">
        <f t="shared" si="1"/>
        <v>Less than average (54)</v>
      </c>
      <c r="J24">
        <v>2</v>
      </c>
      <c r="K24" s="1">
        <f t="shared" si="2"/>
        <v>0</v>
      </c>
      <c r="L24" s="2" t="str">
        <f t="shared" si="3"/>
        <v>Less than average (8)</v>
      </c>
      <c r="M24">
        <v>13.125666666666699</v>
      </c>
      <c r="N24" s="1">
        <f t="shared" si="21"/>
        <v>1</v>
      </c>
      <c r="O24" s="2" t="str">
        <f t="shared" si="22"/>
        <v>Impact higher than average (5)</v>
      </c>
      <c r="P24">
        <v>31.375</v>
      </c>
      <c r="Q24" s="1">
        <f t="shared" si="29"/>
        <v>0</v>
      </c>
      <c r="R24" s="2" t="str">
        <f t="shared" si="7"/>
        <v>Less than average (48)</v>
      </c>
      <c r="S24">
        <v>13.3333333333333</v>
      </c>
      <c r="T24" s="1">
        <f t="shared" si="24"/>
        <v>1</v>
      </c>
      <c r="U24" s="2" t="str">
        <f t="shared" si="25"/>
        <v>New</v>
      </c>
      <c r="V24">
        <v>24.6666666666667</v>
      </c>
      <c r="W24" s="1">
        <f t="shared" si="26"/>
        <v>1</v>
      </c>
      <c r="X24" s="2" t="str">
        <f t="shared" si="27"/>
        <v>9 or More Authors</v>
      </c>
      <c r="Y24">
        <v>11.5416666666667</v>
      </c>
      <c r="Z24" s="1">
        <f>IF(Y24&gt;=3,1,0)</f>
        <v>1</v>
      </c>
      <c r="AA24" s="2" t="str">
        <f>IF(Z24=0,"Less than average(3)","3 or More Authors")</f>
        <v>3 or More Authors</v>
      </c>
      <c r="AB24">
        <v>0.15560886774001301</v>
      </c>
      <c r="AC24">
        <f t="shared" si="28"/>
        <v>6.7507715608415217E-2</v>
      </c>
      <c r="AD24" s="5">
        <f t="shared" si="30"/>
        <v>6.9388866648871006E-2</v>
      </c>
      <c r="AE24">
        <f>AVERAGE(AC24:AD24)</f>
        <v>6.8448291128643118E-2</v>
      </c>
      <c r="AF24" s="6">
        <f t="shared" si="12"/>
        <v>6.8448291128643118E-2</v>
      </c>
      <c r="AG24">
        <v>0.76232465083053003</v>
      </c>
      <c r="AH24" t="s">
        <v>27</v>
      </c>
      <c r="AI24">
        <v>0</v>
      </c>
      <c r="AJ24">
        <v>2022</v>
      </c>
      <c r="AK24" s="1">
        <f t="shared" si="13"/>
        <v>1</v>
      </c>
      <c r="AL24" s="2" t="str">
        <f t="shared" si="14"/>
        <v>New</v>
      </c>
      <c r="AM24">
        <v>3</v>
      </c>
      <c r="AN24" s="1">
        <f t="shared" si="15"/>
        <v>0</v>
      </c>
      <c r="AO24" s="2" t="str">
        <f t="shared" si="16"/>
        <v>Less than 10 authors</v>
      </c>
      <c r="AP24" t="s">
        <v>33</v>
      </c>
      <c r="AQ24" s="1">
        <f t="shared" si="17"/>
        <v>0</v>
      </c>
      <c r="AR24" s="2" t="str">
        <f t="shared" si="18"/>
        <v>Not Psychology</v>
      </c>
      <c r="AS24">
        <v>2</v>
      </c>
      <c r="AT24">
        <v>1.3</v>
      </c>
      <c r="AU24" s="1">
        <f t="shared" si="19"/>
        <v>0</v>
      </c>
      <c r="AV24" s="2" t="str">
        <f t="shared" si="20"/>
        <v>Impact lower than average (3)</v>
      </c>
    </row>
    <row r="25" spans="1:48">
      <c r="A25">
        <v>24</v>
      </c>
      <c r="B25" t="s">
        <v>36</v>
      </c>
      <c r="C25">
        <v>0.47</v>
      </c>
      <c r="D25">
        <v>0.8</v>
      </c>
      <c r="E25">
        <v>0.380066666666667</v>
      </c>
      <c r="F25">
        <v>9.3536062222222202E-2</v>
      </c>
      <c r="G25">
        <v>15</v>
      </c>
      <c r="H25" s="1">
        <f t="shared" si="0"/>
        <v>0</v>
      </c>
      <c r="I25" s="2" t="str">
        <f t="shared" si="1"/>
        <v>Less than average (54)</v>
      </c>
      <c r="J25">
        <v>10</v>
      </c>
      <c r="K25" s="1">
        <f t="shared" si="2"/>
        <v>1</v>
      </c>
      <c r="L25" s="2" t="str">
        <f t="shared" si="3"/>
        <v>8 or More Journals</v>
      </c>
      <c r="M25">
        <v>2.1628571428571401</v>
      </c>
      <c r="N25" s="1">
        <f t="shared" si="21"/>
        <v>0</v>
      </c>
      <c r="O25" s="2" t="str">
        <f t="shared" si="22"/>
        <v>Impact lower than average (5)</v>
      </c>
      <c r="P25">
        <v>33.866666666666703</v>
      </c>
      <c r="Q25" s="1">
        <f t="shared" si="29"/>
        <v>0</v>
      </c>
      <c r="R25" s="2" t="str">
        <f t="shared" si="7"/>
        <v>Less than average (48)</v>
      </c>
      <c r="S25">
        <v>19.599999999999898</v>
      </c>
      <c r="T25" s="1">
        <f t="shared" si="24"/>
        <v>0</v>
      </c>
      <c r="U25" s="2" t="str">
        <f t="shared" si="25"/>
        <v>Old</v>
      </c>
      <c r="V25">
        <v>2.8</v>
      </c>
      <c r="W25" s="1">
        <f t="shared" si="26"/>
        <v>0</v>
      </c>
      <c r="X25" s="2" t="str">
        <f t="shared" si="27"/>
        <v>Less than average(9)</v>
      </c>
      <c r="Z25" s="1"/>
      <c r="AA25" s="2"/>
      <c r="AB25">
        <v>7.8966685896531594E-2</v>
      </c>
      <c r="AC25">
        <f t="shared" si="28"/>
        <v>0.12886685635440429</v>
      </c>
      <c r="AD25" s="5">
        <f t="shared" si="30"/>
        <v>0.10327955589886444</v>
      </c>
      <c r="AE25">
        <f>AVERAGE(AC25:AD25)</f>
        <v>0.11607320612663435</v>
      </c>
      <c r="AF25" s="6">
        <f t="shared" si="12"/>
        <v>0.11607320612663435</v>
      </c>
      <c r="AG25">
        <v>0.30583665938245902</v>
      </c>
      <c r="AH25" t="s">
        <v>27</v>
      </c>
      <c r="AI25">
        <v>0</v>
      </c>
      <c r="AJ25">
        <v>2022</v>
      </c>
      <c r="AK25" s="1">
        <f t="shared" si="13"/>
        <v>1</v>
      </c>
      <c r="AL25" s="2" t="str">
        <f t="shared" si="14"/>
        <v>New</v>
      </c>
      <c r="AM25">
        <v>68</v>
      </c>
      <c r="AN25" s="1">
        <f t="shared" si="15"/>
        <v>1</v>
      </c>
      <c r="AO25" s="2" t="str">
        <f t="shared" si="16"/>
        <v>10 or more authors</v>
      </c>
      <c r="AP25" t="s">
        <v>23</v>
      </c>
      <c r="AQ25" s="1">
        <f t="shared" si="17"/>
        <v>1</v>
      </c>
      <c r="AR25" s="2" t="str">
        <f t="shared" si="18"/>
        <v>Psychology</v>
      </c>
      <c r="AS25">
        <v>2</v>
      </c>
      <c r="AT25">
        <v>0.222</v>
      </c>
      <c r="AU25" s="1">
        <f t="shared" si="19"/>
        <v>0</v>
      </c>
      <c r="AV25" s="2" t="str">
        <f t="shared" si="20"/>
        <v>Impact lower than average (3)</v>
      </c>
    </row>
    <row r="26" spans="1:48">
      <c r="A26">
        <v>25</v>
      </c>
      <c r="B26" t="s">
        <v>46</v>
      </c>
      <c r="C26">
        <v>0.64</v>
      </c>
      <c r="D26">
        <v>0.68</v>
      </c>
      <c r="E26">
        <v>0.242382225890693</v>
      </c>
      <c r="F26">
        <v>1.5997442024337899E-3</v>
      </c>
      <c r="G26">
        <v>300</v>
      </c>
      <c r="H26" s="1">
        <f t="shared" si="0"/>
        <v>1</v>
      </c>
      <c r="I26" s="2" t="str">
        <f t="shared" si="1"/>
        <v>54 or More Studies</v>
      </c>
      <c r="J26">
        <v>12</v>
      </c>
      <c r="K26" s="1">
        <f t="shared" si="2"/>
        <v>1</v>
      </c>
      <c r="L26" s="2" t="str">
        <f t="shared" si="3"/>
        <v>8 or More Journals</v>
      </c>
      <c r="M26">
        <v>5.3887999999999998</v>
      </c>
      <c r="N26" s="1">
        <f t="shared" si="21"/>
        <v>1</v>
      </c>
      <c r="O26" s="2" t="str">
        <f t="shared" si="22"/>
        <v>Impact higher than average (5)</v>
      </c>
      <c r="P26">
        <v>46</v>
      </c>
      <c r="Q26" s="1">
        <f t="shared" si="29"/>
        <v>0</v>
      </c>
      <c r="R26" s="2" t="str">
        <f t="shared" si="7"/>
        <v>Less than average (48)</v>
      </c>
      <c r="S26">
        <v>6</v>
      </c>
      <c r="T26" s="1">
        <f t="shared" si="24"/>
        <v>1</v>
      </c>
      <c r="U26" s="2" t="str">
        <f t="shared" si="25"/>
        <v>New</v>
      </c>
      <c r="V26">
        <v>80.72</v>
      </c>
      <c r="W26" s="1">
        <f t="shared" si="26"/>
        <v>1</v>
      </c>
      <c r="X26" s="2" t="str">
        <f t="shared" si="27"/>
        <v>9 or More Authors</v>
      </c>
      <c r="Z26" s="1"/>
      <c r="AA26" s="2"/>
      <c r="AB26">
        <v>2.3092164633873699E-3</v>
      </c>
      <c r="AC26">
        <f t="shared" si="28"/>
        <v>2.7712812921102038E-2</v>
      </c>
      <c r="AD26" s="5">
        <f t="shared" si="30"/>
        <v>2.6932013168965541E-2</v>
      </c>
      <c r="AE26">
        <f>AVERAGE(AC26:AD26)</f>
        <v>2.7322413045033789E-2</v>
      </c>
      <c r="AF26" s="6">
        <f t="shared" si="12"/>
        <v>2.7322413045033789E-2</v>
      </c>
      <c r="AG26">
        <v>3.9996802402614502E-2</v>
      </c>
      <c r="AH26" t="s">
        <v>22</v>
      </c>
      <c r="AI26">
        <v>1</v>
      </c>
      <c r="AJ26">
        <v>2022</v>
      </c>
      <c r="AK26" s="1">
        <f t="shared" si="13"/>
        <v>1</v>
      </c>
      <c r="AL26" s="2" t="str">
        <f t="shared" si="14"/>
        <v>New</v>
      </c>
      <c r="AM26">
        <v>5</v>
      </c>
      <c r="AN26" s="1">
        <f t="shared" si="15"/>
        <v>0</v>
      </c>
      <c r="AO26" s="2" t="str">
        <f t="shared" si="16"/>
        <v>Less than 10 authors</v>
      </c>
      <c r="AP26" t="s">
        <v>23</v>
      </c>
      <c r="AQ26" s="1">
        <f t="shared" si="17"/>
        <v>1</v>
      </c>
      <c r="AR26" s="2" t="str">
        <f t="shared" si="18"/>
        <v>Psychology</v>
      </c>
      <c r="AS26">
        <v>2</v>
      </c>
      <c r="AT26">
        <v>9.2260000000000009</v>
      </c>
      <c r="AU26" s="1">
        <f t="shared" si="19"/>
        <v>1</v>
      </c>
      <c r="AV26" s="2" t="str">
        <f t="shared" si="20"/>
        <v>Impact higher than average (3)</v>
      </c>
    </row>
    <row r="27" spans="1:48">
      <c r="A27">
        <v>26</v>
      </c>
      <c r="B27" t="s">
        <v>82</v>
      </c>
      <c r="D27">
        <v>0.34659090909090901</v>
      </c>
      <c r="E27">
        <v>0.28000000000000003</v>
      </c>
      <c r="F27">
        <v>0.49233458707602901</v>
      </c>
      <c r="G27">
        <v>176</v>
      </c>
      <c r="H27" s="1">
        <f t="shared" si="0"/>
        <v>1</v>
      </c>
      <c r="I27" s="2" t="str">
        <f t="shared" si="1"/>
        <v>54 or More Studies</v>
      </c>
      <c r="J27">
        <v>41</v>
      </c>
      <c r="K27" s="1">
        <f t="shared" si="2"/>
        <v>1</v>
      </c>
      <c r="L27" s="2" t="str">
        <f t="shared" si="3"/>
        <v>8 or More Journals</v>
      </c>
      <c r="M27">
        <v>3.9677614678899098</v>
      </c>
      <c r="N27" s="1">
        <f t="shared" si="21"/>
        <v>0</v>
      </c>
      <c r="O27" s="2" t="str">
        <f t="shared" si="22"/>
        <v>Impact lower than average (5)</v>
      </c>
      <c r="P27">
        <v>42.185483870967701</v>
      </c>
      <c r="Q27" s="1">
        <f t="shared" si="29"/>
        <v>0</v>
      </c>
      <c r="R27" s="2" t="str">
        <f t="shared" si="7"/>
        <v>Less than average (48)</v>
      </c>
      <c r="S27">
        <v>10.488636363636299</v>
      </c>
      <c r="T27" s="1">
        <f t="shared" si="24"/>
        <v>1</v>
      </c>
      <c r="U27" s="2" t="str">
        <f t="shared" si="25"/>
        <v>New</v>
      </c>
      <c r="V27">
        <v>3.2903225806451601</v>
      </c>
      <c r="W27" s="1">
        <f t="shared" si="26"/>
        <v>0</v>
      </c>
      <c r="X27" s="2" t="str">
        <f t="shared" si="27"/>
        <v>Less than average(9)</v>
      </c>
      <c r="Y27">
        <v>1.048</v>
      </c>
      <c r="Z27" s="1">
        <f>IF(Y27&gt;=3,1,0)</f>
        <v>0</v>
      </c>
      <c r="AA27" s="2" t="str">
        <f>IF(Z27=0,"Less than average(3)","3 or More Authors")</f>
        <v>Less than average(3)</v>
      </c>
      <c r="AB27">
        <v>5.2890033166812497E-2</v>
      </c>
      <c r="AD27" s="5">
        <f t="shared" si="30"/>
        <v>3.5871111669740462E-2</v>
      </c>
      <c r="AE27">
        <f>AVERAGE(AC27:AD27)</f>
        <v>3.5871111669740462E-2</v>
      </c>
      <c r="AF27" s="6">
        <f t="shared" si="12"/>
        <v>3.5871111669740462E-2</v>
      </c>
      <c r="AG27">
        <v>0.701665580655079</v>
      </c>
      <c r="AH27" t="s">
        <v>27</v>
      </c>
      <c r="AI27">
        <v>0</v>
      </c>
      <c r="AJ27">
        <v>2023</v>
      </c>
      <c r="AK27" s="1">
        <f t="shared" si="13"/>
        <v>1</v>
      </c>
      <c r="AL27" s="2" t="str">
        <f t="shared" si="14"/>
        <v>New</v>
      </c>
      <c r="AM27">
        <v>3</v>
      </c>
      <c r="AN27" s="1">
        <f t="shared" si="15"/>
        <v>0</v>
      </c>
      <c r="AO27" s="2" t="str">
        <f t="shared" si="16"/>
        <v>Less than 10 authors</v>
      </c>
      <c r="AP27" t="s">
        <v>23</v>
      </c>
      <c r="AQ27" s="1">
        <f t="shared" si="17"/>
        <v>1</v>
      </c>
      <c r="AR27" s="2" t="str">
        <f t="shared" si="18"/>
        <v>Psychology</v>
      </c>
      <c r="AS27">
        <v>1</v>
      </c>
      <c r="AT27">
        <v>0.78700000000000003</v>
      </c>
      <c r="AU27" s="1">
        <f t="shared" si="19"/>
        <v>0</v>
      </c>
      <c r="AV27" s="2" t="str">
        <f t="shared" si="20"/>
        <v>Impact lower than average (3)</v>
      </c>
    </row>
    <row r="28" spans="1:48">
      <c r="A28">
        <v>27</v>
      </c>
      <c r="B28" t="s">
        <v>42</v>
      </c>
      <c r="C28" s="10">
        <v>0.859375</v>
      </c>
      <c r="D28">
        <v>0.765625</v>
      </c>
      <c r="E28">
        <v>0.27</v>
      </c>
      <c r="F28">
        <v>3.3361714843750001E-2</v>
      </c>
      <c r="G28">
        <v>16</v>
      </c>
      <c r="H28" s="1">
        <f t="shared" si="0"/>
        <v>0</v>
      </c>
      <c r="I28" s="2" t="str">
        <f t="shared" si="1"/>
        <v>Less than average (54)</v>
      </c>
      <c r="K28" s="1">
        <f t="shared" si="2"/>
        <v>0</v>
      </c>
      <c r="L28" s="2" t="str">
        <f t="shared" si="3"/>
        <v>Less than average (8)</v>
      </c>
      <c r="M28">
        <v>6.0970000000000004</v>
      </c>
      <c r="N28" s="1">
        <f t="shared" si="21"/>
        <v>1</v>
      </c>
      <c r="O28" s="2" t="str">
        <f t="shared" si="22"/>
        <v>Impact higher than average (5)</v>
      </c>
      <c r="Q28" s="1"/>
      <c r="R28" s="2" t="str">
        <f t="shared" si="7"/>
        <v>Less than average (48)</v>
      </c>
      <c r="S28">
        <v>5.6875</v>
      </c>
      <c r="T28" s="1">
        <f t="shared" si="24"/>
        <v>1</v>
      </c>
      <c r="U28" s="2" t="str">
        <f t="shared" si="25"/>
        <v>New</v>
      </c>
      <c r="V28">
        <v>3.8666666666666698</v>
      </c>
      <c r="W28" s="1">
        <f t="shared" si="26"/>
        <v>0</v>
      </c>
      <c r="X28" s="2" t="str">
        <f t="shared" si="27"/>
        <v>Less than average(9)</v>
      </c>
      <c r="Z28" s="1">
        <f>IF(Y28&gt;=3,1,0)</f>
        <v>0</v>
      </c>
      <c r="AA28" s="2" t="str">
        <f>IF(Z28=0,"Less than average(3)","3 or More Authors")</f>
        <v>Less than average(3)</v>
      </c>
      <c r="AB28">
        <v>4.5662973816149699E-2</v>
      </c>
      <c r="AC28">
        <f>SQRT(((C28*(1-C28))/G28))</f>
        <v>8.6908576020652301E-2</v>
      </c>
      <c r="AD28" s="5">
        <f t="shared" si="30"/>
        <v>0.10590188837285905</v>
      </c>
      <c r="AF28" s="6">
        <f t="shared" si="12"/>
        <v>8.6908576020652301E-2</v>
      </c>
      <c r="AG28">
        <v>0.18265189526459899</v>
      </c>
      <c r="AH28" t="s">
        <v>27</v>
      </c>
      <c r="AI28">
        <v>0</v>
      </c>
      <c r="AJ28">
        <v>2023</v>
      </c>
      <c r="AK28" s="1">
        <f t="shared" si="13"/>
        <v>1</v>
      </c>
      <c r="AL28" s="2" t="str">
        <f t="shared" si="14"/>
        <v>New</v>
      </c>
      <c r="AM28">
        <v>17</v>
      </c>
      <c r="AN28" s="1">
        <f t="shared" si="15"/>
        <v>1</v>
      </c>
      <c r="AO28" s="2" t="str">
        <f t="shared" si="16"/>
        <v>10 or more authors</v>
      </c>
      <c r="AP28" t="s">
        <v>28</v>
      </c>
      <c r="AQ28" s="1">
        <f t="shared" si="17"/>
        <v>0</v>
      </c>
      <c r="AR28" s="2" t="str">
        <f t="shared" si="18"/>
        <v>Not Psychology</v>
      </c>
      <c r="AS28">
        <v>1</v>
      </c>
      <c r="AT28">
        <v>6.0970000000000004</v>
      </c>
      <c r="AU28" s="1">
        <f t="shared" si="19"/>
        <v>1</v>
      </c>
      <c r="AV28" s="2" t="str">
        <f t="shared" si="20"/>
        <v>Impact higher than average (3)</v>
      </c>
    </row>
    <row r="29" spans="1:48" ht="15.6">
      <c r="A29">
        <v>28</v>
      </c>
      <c r="B29" t="s">
        <v>83</v>
      </c>
      <c r="C29">
        <v>0.54</v>
      </c>
      <c r="E29">
        <v>0.25340000000000001</v>
      </c>
      <c r="F29" s="8">
        <v>0.122668639</v>
      </c>
      <c r="G29">
        <v>41</v>
      </c>
      <c r="H29" s="1">
        <f t="shared" si="0"/>
        <v>0</v>
      </c>
      <c r="I29" s="2" t="str">
        <f t="shared" si="1"/>
        <v>Less than average (54)</v>
      </c>
      <c r="K29" s="1">
        <f t="shared" si="2"/>
        <v>0</v>
      </c>
      <c r="L29" s="2" t="str">
        <f t="shared" si="3"/>
        <v>Less than average (8)</v>
      </c>
      <c r="M29">
        <v>6.2847073170731722</v>
      </c>
      <c r="N29" s="1">
        <f t="shared" si="21"/>
        <v>1</v>
      </c>
      <c r="O29" s="2" t="str">
        <f t="shared" si="22"/>
        <v>Impact higher than average (5)</v>
      </c>
      <c r="S29">
        <v>7.823529411764639</v>
      </c>
      <c r="T29" s="1">
        <f t="shared" si="24"/>
        <v>1</v>
      </c>
      <c r="U29" s="2" t="str">
        <f t="shared" si="25"/>
        <v>New</v>
      </c>
      <c r="AC29">
        <f>SQRT(((C29*(1-C29))/G29))</f>
        <v>7.7836601835934827E-2</v>
      </c>
      <c r="AD29" s="5"/>
      <c r="AF29" s="6">
        <f t="shared" si="12"/>
        <v>7.7836601835934827E-2</v>
      </c>
      <c r="AG29">
        <v>0.35024083033074438</v>
      </c>
      <c r="AJ29">
        <v>2024</v>
      </c>
      <c r="AK29" s="1">
        <f t="shared" si="13"/>
        <v>1</v>
      </c>
      <c r="AL29" s="2" t="str">
        <f t="shared" si="14"/>
        <v>New</v>
      </c>
      <c r="AS29">
        <v>1</v>
      </c>
      <c r="AT29">
        <v>6.0970000000000004</v>
      </c>
      <c r="AU29" s="1">
        <f t="shared" si="19"/>
        <v>1</v>
      </c>
      <c r="AV29" s="2" t="str">
        <f t="shared" si="20"/>
        <v>Impact higher than average (3)</v>
      </c>
    </row>
    <row r="30" spans="1:48">
      <c r="A30">
        <v>29</v>
      </c>
      <c r="B30" t="s">
        <v>75</v>
      </c>
      <c r="C30">
        <f>(3/14)</f>
        <v>0.21428571428571427</v>
      </c>
      <c r="E30">
        <v>-3.0385680588235299E-2</v>
      </c>
      <c r="F30">
        <v>2.2855710000000001E-2</v>
      </c>
      <c r="G30">
        <v>18</v>
      </c>
      <c r="H30" s="1">
        <f t="shared" si="0"/>
        <v>0</v>
      </c>
      <c r="I30" s="2" t="str">
        <f t="shared" si="1"/>
        <v>Less than average (54)</v>
      </c>
      <c r="K30" s="1">
        <f t="shared" si="2"/>
        <v>0</v>
      </c>
      <c r="L30" s="2" t="str">
        <f t="shared" si="3"/>
        <v>Less than average (8)</v>
      </c>
      <c r="M30">
        <v>13.671588235294116</v>
      </c>
      <c r="N30" s="1">
        <f t="shared" si="21"/>
        <v>1</v>
      </c>
      <c r="O30" s="2" t="str">
        <f t="shared" si="22"/>
        <v>Impact higher than average (5)</v>
      </c>
      <c r="S30">
        <v>5</v>
      </c>
      <c r="T30" s="1">
        <f t="shared" si="24"/>
        <v>1</v>
      </c>
      <c r="U30" s="2" t="str">
        <f t="shared" si="25"/>
        <v>New</v>
      </c>
      <c r="AC30">
        <f>SQRT(((C30*(1-C30))/G30))</f>
        <v>9.6714742912332854E-2</v>
      </c>
      <c r="AD30" s="5"/>
      <c r="AF30" s="6">
        <f t="shared" si="12"/>
        <v>9.6714742912332854E-2</v>
      </c>
      <c r="AG30">
        <v>0.15118104889026743</v>
      </c>
      <c r="AJ30">
        <v>2024</v>
      </c>
      <c r="AK30" s="1">
        <f t="shared" si="13"/>
        <v>1</v>
      </c>
      <c r="AL30" s="2" t="str">
        <f t="shared" si="14"/>
        <v>New</v>
      </c>
      <c r="AS30">
        <v>1</v>
      </c>
      <c r="AT30">
        <v>0</v>
      </c>
      <c r="AU30" s="1">
        <f t="shared" si="19"/>
        <v>0</v>
      </c>
      <c r="AV30" s="2" t="str">
        <f t="shared" si="20"/>
        <v>Impact lower than average (3)</v>
      </c>
    </row>
    <row r="31" spans="1:48" ht="15">
      <c r="A31">
        <v>30</v>
      </c>
      <c r="B31" s="9" t="s">
        <v>76</v>
      </c>
      <c r="C31">
        <f>(35/100)</f>
        <v>0.35</v>
      </c>
      <c r="E31">
        <v>0.16660285475285713</v>
      </c>
      <c r="F31">
        <v>7.9305135821047659E-2</v>
      </c>
      <c r="G31">
        <v>100</v>
      </c>
      <c r="H31" s="1">
        <f t="shared" si="0"/>
        <v>1</v>
      </c>
      <c r="I31" s="2" t="str">
        <f t="shared" si="1"/>
        <v>54 or More Studies</v>
      </c>
      <c r="K31" s="1">
        <f t="shared" si="2"/>
        <v>0</v>
      </c>
      <c r="L31" s="2" t="str">
        <f t="shared" si="3"/>
        <v>Less than average (8)</v>
      </c>
      <c r="M31">
        <v>2</v>
      </c>
      <c r="N31" s="1">
        <f t="shared" si="21"/>
        <v>0</v>
      </c>
      <c r="O31" s="2" t="str">
        <f t="shared" si="22"/>
        <v>Impact lower than average (5)</v>
      </c>
      <c r="S31">
        <v>5</v>
      </c>
      <c r="T31" s="1">
        <f t="shared" si="24"/>
        <v>1</v>
      </c>
      <c r="U31" s="2" t="str">
        <f t="shared" si="25"/>
        <v>New</v>
      </c>
      <c r="AC31">
        <f>SQRT(((C31*(1-C31))/G31))</f>
        <v>4.7696960070847276E-2</v>
      </c>
      <c r="AD31" s="5"/>
      <c r="AF31" s="3">
        <f t="shared" si="12"/>
        <v>4.7696960070847276E-2</v>
      </c>
      <c r="AG31">
        <v>0.28161167557657774</v>
      </c>
      <c r="AJ31">
        <v>2024</v>
      </c>
      <c r="AK31" s="1">
        <f t="shared" si="13"/>
        <v>1</v>
      </c>
      <c r="AL31" s="2" t="str">
        <f t="shared" si="14"/>
        <v>New</v>
      </c>
      <c r="AS31">
        <v>1</v>
      </c>
      <c r="AT31">
        <v>6.0970000000000004</v>
      </c>
      <c r="AU31" s="1">
        <f t="shared" si="19"/>
        <v>1</v>
      </c>
      <c r="AV31" s="2" t="str">
        <f t="shared" si="20"/>
        <v>Impact higher than average (3)</v>
      </c>
    </row>
    <row r="32" spans="1:48">
      <c r="A32">
        <v>31</v>
      </c>
      <c r="B32" t="s">
        <v>84</v>
      </c>
      <c r="C32">
        <f>(80.8/164)</f>
        <v>0.49268292682926829</v>
      </c>
      <c r="G32">
        <v>164</v>
      </c>
      <c r="H32" s="1">
        <f t="shared" si="0"/>
        <v>1</v>
      </c>
      <c r="I32" s="2" t="str">
        <f t="shared" si="1"/>
        <v>54 or More Studies</v>
      </c>
      <c r="J32">
        <v>54</v>
      </c>
      <c r="K32" s="1">
        <f t="shared" si="2"/>
        <v>1</v>
      </c>
      <c r="L32" s="2" t="str">
        <f t="shared" si="3"/>
        <v>8 or More Journals</v>
      </c>
      <c r="AC32">
        <f>SQRT(((C32*(1-C32))/G32))</f>
        <v>3.9039259511061908E-2</v>
      </c>
      <c r="AM32">
        <v>292</v>
      </c>
      <c r="AT32">
        <v>18.288</v>
      </c>
      <c r="AU32" s="1">
        <f t="shared" si="19"/>
        <v>1</v>
      </c>
      <c r="AV32" s="2" t="str">
        <f t="shared" si="20"/>
        <v>Impact higher than average (3)</v>
      </c>
    </row>
  </sheetData>
  <sortState xmlns:xlrd2="http://schemas.microsoft.com/office/spreadsheetml/2017/richdata2" ref="A2:AV31">
    <sortCondition ref="AJ1:AJ31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</dc:creator>
  <cp:lastModifiedBy>Jose Rolando Villaseñor Agundez</cp:lastModifiedBy>
  <dcterms:created xsi:type="dcterms:W3CDTF">2024-12-11T22:34:51Z</dcterms:created>
  <dcterms:modified xsi:type="dcterms:W3CDTF">2026-04-02T20:43:18Z</dcterms:modified>
</cp:coreProperties>
</file>